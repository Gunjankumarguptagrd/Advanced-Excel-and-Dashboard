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0" yWindow="0" windowWidth="20400" windowHeight="8130" tabRatio="837" firstSheet="4" activeTab="16"/>
  </bookViews>
  <sheets>
    <sheet name="Summery" sheetId="9" r:id="rId1"/>
    <sheet name="Types of Ref" sheetId="3" r:id="rId2"/>
    <sheet name="Useful Symbol" sheetId="7" r:id="rId3"/>
    <sheet name="All Formulas" sheetId="1" r:id="rId4"/>
    <sheet name="Sumif" sheetId="8" r:id="rId5"/>
    <sheet name="Sum With Subsutitute" sheetId="6" state="hidden" r:id="rId6"/>
    <sheet name="Cumulative Sum" sheetId="10" r:id="rId7"/>
    <sheet name="Evaluate" sheetId="11" r:id="rId8"/>
    <sheet name="AutoSum" sheetId="12" r:id="rId9"/>
    <sheet name="Manual Sum" sheetId="13" r:id="rId10"/>
    <sheet name="Sum with ABS" sheetId="14" r:id="rId11"/>
    <sheet name="Sum with Error" sheetId="15" r:id="rId12"/>
    <sheet name="SUMSQ" sheetId="16" r:id="rId13"/>
    <sheet name="SUMX2MY2" sheetId="17" r:id="rId14"/>
    <sheet name="SUMX2PY2" sheetId="18" r:id="rId15"/>
    <sheet name="SUMXMY2" sheetId="19" r:id="rId16"/>
    <sheet name="Report" sheetId="20" r:id="rId17"/>
  </sheets>
  <definedNames>
    <definedName name="_xlnm._FilterDatabase" localSheetId="3" hidden="1">'All Formulas'!$A$1:$C$15</definedName>
    <definedName name="_xlnm._FilterDatabase" localSheetId="16" hidden="1">Report!$B$1:$B$1097</definedName>
    <definedName name="_xlnm._FilterDatabase" localSheetId="4" hidden="1">Sumif!$A$1:$E$429</definedName>
    <definedName name="Gunjan">EVALUATE(Evaluate!XFD1)</definedName>
  </definedNames>
  <calcPr calcId="145621"/>
</workbook>
</file>

<file path=xl/calcChain.xml><?xml version="1.0" encoding="utf-8"?>
<calcChain xmlns="http://schemas.openxmlformats.org/spreadsheetml/2006/main">
  <c r="H2" i="20" l="1"/>
  <c r="I2" i="20"/>
  <c r="J2" i="20"/>
  <c r="K2" i="20"/>
  <c r="L2" i="20"/>
  <c r="M2" i="20"/>
  <c r="H3" i="20"/>
  <c r="I3" i="20"/>
  <c r="J3" i="20"/>
  <c r="K3" i="20"/>
  <c r="L3" i="20"/>
  <c r="M3" i="20"/>
  <c r="H4" i="20"/>
  <c r="I4" i="20"/>
  <c r="J4" i="20"/>
  <c r="K4" i="20"/>
  <c r="L4" i="20"/>
  <c r="M4" i="20"/>
  <c r="H5" i="20"/>
  <c r="I5" i="20"/>
  <c r="J5" i="20"/>
  <c r="K5" i="20"/>
  <c r="L5" i="20"/>
  <c r="M5" i="20"/>
  <c r="H6" i="20"/>
  <c r="I6" i="20"/>
  <c r="J6" i="20"/>
  <c r="K6" i="20"/>
  <c r="L6" i="20"/>
  <c r="M6" i="20"/>
  <c r="H7" i="20"/>
  <c r="I7" i="20"/>
  <c r="J7" i="20"/>
  <c r="K7" i="20"/>
  <c r="L7" i="20"/>
  <c r="M7" i="20"/>
  <c r="G3" i="20"/>
  <c r="G4" i="20"/>
  <c r="G5" i="20"/>
  <c r="G6" i="20"/>
  <c r="G7" i="20"/>
  <c r="G2" i="20"/>
  <c r="E5" i="19"/>
  <c r="E6" i="19"/>
  <c r="E7" i="19"/>
  <c r="E8" i="19"/>
  <c r="E9" i="19"/>
  <c r="E4" i="19"/>
  <c r="C5" i="18"/>
  <c r="C6" i="18"/>
  <c r="C7" i="18"/>
  <c r="C8" i="18"/>
  <c r="C9" i="18"/>
  <c r="C4" i="18"/>
  <c r="C5" i="17"/>
  <c r="C6" i="17"/>
  <c r="C7" i="17"/>
  <c r="C8" i="17"/>
  <c r="C9" i="17"/>
  <c r="C4" i="17"/>
  <c r="C5" i="16"/>
  <c r="C6" i="16"/>
  <c r="C7" i="16"/>
  <c r="C8" i="16"/>
  <c r="C9" i="16"/>
  <c r="C4" i="16"/>
  <c r="G11" i="15"/>
  <c r="H9" i="15"/>
  <c r="I9" i="14"/>
  <c r="G9" i="14"/>
  <c r="E9" i="14" a="1"/>
  <c r="E9" i="14" s="1"/>
  <c r="C9" i="14"/>
  <c r="B7" i="12"/>
  <c r="B11" i="12"/>
  <c r="B17" i="12"/>
  <c r="B21" i="12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5" i="10"/>
  <c r="C4" i="10"/>
  <c r="C3" i="10"/>
  <c r="C2" i="10"/>
  <c r="I3" i="8"/>
  <c r="I4" i="8"/>
  <c r="I5" i="8"/>
  <c r="I6" i="8"/>
  <c r="I7" i="8"/>
  <c r="I8" i="8"/>
  <c r="I2" i="8"/>
  <c r="G7" i="1"/>
  <c r="G6" i="1"/>
  <c r="G5" i="1"/>
  <c r="B4" i="11"/>
  <c r="B5" i="11"/>
  <c r="B6" i="11"/>
  <c r="B3" i="11"/>
  <c r="B2" i="11"/>
  <c r="S9" i="3" l="1"/>
  <c r="T9" i="3"/>
  <c r="U9" i="3"/>
  <c r="V9" i="3"/>
  <c r="S10" i="3"/>
  <c r="T10" i="3"/>
  <c r="U10" i="3"/>
  <c r="V10" i="3"/>
  <c r="S11" i="3"/>
  <c r="T11" i="3"/>
  <c r="U11" i="3"/>
  <c r="V11" i="3"/>
  <c r="S12" i="3"/>
  <c r="T12" i="3"/>
  <c r="U12" i="3"/>
  <c r="V12" i="3"/>
  <c r="S13" i="3"/>
  <c r="T13" i="3"/>
  <c r="U13" i="3"/>
  <c r="V13" i="3"/>
  <c r="S14" i="3"/>
  <c r="T14" i="3"/>
  <c r="U14" i="3"/>
  <c r="V14" i="3"/>
  <c r="R10" i="3"/>
  <c r="R11" i="3"/>
  <c r="R12" i="3"/>
  <c r="R13" i="3"/>
  <c r="R14" i="3"/>
  <c r="R9" i="3"/>
  <c r="H11" i="6" l="1" a="1"/>
  <c r="H11" i="6" s="1"/>
  <c r="H6" i="6" l="1" a="1"/>
  <c r="H6" i="6" s="1"/>
  <c r="E429" i="8" l="1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2" i="8"/>
  <c r="G7" i="13"/>
</calcChain>
</file>

<file path=xl/sharedStrings.xml><?xml version="1.0" encoding="utf-8"?>
<sst xmlns="http://schemas.openxmlformats.org/spreadsheetml/2006/main" count="4438" uniqueCount="222">
  <si>
    <t>Product</t>
  </si>
  <si>
    <t>LG</t>
  </si>
  <si>
    <t>Nokia</t>
  </si>
  <si>
    <t>Voda</t>
  </si>
  <si>
    <t>Same</t>
  </si>
  <si>
    <t>Sum</t>
  </si>
  <si>
    <t>Sumif</t>
  </si>
  <si>
    <t>Sumifs</t>
  </si>
  <si>
    <t>Formulas</t>
  </si>
  <si>
    <t>Amount</t>
  </si>
  <si>
    <t>Types of Reference</t>
  </si>
  <si>
    <t>Example</t>
  </si>
  <si>
    <t>Press F4</t>
  </si>
  <si>
    <t>Absolute reference</t>
  </si>
  <si>
    <t xml:space="preserve"> =$A$26:$A$29</t>
  </si>
  <si>
    <t>column Mixed reference</t>
  </si>
  <si>
    <t xml:space="preserve"> =A$26:A$29</t>
  </si>
  <si>
    <t>Row Mixed Reference</t>
  </si>
  <si>
    <t xml:space="preserve"> =$A26:$A29</t>
  </si>
  <si>
    <t>Relative Reference</t>
  </si>
  <si>
    <t xml:space="preserve"> =A26:A29</t>
  </si>
  <si>
    <t>*</t>
  </si>
  <si>
    <t>a)</t>
  </si>
  <si>
    <t>b)</t>
  </si>
  <si>
    <t>26202  </t>
  </si>
  <si>
    <t>465  </t>
  </si>
  <si>
    <t>7000  </t>
  </si>
  <si>
    <t>60437  </t>
  </si>
  <si>
    <t>Total Sum</t>
  </si>
  <si>
    <t>128855  </t>
  </si>
  <si>
    <t>3110  </t>
  </si>
  <si>
    <t>2225  </t>
  </si>
  <si>
    <t>51379  </t>
  </si>
  <si>
    <t>69237  </t>
  </si>
  <si>
    <t>44120  </t>
  </si>
  <si>
    <t>30787  </t>
  </si>
  <si>
    <t>1505  </t>
  </si>
  <si>
    <t>273223  </t>
  </si>
  <si>
    <t>227680  </t>
  </si>
  <si>
    <t>293778  </t>
  </si>
  <si>
    <t>Sr.No.</t>
  </si>
  <si>
    <t>Symbol</t>
  </si>
  <si>
    <t>Name</t>
  </si>
  <si>
    <t>Descriptions</t>
  </si>
  <si>
    <t>&gt;</t>
  </si>
  <si>
    <t>Greater than</t>
  </si>
  <si>
    <t>Use for Logical Test</t>
  </si>
  <si>
    <t>&lt;</t>
  </si>
  <si>
    <t>Less than</t>
  </si>
  <si>
    <t>&lt;&gt;</t>
  </si>
  <si>
    <t>Not Equal to</t>
  </si>
  <si>
    <t>""</t>
  </si>
  <si>
    <t>Blank cell</t>
  </si>
  <si>
    <t>Use for Blank</t>
  </si>
  <si>
    <t>()</t>
  </si>
  <si>
    <t>Small Bracket</t>
  </si>
  <si>
    <t>To create Normal Function</t>
  </si>
  <si>
    <t>[]</t>
  </si>
  <si>
    <t>Square Bracket</t>
  </si>
  <si>
    <t xml:space="preserve">To create a path </t>
  </si>
  <si>
    <t>{}</t>
  </si>
  <si>
    <t>Curly Bracket</t>
  </si>
  <si>
    <t>To create Array Function</t>
  </si>
  <si>
    <t>?</t>
  </si>
  <si>
    <t>Question Marks</t>
  </si>
  <si>
    <t>Use for single characters</t>
  </si>
  <si>
    <t>,</t>
  </si>
  <si>
    <t>Commas</t>
  </si>
  <si>
    <t>Use for sepration for Column</t>
  </si>
  <si>
    <t>;</t>
  </si>
  <si>
    <t>Semi Colon</t>
  </si>
  <si>
    <t>Use for sepration for row</t>
  </si>
  <si>
    <t>~</t>
  </si>
  <si>
    <t>Tild</t>
  </si>
  <si>
    <t>To find special Characters</t>
  </si>
  <si>
    <t>'</t>
  </si>
  <si>
    <t>apostrophy</t>
  </si>
  <si>
    <t>To create Path</t>
  </si>
  <si>
    <t>!</t>
  </si>
  <si>
    <t>exclamation</t>
  </si>
  <si>
    <t>@</t>
  </si>
  <si>
    <t>at the rate of</t>
  </si>
  <si>
    <t>Use for text</t>
  </si>
  <si>
    <t>#</t>
  </si>
  <si>
    <t>Hash</t>
  </si>
  <si>
    <t>Use for Numbers in Custom Format/create hyperlink</t>
  </si>
  <si>
    <t>$</t>
  </si>
  <si>
    <t>Dollar</t>
  </si>
  <si>
    <t>to create reference</t>
  </si>
  <si>
    <t>%</t>
  </si>
  <si>
    <t>Percentage</t>
  </si>
  <si>
    <t>Use for Perecnetage</t>
  </si>
  <si>
    <t>^</t>
  </si>
  <si>
    <t>Carret</t>
  </si>
  <si>
    <t>Use for power</t>
  </si>
  <si>
    <t>&amp;</t>
  </si>
  <si>
    <t>apersand</t>
  </si>
  <si>
    <t>to concatenate Text</t>
  </si>
  <si>
    <t>:</t>
  </si>
  <si>
    <t>Colon</t>
  </si>
  <si>
    <t>To create Range</t>
  </si>
  <si>
    <t>Astrics</t>
  </si>
  <si>
    <t>Use for Text</t>
  </si>
  <si>
    <t>/</t>
  </si>
  <si>
    <t>Forward slash</t>
  </si>
  <si>
    <t>use for divide</t>
  </si>
  <si>
    <t>\</t>
  </si>
  <si>
    <t>back Slash</t>
  </si>
  <si>
    <t>Create for path</t>
  </si>
  <si>
    <t>State</t>
  </si>
  <si>
    <t>NumberSold</t>
  </si>
  <si>
    <t>Price</t>
  </si>
  <si>
    <t>Revenue</t>
  </si>
  <si>
    <t>Oranges</t>
  </si>
  <si>
    <t>Mangoes</t>
  </si>
  <si>
    <t>Apples</t>
  </si>
  <si>
    <t>Pears</t>
  </si>
  <si>
    <t>SUM</t>
  </si>
  <si>
    <t>Sr No</t>
  </si>
  <si>
    <t>Topic</t>
  </si>
  <si>
    <t>Sum with Condition</t>
  </si>
  <si>
    <t>Sum with Muliple Condition</t>
  </si>
  <si>
    <t>Normal Sum</t>
  </si>
  <si>
    <t>Sum with Substitute &amp; Char</t>
  </si>
  <si>
    <t>Cumulative Sum</t>
  </si>
  <si>
    <t>Date</t>
  </si>
  <si>
    <t>Assam</t>
  </si>
  <si>
    <t>Raj</t>
  </si>
  <si>
    <t>MP</t>
  </si>
  <si>
    <t>Sikkim</t>
  </si>
  <si>
    <t>Tamil Nadu</t>
  </si>
  <si>
    <t>WB</t>
  </si>
  <si>
    <t>Mumbai</t>
  </si>
  <si>
    <t>Gurgaon</t>
  </si>
  <si>
    <t>60166734</t>
  </si>
  <si>
    <t>Data</t>
  </si>
  <si>
    <t>Output</t>
  </si>
  <si>
    <t>34*45+10+10</t>
  </si>
  <si>
    <t>23/5+10+12</t>
  </si>
  <si>
    <t>25-10+(23*20)</t>
  </si>
  <si>
    <t>12/23-10+23</t>
  </si>
  <si>
    <t>c)</t>
  </si>
  <si>
    <t>d)</t>
  </si>
  <si>
    <t>Evaluate Sum</t>
  </si>
  <si>
    <t>User Sum</t>
  </si>
  <si>
    <t>Manual Sum</t>
  </si>
  <si>
    <t>Sum with ABS</t>
  </si>
  <si>
    <t>CSE</t>
  </si>
  <si>
    <t>Agent</t>
  </si>
  <si>
    <t>2+2-2*2/2</t>
  </si>
  <si>
    <t>Value -1</t>
  </si>
  <si>
    <t>Value -2</t>
  </si>
  <si>
    <t>SUMSQ</t>
  </si>
  <si>
    <t xml:space="preserve"> =2*2+3*3</t>
  </si>
  <si>
    <t>SUMX2MY2</t>
  </si>
  <si>
    <t xml:space="preserve"> =A4*A4-B4*B4</t>
  </si>
  <si>
    <t>SUMX2PY2</t>
  </si>
  <si>
    <t>SUMXMY2</t>
  </si>
  <si>
    <t xml:space="preserve"> =A4*A4+B4*B4</t>
  </si>
  <si>
    <t xml:space="preserve"> =1*1+4*4=17</t>
  </si>
  <si>
    <t xml:space="preserve"> =1*1</t>
  </si>
  <si>
    <t xml:space="preserve"> =4*4</t>
  </si>
  <si>
    <t xml:space="preserve"> = 7-3=4</t>
  </si>
  <si>
    <t xml:space="preserve"> =3-2=1</t>
  </si>
  <si>
    <t>Sum with Error</t>
  </si>
  <si>
    <t>SumSQ</t>
  </si>
  <si>
    <t>Sumx2my2</t>
  </si>
  <si>
    <t>sumx2py2</t>
  </si>
  <si>
    <t>sumxmy2</t>
  </si>
  <si>
    <t>4*4=16</t>
  </si>
  <si>
    <t>1*1=1</t>
  </si>
  <si>
    <t>1+16=17</t>
  </si>
  <si>
    <t xml:space="preserve">   32216  </t>
  </si>
  <si>
    <t>Bihar</t>
  </si>
  <si>
    <t>Delhi</t>
  </si>
  <si>
    <t>Gurjarat</t>
  </si>
  <si>
    <t>Chennai</t>
  </si>
  <si>
    <t>Punjab</t>
  </si>
  <si>
    <t>7-3=4</t>
  </si>
  <si>
    <t>Santosh</t>
  </si>
  <si>
    <t>Sonu</t>
  </si>
  <si>
    <t>Rahul</t>
  </si>
  <si>
    <t>Running Sum</t>
  </si>
  <si>
    <t>Select Required Data</t>
  </si>
  <si>
    <t>Actual</t>
  </si>
  <si>
    <t>Absoluate Value</t>
  </si>
  <si>
    <t>2/2=1</t>
  </si>
  <si>
    <t>1*2=2</t>
  </si>
  <si>
    <t>2+2=4</t>
  </si>
  <si>
    <t>4-2=2</t>
  </si>
  <si>
    <t>3-2=1</t>
  </si>
  <si>
    <t>Sum with value</t>
  </si>
  <si>
    <t>sum with condition</t>
  </si>
  <si>
    <t>sum with multiple condition</t>
  </si>
  <si>
    <t>OK</t>
  </si>
  <si>
    <t xml:space="preserve">Alt+ </t>
  </si>
  <si>
    <t>e)</t>
  </si>
  <si>
    <t>f)</t>
  </si>
  <si>
    <t>Press ctrl+G</t>
  </si>
  <si>
    <t>Positive Sum</t>
  </si>
  <si>
    <t>Nagative Sum</t>
  </si>
  <si>
    <t>Bike</t>
  </si>
  <si>
    <t>Car</t>
  </si>
  <si>
    <t>Bus</t>
  </si>
  <si>
    <t>Laptop</t>
  </si>
  <si>
    <t>Mobile</t>
  </si>
  <si>
    <t>Manager</t>
  </si>
  <si>
    <t>Ram</t>
  </si>
  <si>
    <t>Rahim</t>
  </si>
  <si>
    <t>Mohan</t>
  </si>
  <si>
    <t>Sohan</t>
  </si>
  <si>
    <t>Reema</t>
  </si>
  <si>
    <t>Kajal</t>
  </si>
  <si>
    <t>Special</t>
  </si>
  <si>
    <t>Blanks</t>
  </si>
  <si>
    <t>Cross Sum</t>
  </si>
  <si>
    <t>2*2=4</t>
  </si>
  <si>
    <t>3*3=9</t>
  </si>
  <si>
    <t>4-9=-5</t>
  </si>
  <si>
    <t>F4-3</t>
  </si>
  <si>
    <t>F4-2</t>
  </si>
  <si>
    <t>F4-1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</si>
</sst>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_-* #,##0.00_-;\-* #,##0.00_-;_-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28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9"/>
      <color theme="0"/>
      <name val="Calibri"/>
      <family val="2"/>
    </font>
    <font>
      <sz val="9"/>
      <color theme="1"/>
      <name val="Calibri"/>
      <family val="2"/>
    </font>
    <font>
      <b/>
      <sz val="2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theme="5"/>
      </patternFill>
    </fill>
    <fill>
      <gradientFill degree="90">
        <stop position="0">
          <color theme="9" tint="0.59999389629810485"/>
        </stop>
        <stop position="1">
          <color theme="9" tint="-0.25098422193060094"/>
        </stop>
      </gradientFill>
    </fill>
    <fill>
      <patternFill patternType="solid">
        <fgColor theme="7"/>
        <bgColor theme="7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gradientFill degree="90">
        <stop position="0">
          <color theme="2" tint="-0.49803155613879818"/>
        </stop>
        <stop position="1">
          <color rgb="FFFFC00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4" borderId="2" applyNumberFormat="0" applyAlignment="0" applyProtection="0"/>
    <xf numFmtId="0" fontId="3" fillId="5" borderId="0" applyNumberFormat="0" applyBorder="0" applyAlignment="0" applyProtection="0"/>
    <xf numFmtId="164" fontId="4" fillId="0" borderId="0" applyFont="0" applyFill="0" applyBorder="0" applyAlignment="0" applyProtection="0"/>
    <xf numFmtId="0" fontId="1" fillId="0" borderId="12" applyNumberFormat="0" applyFill="0" applyAlignment="0" applyProtection="0"/>
  </cellStyleXfs>
  <cellXfs count="5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4" borderId="1" xfId="1" applyBorder="1" applyAlignment="1"/>
    <xf numFmtId="0" fontId="2" fillId="4" borderId="1" xfId="1" applyBorder="1" applyAlignment="1">
      <alignment horizontal="center" vertical="center"/>
    </xf>
    <xf numFmtId="0" fontId="0" fillId="0" borderId="1" xfId="0" applyBorder="1" applyAlignment="1"/>
    <xf numFmtId="0" fontId="6" fillId="0" borderId="0" xfId="0" applyFont="1" applyAlignment="1" applyProtection="1">
      <protection locked="0"/>
    </xf>
    <xf numFmtId="165" fontId="6" fillId="2" borderId="11" xfId="3" applyNumberFormat="1" applyFont="1" applyFill="1" applyBorder="1" applyAlignment="1" applyProtection="1">
      <protection locked="0"/>
    </xf>
    <xf numFmtId="164" fontId="0" fillId="0" borderId="0" xfId="3" applyFont="1"/>
    <xf numFmtId="0" fontId="5" fillId="7" borderId="1" xfId="2" applyFont="1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NumberFormat="1"/>
    <xf numFmtId="0" fontId="1" fillId="11" borderId="1" xfId="0" applyFont="1" applyFill="1" applyBorder="1" applyAlignment="1">
      <alignment horizontal="center" vertical="center"/>
    </xf>
    <xf numFmtId="15" fontId="0" fillId="0" borderId="1" xfId="0" applyNumberFormat="1" applyBorder="1"/>
    <xf numFmtId="0" fontId="6" fillId="0" borderId="1" xfId="0" applyFont="1" applyBorder="1" applyAlignment="1" applyProtection="1">
      <protection locked="0"/>
    </xf>
    <xf numFmtId="0" fontId="6" fillId="0" borderId="1" xfId="3" applyNumberFormat="1" applyFont="1" applyBorder="1" applyAlignment="1" applyProtection="1">
      <alignment horizontal="right"/>
    </xf>
    <xf numFmtId="0" fontId="0" fillId="12" borderId="1" xfId="0" applyFill="1" applyBorder="1"/>
    <xf numFmtId="0" fontId="0" fillId="12" borderId="0" xfId="0" applyFill="1"/>
    <xf numFmtId="0" fontId="0" fillId="0" borderId="1" xfId="0" applyBorder="1"/>
    <xf numFmtId="0" fontId="0" fillId="12" borderId="1" xfId="0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5" fillId="13" borderId="1" xfId="0" applyFont="1" applyFill="1" applyBorder="1" applyAlignment="1">
      <alignment horizontal="center" vertical="center"/>
    </xf>
    <xf numFmtId="0" fontId="5" fillId="14" borderId="1" xfId="0" applyFont="1" applyFill="1" applyBorder="1"/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" fillId="0" borderId="1" xfId="4" applyBorder="1" applyAlignment="1">
      <alignment horizontal="center" vertical="center"/>
    </xf>
    <xf numFmtId="0" fontId="12" fillId="17" borderId="1" xfId="0" applyFont="1" applyFill="1" applyBorder="1" applyAlignment="1" applyProtection="1">
      <alignment horizontal="center" vertical="center" wrapText="1"/>
      <protection hidden="1"/>
    </xf>
    <xf numFmtId="0" fontId="13" fillId="0" borderId="1" xfId="0" applyFont="1" applyBorder="1" applyAlignment="1">
      <alignment horizontal="center" vertical="center"/>
    </xf>
    <xf numFmtId="0" fontId="13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1" xfId="0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9" fillId="10" borderId="1" xfId="0" applyFont="1" applyFill="1" applyBorder="1" applyAlignment="1">
      <alignment horizontal="center" vertical="center"/>
    </xf>
    <xf numFmtId="0" fontId="14" fillId="6" borderId="3" xfId="0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6" borderId="8" xfId="0" applyFont="1" applyFill="1" applyBorder="1" applyAlignment="1">
      <alignment horizontal="center" vertical="center"/>
    </xf>
    <xf numFmtId="0" fontId="14" fillId="6" borderId="9" xfId="0" applyFont="1" applyFill="1" applyBorder="1" applyAlignment="1">
      <alignment horizontal="center" vertical="center"/>
    </xf>
    <xf numFmtId="0" fontId="14" fillId="6" borderId="10" xfId="0" applyFont="1" applyFill="1" applyBorder="1" applyAlignment="1">
      <alignment horizontal="center" vertical="center"/>
    </xf>
    <xf numFmtId="0" fontId="5" fillId="13" borderId="13" xfId="0" applyFont="1" applyFill="1" applyBorder="1" applyAlignment="1">
      <alignment horizontal="center" vertical="center"/>
    </xf>
    <xf numFmtId="0" fontId="5" fillId="13" borderId="1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/>
  </cellXfs>
  <cellStyles count="5">
    <cellStyle name="Accent2" xfId="2" builtinId="33"/>
    <cellStyle name="Comma" xfId="3" builtinId="3"/>
    <cellStyle name="Normal" xfId="0" builtinId="0"/>
    <cellStyle name="Output" xfId="1" builtinId="21"/>
    <cellStyle name="Total" xfId="4" builtinId="2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H20"/>
  <sheetViews>
    <sheetView zoomScale="150" zoomScaleNormal="150" workbookViewId="0">
      <selection activeCell="I6" sqref="I6"/>
    </sheetView>
  </sheetViews>
  <sheetFormatPr defaultRowHeight="15" x14ac:dyDescent="0.25"/>
  <cols>
    <col min="6" max="6" width="26.28515625" bestFit="1" customWidth="1"/>
  </cols>
  <sheetData>
    <row r="2" spans="3:8" x14ac:dyDescent="0.25">
      <c r="C2" s="44" t="s">
        <v>117</v>
      </c>
      <c r="D2" s="44"/>
      <c r="E2" s="44"/>
      <c r="F2" s="44"/>
      <c r="G2" s="44"/>
      <c r="H2" s="44"/>
    </row>
    <row r="3" spans="3:8" x14ac:dyDescent="0.25">
      <c r="C3" s="44"/>
      <c r="D3" s="44"/>
      <c r="E3" s="44"/>
      <c r="F3" s="44"/>
      <c r="G3" s="44"/>
      <c r="H3" s="44"/>
    </row>
    <row r="4" spans="3:8" x14ac:dyDescent="0.25">
      <c r="C4" s="44"/>
      <c r="D4" s="44"/>
      <c r="E4" s="44"/>
      <c r="F4" s="44"/>
      <c r="G4" s="44"/>
      <c r="H4" s="44"/>
    </row>
    <row r="6" spans="3:8" x14ac:dyDescent="0.25">
      <c r="E6" s="15" t="s">
        <v>118</v>
      </c>
      <c r="F6" s="15" t="s">
        <v>119</v>
      </c>
    </row>
    <row r="7" spans="3:8" x14ac:dyDescent="0.25">
      <c r="E7" s="2">
        <v>1</v>
      </c>
      <c r="F7" s="2" t="s">
        <v>122</v>
      </c>
    </row>
    <row r="8" spans="3:8" x14ac:dyDescent="0.25">
      <c r="E8" s="2">
        <v>2</v>
      </c>
      <c r="F8" s="2" t="s">
        <v>120</v>
      </c>
    </row>
    <row r="9" spans="3:8" x14ac:dyDescent="0.25">
      <c r="E9" s="2">
        <v>3</v>
      </c>
      <c r="F9" s="2" t="s">
        <v>121</v>
      </c>
    </row>
    <row r="10" spans="3:8" x14ac:dyDescent="0.25">
      <c r="E10" s="2">
        <v>4</v>
      </c>
      <c r="F10" s="2" t="s">
        <v>123</v>
      </c>
    </row>
    <row r="11" spans="3:8" x14ac:dyDescent="0.25">
      <c r="E11" s="2">
        <v>5</v>
      </c>
      <c r="F11" s="2" t="s">
        <v>124</v>
      </c>
    </row>
    <row r="12" spans="3:8" x14ac:dyDescent="0.25">
      <c r="E12" s="2">
        <v>6</v>
      </c>
      <c r="F12" s="2" t="s">
        <v>143</v>
      </c>
    </row>
    <row r="13" spans="3:8" x14ac:dyDescent="0.25">
      <c r="E13" s="2">
        <v>7</v>
      </c>
      <c r="F13" s="2" t="s">
        <v>144</v>
      </c>
    </row>
    <row r="14" spans="3:8" x14ac:dyDescent="0.25">
      <c r="E14" s="2">
        <v>8</v>
      </c>
      <c r="F14" s="2" t="s">
        <v>145</v>
      </c>
    </row>
    <row r="15" spans="3:8" x14ac:dyDescent="0.25">
      <c r="E15" s="2">
        <v>9</v>
      </c>
      <c r="F15" s="2" t="s">
        <v>146</v>
      </c>
    </row>
    <row r="16" spans="3:8" x14ac:dyDescent="0.25">
      <c r="E16" s="2">
        <v>10</v>
      </c>
      <c r="F16" s="2" t="s">
        <v>164</v>
      </c>
    </row>
    <row r="17" spans="5:6" x14ac:dyDescent="0.25">
      <c r="E17" s="2">
        <v>11</v>
      </c>
      <c r="F17" s="2" t="s">
        <v>165</v>
      </c>
    </row>
    <row r="18" spans="5:6" x14ac:dyDescent="0.25">
      <c r="E18" s="2">
        <v>12</v>
      </c>
      <c r="F18" s="2" t="s">
        <v>166</v>
      </c>
    </row>
    <row r="19" spans="5:6" x14ac:dyDescent="0.25">
      <c r="E19" s="2">
        <v>13</v>
      </c>
      <c r="F19" s="2" t="s">
        <v>167</v>
      </c>
    </row>
    <row r="20" spans="5:6" x14ac:dyDescent="0.25">
      <c r="E20" s="2">
        <v>14</v>
      </c>
      <c r="F20" s="2" t="s">
        <v>168</v>
      </c>
    </row>
  </sheetData>
  <mergeCells count="1">
    <mergeCell ref="C2:H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V14"/>
  <sheetViews>
    <sheetView zoomScale="150" zoomScaleNormal="150" workbookViewId="0">
      <selection activeCell="C8" sqref="C8"/>
    </sheetView>
  </sheetViews>
  <sheetFormatPr defaultRowHeight="15" x14ac:dyDescent="0.25"/>
  <cols>
    <col min="3" max="3" width="9.85546875" customWidth="1"/>
    <col min="4" max="4" width="9.42578125" customWidth="1"/>
    <col min="5" max="5" width="21.85546875" customWidth="1"/>
    <col min="6" max="6" width="13.7109375" bestFit="1" customWidth="1"/>
  </cols>
  <sheetData>
    <row r="1" spans="3:22" ht="15.75" thickBot="1" x14ac:dyDescent="0.3"/>
    <row r="2" spans="3:22" x14ac:dyDescent="0.25">
      <c r="C2" s="45" t="s">
        <v>10</v>
      </c>
      <c r="D2" s="46"/>
      <c r="E2" s="46"/>
      <c r="F2" s="46"/>
      <c r="G2" s="46"/>
      <c r="H2" s="46"/>
      <c r="I2" s="47"/>
    </row>
    <row r="3" spans="3:22" x14ac:dyDescent="0.25">
      <c r="C3" s="48"/>
      <c r="D3" s="49"/>
      <c r="E3" s="49"/>
      <c r="F3" s="49"/>
      <c r="G3" s="49"/>
      <c r="H3" s="49"/>
      <c r="I3" s="50"/>
    </row>
    <row r="4" spans="3:22" ht="15.75" thickBot="1" x14ac:dyDescent="0.3">
      <c r="C4" s="51"/>
      <c r="D4" s="52"/>
      <c r="E4" s="52"/>
      <c r="F4" s="52"/>
      <c r="G4" s="52"/>
      <c r="H4" s="52"/>
      <c r="I4" s="53"/>
    </row>
    <row r="8" spans="3:22" x14ac:dyDescent="0.25">
      <c r="E8" s="5" t="s">
        <v>10</v>
      </c>
      <c r="F8" s="5" t="s">
        <v>11</v>
      </c>
      <c r="G8" s="6" t="s">
        <v>12</v>
      </c>
    </row>
    <row r="9" spans="3:22" x14ac:dyDescent="0.25">
      <c r="E9" s="7" t="s">
        <v>13</v>
      </c>
      <c r="F9" s="7" t="s">
        <v>14</v>
      </c>
      <c r="G9" s="2">
        <v>1</v>
      </c>
      <c r="R9">
        <f>$J7</f>
        <v>0</v>
      </c>
      <c r="S9">
        <f t="shared" ref="S9:V9" si="0">$J7</f>
        <v>0</v>
      </c>
      <c r="T9">
        <f t="shared" si="0"/>
        <v>0</v>
      </c>
      <c r="U9">
        <f t="shared" si="0"/>
        <v>0</v>
      </c>
      <c r="V9">
        <f t="shared" si="0"/>
        <v>0</v>
      </c>
    </row>
    <row r="10" spans="3:22" x14ac:dyDescent="0.25">
      <c r="E10" s="7" t="s">
        <v>17</v>
      </c>
      <c r="F10" s="7" t="s">
        <v>16</v>
      </c>
      <c r="G10" s="2">
        <v>2</v>
      </c>
      <c r="R10">
        <f t="shared" ref="R10:V14" si="1">$J8</f>
        <v>0</v>
      </c>
      <c r="S10">
        <f t="shared" si="1"/>
        <v>0</v>
      </c>
      <c r="T10">
        <f t="shared" si="1"/>
        <v>0</v>
      </c>
      <c r="U10">
        <f t="shared" si="1"/>
        <v>0</v>
      </c>
      <c r="V10">
        <f t="shared" si="1"/>
        <v>0</v>
      </c>
    </row>
    <row r="11" spans="3:22" x14ac:dyDescent="0.25">
      <c r="E11" s="7" t="s">
        <v>15</v>
      </c>
      <c r="F11" s="7" t="s">
        <v>18</v>
      </c>
      <c r="G11" s="2">
        <v>3</v>
      </c>
      <c r="R11">
        <f t="shared" si="1"/>
        <v>0</v>
      </c>
      <c r="S11">
        <f t="shared" si="1"/>
        <v>0</v>
      </c>
      <c r="T11">
        <f t="shared" si="1"/>
        <v>0</v>
      </c>
      <c r="U11">
        <f t="shared" si="1"/>
        <v>0</v>
      </c>
      <c r="V11">
        <f t="shared" si="1"/>
        <v>0</v>
      </c>
    </row>
    <row r="12" spans="3:22" x14ac:dyDescent="0.25">
      <c r="E12" s="7" t="s">
        <v>19</v>
      </c>
      <c r="F12" s="7" t="s">
        <v>20</v>
      </c>
      <c r="G12" s="2">
        <v>4</v>
      </c>
      <c r="R12">
        <f t="shared" si="1"/>
        <v>0</v>
      </c>
      <c r="S12">
        <f t="shared" si="1"/>
        <v>0</v>
      </c>
      <c r="T12">
        <f t="shared" si="1"/>
        <v>0</v>
      </c>
      <c r="U12">
        <f t="shared" si="1"/>
        <v>0</v>
      </c>
      <c r="V12">
        <f t="shared" si="1"/>
        <v>0</v>
      </c>
    </row>
    <row r="13" spans="3:22" x14ac:dyDescent="0.25">
      <c r="R13">
        <f t="shared" si="1"/>
        <v>0</v>
      </c>
      <c r="S13">
        <f t="shared" si="1"/>
        <v>0</v>
      </c>
      <c r="T13">
        <f t="shared" si="1"/>
        <v>0</v>
      </c>
      <c r="U13">
        <f t="shared" si="1"/>
        <v>0</v>
      </c>
      <c r="V13">
        <f t="shared" si="1"/>
        <v>0</v>
      </c>
    </row>
    <row r="14" spans="3:22" x14ac:dyDescent="0.25">
      <c r="R14">
        <f t="shared" si="1"/>
        <v>0</v>
      </c>
      <c r="S14">
        <f t="shared" si="1"/>
        <v>0</v>
      </c>
      <c r="T14">
        <f t="shared" si="1"/>
        <v>0</v>
      </c>
      <c r="U14">
        <f t="shared" si="1"/>
        <v>0</v>
      </c>
      <c r="V14">
        <f t="shared" si="1"/>
        <v>0</v>
      </c>
    </row>
  </sheetData>
  <mergeCells count="1">
    <mergeCell ref="C2:I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F24"/>
  <sheetViews>
    <sheetView zoomScale="120" zoomScaleNormal="120" workbookViewId="0">
      <selection activeCell="D2" sqref="D2:F15"/>
    </sheetView>
  </sheetViews>
  <sheetFormatPr defaultRowHeight="15" x14ac:dyDescent="0.25"/>
  <cols>
    <col min="1" max="1" width="6.42578125" bestFit="1" customWidth="1"/>
    <col min="2" max="2" width="7.5703125" bestFit="1" customWidth="1"/>
    <col min="3" max="3" width="6.7109375" customWidth="1"/>
    <col min="4" max="4" width="8.28515625" customWidth="1"/>
    <col min="5" max="5" width="15" bestFit="1" customWidth="1"/>
    <col min="6" max="6" width="48.42578125" bestFit="1" customWidth="1"/>
  </cols>
  <sheetData>
    <row r="1" spans="3:6" x14ac:dyDescent="0.25">
      <c r="C1" s="11" t="s">
        <v>40</v>
      </c>
      <c r="D1" s="11" t="s">
        <v>41</v>
      </c>
      <c r="E1" s="11" t="s">
        <v>42</v>
      </c>
      <c r="F1" s="11" t="s">
        <v>43</v>
      </c>
    </row>
    <row r="2" spans="3:6" x14ac:dyDescent="0.25">
      <c r="C2" s="12">
        <v>1</v>
      </c>
      <c r="D2" s="12" t="s">
        <v>44</v>
      </c>
      <c r="E2" s="12" t="s">
        <v>45</v>
      </c>
      <c r="F2" s="12" t="s">
        <v>46</v>
      </c>
    </row>
    <row r="3" spans="3:6" x14ac:dyDescent="0.25">
      <c r="C3" s="13">
        <v>2</v>
      </c>
      <c r="D3" s="13" t="s">
        <v>47</v>
      </c>
      <c r="E3" s="13" t="s">
        <v>48</v>
      </c>
      <c r="F3" s="13" t="s">
        <v>46</v>
      </c>
    </row>
    <row r="4" spans="3:6" x14ac:dyDescent="0.25">
      <c r="C4" s="12">
        <v>3</v>
      </c>
      <c r="D4" s="12" t="s">
        <v>49</v>
      </c>
      <c r="E4" s="12" t="s">
        <v>50</v>
      </c>
      <c r="F4" s="12" t="s">
        <v>46</v>
      </c>
    </row>
    <row r="5" spans="3:6" x14ac:dyDescent="0.25">
      <c r="C5" s="13">
        <v>4</v>
      </c>
      <c r="D5" s="13" t="s">
        <v>51</v>
      </c>
      <c r="E5" s="13" t="s">
        <v>52</v>
      </c>
      <c r="F5" s="13" t="s">
        <v>53</v>
      </c>
    </row>
    <row r="6" spans="3:6" x14ac:dyDescent="0.25">
      <c r="C6" s="12">
        <v>5</v>
      </c>
      <c r="D6" s="12" t="s">
        <v>54</v>
      </c>
      <c r="E6" s="12" t="s">
        <v>55</v>
      </c>
      <c r="F6" s="12" t="s">
        <v>56</v>
      </c>
    </row>
    <row r="7" spans="3:6" x14ac:dyDescent="0.25">
      <c r="C7" s="13">
        <v>6</v>
      </c>
      <c r="D7" s="13" t="s">
        <v>57</v>
      </c>
      <c r="E7" s="13" t="s">
        <v>58</v>
      </c>
      <c r="F7" s="13" t="s">
        <v>59</v>
      </c>
    </row>
    <row r="8" spans="3:6" x14ac:dyDescent="0.25">
      <c r="C8" s="12">
        <v>7</v>
      </c>
      <c r="D8" s="12" t="s">
        <v>60</v>
      </c>
      <c r="E8" s="12" t="s">
        <v>61</v>
      </c>
      <c r="F8" s="12" t="s">
        <v>62</v>
      </c>
    </row>
    <row r="9" spans="3:6" x14ac:dyDescent="0.25">
      <c r="C9" s="13">
        <v>8</v>
      </c>
      <c r="D9" s="13" t="s">
        <v>63</v>
      </c>
      <c r="E9" s="13" t="s">
        <v>64</v>
      </c>
      <c r="F9" s="13" t="s">
        <v>65</v>
      </c>
    </row>
    <row r="10" spans="3:6" x14ac:dyDescent="0.25">
      <c r="C10" s="12">
        <v>9</v>
      </c>
      <c r="D10" s="12" t="s">
        <v>66</v>
      </c>
      <c r="E10" s="12" t="s">
        <v>67</v>
      </c>
      <c r="F10" s="12" t="s">
        <v>68</v>
      </c>
    </row>
    <row r="11" spans="3:6" x14ac:dyDescent="0.25">
      <c r="C11" s="13">
        <v>10</v>
      </c>
      <c r="D11" s="13" t="s">
        <v>69</v>
      </c>
      <c r="E11" s="13" t="s">
        <v>70</v>
      </c>
      <c r="F11" s="13" t="s">
        <v>71</v>
      </c>
    </row>
    <row r="12" spans="3:6" x14ac:dyDescent="0.25">
      <c r="C12" s="12">
        <v>11</v>
      </c>
      <c r="D12" s="12" t="s">
        <v>72</v>
      </c>
      <c r="E12" s="12" t="s">
        <v>73</v>
      </c>
      <c r="F12" s="12" t="s">
        <v>74</v>
      </c>
    </row>
    <row r="13" spans="3:6" x14ac:dyDescent="0.25">
      <c r="C13" s="13">
        <v>12</v>
      </c>
      <c r="D13" s="13" t="s">
        <v>75</v>
      </c>
      <c r="E13" s="13" t="s">
        <v>76</v>
      </c>
      <c r="F13" s="13" t="s">
        <v>77</v>
      </c>
    </row>
    <row r="14" spans="3:6" x14ac:dyDescent="0.25">
      <c r="C14" s="12">
        <v>13</v>
      </c>
      <c r="D14" s="12" t="s">
        <v>78</v>
      </c>
      <c r="E14" s="12" t="s">
        <v>79</v>
      </c>
      <c r="F14" s="12" t="s">
        <v>77</v>
      </c>
    </row>
    <row r="15" spans="3:6" x14ac:dyDescent="0.25">
      <c r="C15" s="13">
        <v>14</v>
      </c>
      <c r="D15" s="13" t="s">
        <v>80</v>
      </c>
      <c r="E15" s="13" t="s">
        <v>81</v>
      </c>
      <c r="F15" s="13" t="s">
        <v>82</v>
      </c>
    </row>
    <row r="16" spans="3:6" x14ac:dyDescent="0.25">
      <c r="C16" s="12">
        <v>15</v>
      </c>
      <c r="D16" s="12" t="s">
        <v>83</v>
      </c>
      <c r="E16" s="12" t="s">
        <v>84</v>
      </c>
      <c r="F16" s="12" t="s">
        <v>85</v>
      </c>
    </row>
    <row r="17" spans="3:6" x14ac:dyDescent="0.25">
      <c r="C17" s="13">
        <v>16</v>
      </c>
      <c r="D17" s="13" t="s">
        <v>86</v>
      </c>
      <c r="E17" s="13" t="s">
        <v>87</v>
      </c>
      <c r="F17" s="13" t="s">
        <v>88</v>
      </c>
    </row>
    <row r="18" spans="3:6" x14ac:dyDescent="0.25">
      <c r="C18" s="12">
        <v>17</v>
      </c>
      <c r="D18" s="12" t="s">
        <v>89</v>
      </c>
      <c r="E18" s="12" t="s">
        <v>90</v>
      </c>
      <c r="F18" s="12" t="s">
        <v>91</v>
      </c>
    </row>
    <row r="19" spans="3:6" x14ac:dyDescent="0.25">
      <c r="C19" s="13">
        <v>18</v>
      </c>
      <c r="D19" s="13" t="s">
        <v>92</v>
      </c>
      <c r="E19" s="13" t="s">
        <v>93</v>
      </c>
      <c r="F19" s="13" t="s">
        <v>94</v>
      </c>
    </row>
    <row r="20" spans="3:6" x14ac:dyDescent="0.25">
      <c r="C20" s="12">
        <v>19</v>
      </c>
      <c r="D20" s="12" t="s">
        <v>95</v>
      </c>
      <c r="E20" s="12" t="s">
        <v>96</v>
      </c>
      <c r="F20" s="12" t="s">
        <v>97</v>
      </c>
    </row>
    <row r="21" spans="3:6" x14ac:dyDescent="0.25">
      <c r="C21" s="13">
        <v>20</v>
      </c>
      <c r="D21" s="13" t="s">
        <v>98</v>
      </c>
      <c r="E21" s="13" t="s">
        <v>99</v>
      </c>
      <c r="F21" s="13" t="s">
        <v>100</v>
      </c>
    </row>
    <row r="22" spans="3:6" x14ac:dyDescent="0.25">
      <c r="C22" s="12">
        <v>21</v>
      </c>
      <c r="D22" s="12" t="s">
        <v>21</v>
      </c>
      <c r="E22" s="12" t="s">
        <v>101</v>
      </c>
      <c r="F22" s="12" t="s">
        <v>102</v>
      </c>
    </row>
    <row r="23" spans="3:6" x14ac:dyDescent="0.25">
      <c r="C23" s="13">
        <v>22</v>
      </c>
      <c r="D23" s="13" t="s">
        <v>103</v>
      </c>
      <c r="E23" s="13" t="s">
        <v>104</v>
      </c>
      <c r="F23" s="13" t="s">
        <v>105</v>
      </c>
    </row>
    <row r="24" spans="3:6" x14ac:dyDescent="0.25">
      <c r="C24" s="12">
        <v>23</v>
      </c>
      <c r="D24" s="12" t="s">
        <v>106</v>
      </c>
      <c r="E24" s="12" t="s">
        <v>107</v>
      </c>
      <c r="F24" s="12" t="s">
        <v>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zoomScale="160" zoomScaleNormal="160" workbookViewId="0">
      <pane ySplit="1" topLeftCell="A2" activePane="bottomLeft" state="frozen"/>
      <selection activeCell="C8" sqref="C8"/>
      <selection pane="bottomLeft" activeCell="G8" sqref="G8"/>
    </sheetView>
  </sheetViews>
  <sheetFormatPr defaultRowHeight="15" x14ac:dyDescent="0.25"/>
  <cols>
    <col min="6" max="6" width="10.42578125" bestFit="1" customWidth="1"/>
    <col min="11" max="11" width="11.7109375" bestFit="1" customWidth="1"/>
    <col min="12" max="12" width="7.85546875" bestFit="1" customWidth="1"/>
  </cols>
  <sheetData>
    <row r="1" spans="1:9" x14ac:dyDescent="0.25">
      <c r="A1" s="42" t="s">
        <v>148</v>
      </c>
      <c r="B1" s="42" t="s">
        <v>0</v>
      </c>
      <c r="C1" s="42" t="s">
        <v>9</v>
      </c>
      <c r="E1" s="3" t="s">
        <v>148</v>
      </c>
      <c r="F1" s="3" t="s">
        <v>0</v>
      </c>
    </row>
    <row r="2" spans="1:9" x14ac:dyDescent="0.25">
      <c r="A2" s="41" t="s">
        <v>179</v>
      </c>
      <c r="B2" s="41" t="s">
        <v>1</v>
      </c>
      <c r="C2" s="41">
        <v>12008</v>
      </c>
      <c r="E2" s="4" t="s">
        <v>179</v>
      </c>
      <c r="F2" s="4" t="s">
        <v>1</v>
      </c>
    </row>
    <row r="3" spans="1:9" x14ac:dyDescent="0.25">
      <c r="A3" s="2" t="s">
        <v>180</v>
      </c>
      <c r="B3" s="2" t="s">
        <v>2</v>
      </c>
      <c r="C3" s="2">
        <v>10177</v>
      </c>
    </row>
    <row r="4" spans="1:9" x14ac:dyDescent="0.25">
      <c r="A4" s="2" t="s">
        <v>181</v>
      </c>
      <c r="B4" s="2" t="s">
        <v>3</v>
      </c>
      <c r="C4" s="2">
        <v>10979</v>
      </c>
      <c r="F4" s="3" t="s">
        <v>8</v>
      </c>
      <c r="G4" s="3" t="s">
        <v>4</v>
      </c>
    </row>
    <row r="5" spans="1:9" x14ac:dyDescent="0.25">
      <c r="A5" s="41" t="s">
        <v>179</v>
      </c>
      <c r="B5" s="41" t="s">
        <v>1</v>
      </c>
      <c r="C5" s="41">
        <v>1624</v>
      </c>
      <c r="F5" s="1" t="s">
        <v>5</v>
      </c>
      <c r="G5" s="1">
        <f>SUM(C2:C15)</f>
        <v>95578</v>
      </c>
      <c r="H5" s="40"/>
      <c r="I5" t="s">
        <v>191</v>
      </c>
    </row>
    <row r="6" spans="1:9" x14ac:dyDescent="0.25">
      <c r="A6" s="39" t="s">
        <v>180</v>
      </c>
      <c r="B6" s="2" t="s">
        <v>2</v>
      </c>
      <c r="C6" s="2">
        <v>2984</v>
      </c>
      <c r="F6" s="1" t="s">
        <v>6</v>
      </c>
      <c r="G6" s="1">
        <f>SUMIF(A2:A15,E2,C2:C15)</f>
        <v>30364</v>
      </c>
      <c r="H6" s="40"/>
      <c r="I6" t="s">
        <v>192</v>
      </c>
    </row>
    <row r="7" spans="1:9" x14ac:dyDescent="0.25">
      <c r="A7" s="39" t="s">
        <v>181</v>
      </c>
      <c r="B7" s="2" t="s">
        <v>3</v>
      </c>
      <c r="C7" s="2">
        <v>4861</v>
      </c>
      <c r="F7" s="1" t="s">
        <v>7</v>
      </c>
      <c r="G7" s="1">
        <f>SUMIFS(C2:C15,A2:A15,E2,B2:B15,F2)</f>
        <v>16876</v>
      </c>
      <c r="H7" s="40"/>
      <c r="I7" t="s">
        <v>193</v>
      </c>
    </row>
    <row r="8" spans="1:9" x14ac:dyDescent="0.25">
      <c r="A8" s="41" t="s">
        <v>179</v>
      </c>
      <c r="B8" s="41" t="s">
        <v>1</v>
      </c>
      <c r="C8" s="41">
        <v>3244</v>
      </c>
    </row>
    <row r="9" spans="1:9" x14ac:dyDescent="0.25">
      <c r="A9" s="39" t="s">
        <v>180</v>
      </c>
      <c r="B9" s="2" t="s">
        <v>1</v>
      </c>
      <c r="C9" s="2">
        <v>11802</v>
      </c>
    </row>
    <row r="10" spans="1:9" x14ac:dyDescent="0.25">
      <c r="A10" s="39" t="s">
        <v>179</v>
      </c>
      <c r="B10" s="2" t="s">
        <v>2</v>
      </c>
      <c r="C10" s="2">
        <v>3207</v>
      </c>
    </row>
    <row r="11" spans="1:9" x14ac:dyDescent="0.25">
      <c r="A11" s="39" t="s">
        <v>180</v>
      </c>
      <c r="B11" s="2" t="s">
        <v>1</v>
      </c>
      <c r="C11" s="2">
        <v>9828</v>
      </c>
    </row>
    <row r="12" spans="1:9" x14ac:dyDescent="0.25">
      <c r="A12" s="39" t="s">
        <v>181</v>
      </c>
      <c r="B12" s="2" t="s">
        <v>2</v>
      </c>
      <c r="C12" s="2">
        <v>11270</v>
      </c>
    </row>
    <row r="13" spans="1:9" x14ac:dyDescent="0.25">
      <c r="A13" s="39" t="s">
        <v>179</v>
      </c>
      <c r="B13" s="2" t="s">
        <v>3</v>
      </c>
      <c r="C13" s="2">
        <v>10281</v>
      </c>
    </row>
    <row r="14" spans="1:9" x14ac:dyDescent="0.25">
      <c r="A14" s="39" t="s">
        <v>180</v>
      </c>
      <c r="B14" s="2" t="s">
        <v>1</v>
      </c>
      <c r="C14" s="2">
        <v>1656</v>
      </c>
    </row>
    <row r="15" spans="1:9" x14ac:dyDescent="0.25">
      <c r="A15" s="39" t="s">
        <v>181</v>
      </c>
      <c r="B15" s="2" t="s">
        <v>2</v>
      </c>
      <c r="C15" s="2">
        <v>1657</v>
      </c>
    </row>
  </sheetData>
  <dataValidations count="2">
    <dataValidation type="list" allowBlank="1" showInputMessage="1" showErrorMessage="1" sqref="E2">
      <formula1>"Santosh,Rahul,Sonu"</formula1>
    </dataValidation>
    <dataValidation type="list" allowBlank="1" showInputMessage="1" showErrorMessage="1" sqref="F2">
      <formula1>$B$2:$B$4</formula1>
    </dataValidation>
  </dataValidation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429"/>
  <sheetViews>
    <sheetView zoomScale="160" zoomScaleNormal="160" workbookViewId="0">
      <selection activeCell="I5" sqref="I5"/>
    </sheetView>
  </sheetViews>
  <sheetFormatPr defaultRowHeight="15" x14ac:dyDescent="0.25"/>
  <cols>
    <col min="1" max="1" width="10.28515625" style="25" bestFit="1" customWidth="1"/>
    <col min="2" max="2" width="9.140625" style="25"/>
    <col min="3" max="3" width="12.28515625" style="25" bestFit="1" customWidth="1"/>
    <col min="4" max="4" width="9.140625" style="25"/>
    <col min="5" max="5" width="9" style="25" bestFit="1" customWidth="1"/>
    <col min="8" max="8" width="10.28515625" style="25" bestFit="1" customWidth="1"/>
  </cols>
  <sheetData>
    <row r="1" spans="1:9" x14ac:dyDescent="0.25">
      <c r="A1" s="23" t="s">
        <v>109</v>
      </c>
      <c r="B1" s="23" t="s">
        <v>0</v>
      </c>
      <c r="C1" s="23" t="s">
        <v>110</v>
      </c>
      <c r="D1" s="23" t="s">
        <v>111</v>
      </c>
      <c r="E1" s="23" t="s">
        <v>112</v>
      </c>
      <c r="H1" s="23" t="s">
        <v>109</v>
      </c>
      <c r="I1" s="23" t="s">
        <v>112</v>
      </c>
    </row>
    <row r="2" spans="1:9" x14ac:dyDescent="0.25">
      <c r="A2" s="24" t="s">
        <v>126</v>
      </c>
      <c r="B2" s="24" t="s">
        <v>113</v>
      </c>
      <c r="C2" s="24">
        <v>903</v>
      </c>
      <c r="D2" s="24">
        <v>15</v>
      </c>
      <c r="E2" s="24">
        <f t="shared" ref="E2:E65" si="0">C2*D2</f>
        <v>13545</v>
      </c>
      <c r="H2" s="24" t="s">
        <v>126</v>
      </c>
      <c r="I2">
        <f>SUMIF(A:A,H2,E:E)</f>
        <v>486537.5</v>
      </c>
    </row>
    <row r="3" spans="1:9" x14ac:dyDescent="0.25">
      <c r="A3" s="24" t="s">
        <v>130</v>
      </c>
      <c r="B3" s="24" t="s">
        <v>113</v>
      </c>
      <c r="C3" s="24">
        <v>331</v>
      </c>
      <c r="D3" s="24">
        <v>15</v>
      </c>
      <c r="E3" s="24">
        <v>43</v>
      </c>
      <c r="H3" s="24" t="s">
        <v>130</v>
      </c>
      <c r="I3">
        <f t="shared" ref="I3:I8" si="1">SUMIF(A:A,H3,E:E)</f>
        <v>374684.5</v>
      </c>
    </row>
    <row r="4" spans="1:9" x14ac:dyDescent="0.25">
      <c r="A4" s="24" t="s">
        <v>128</v>
      </c>
      <c r="B4" s="24" t="s">
        <v>114</v>
      </c>
      <c r="C4" s="24">
        <v>299</v>
      </c>
      <c r="D4" s="24">
        <v>20</v>
      </c>
      <c r="E4" s="24">
        <v>34</v>
      </c>
      <c r="H4" s="24" t="s">
        <v>128</v>
      </c>
      <c r="I4">
        <f t="shared" si="1"/>
        <v>415096</v>
      </c>
    </row>
    <row r="5" spans="1:9" x14ac:dyDescent="0.25">
      <c r="A5" s="24" t="s">
        <v>128</v>
      </c>
      <c r="B5" s="24" t="s">
        <v>113</v>
      </c>
      <c r="C5" s="24">
        <v>612</v>
      </c>
      <c r="D5" s="24">
        <v>15</v>
      </c>
      <c r="E5" s="24">
        <v>34</v>
      </c>
      <c r="H5" s="24" t="s">
        <v>131</v>
      </c>
      <c r="I5">
        <f t="shared" si="1"/>
        <v>525906.5</v>
      </c>
    </row>
    <row r="6" spans="1:9" x14ac:dyDescent="0.25">
      <c r="A6" s="24" t="s">
        <v>131</v>
      </c>
      <c r="B6" s="24" t="s">
        <v>115</v>
      </c>
      <c r="C6" s="24">
        <v>907</v>
      </c>
      <c r="D6" s="24">
        <v>12.5</v>
      </c>
      <c r="E6" s="24">
        <v>53</v>
      </c>
      <c r="H6" s="24" t="s">
        <v>127</v>
      </c>
      <c r="I6">
        <f t="shared" si="1"/>
        <v>590616.5</v>
      </c>
    </row>
    <row r="7" spans="1:9" x14ac:dyDescent="0.25">
      <c r="A7" s="24" t="s">
        <v>130</v>
      </c>
      <c r="B7" s="24" t="s">
        <v>116</v>
      </c>
      <c r="C7" s="24">
        <v>107</v>
      </c>
      <c r="D7" s="24">
        <v>18</v>
      </c>
      <c r="E7" s="24">
        <v>4</v>
      </c>
      <c r="H7" s="24" t="s">
        <v>129</v>
      </c>
      <c r="I7">
        <f t="shared" si="1"/>
        <v>507965.5</v>
      </c>
    </row>
    <row r="8" spans="1:9" x14ac:dyDescent="0.25">
      <c r="A8" s="24" t="s">
        <v>131</v>
      </c>
      <c r="B8" s="24" t="s">
        <v>115</v>
      </c>
      <c r="C8" s="24">
        <v>770</v>
      </c>
      <c r="D8" s="24">
        <v>12.5</v>
      </c>
      <c r="E8" s="24">
        <v>34</v>
      </c>
      <c r="H8" s="24" t="s">
        <v>132</v>
      </c>
      <c r="I8">
        <f t="shared" si="1"/>
        <v>459781</v>
      </c>
    </row>
    <row r="9" spans="1:9" x14ac:dyDescent="0.25">
      <c r="A9" s="24" t="s">
        <v>127</v>
      </c>
      <c r="B9" s="24" t="s">
        <v>115</v>
      </c>
      <c r="C9" s="24">
        <v>223</v>
      </c>
      <c r="D9" s="24">
        <v>12.5</v>
      </c>
      <c r="E9" s="24">
        <v>343</v>
      </c>
      <c r="H9"/>
    </row>
    <row r="10" spans="1:9" x14ac:dyDescent="0.25">
      <c r="A10" s="24" t="s">
        <v>131</v>
      </c>
      <c r="B10" s="24" t="s">
        <v>113</v>
      </c>
      <c r="C10" s="24">
        <v>132</v>
      </c>
      <c r="D10" s="24">
        <v>15</v>
      </c>
      <c r="E10" s="24">
        <v>3</v>
      </c>
      <c r="H10"/>
    </row>
    <row r="11" spans="1:9" x14ac:dyDescent="0.25">
      <c r="A11" s="24" t="s">
        <v>128</v>
      </c>
      <c r="B11" s="24" t="s">
        <v>113</v>
      </c>
      <c r="C11" s="24">
        <v>669</v>
      </c>
      <c r="D11" s="24">
        <v>15</v>
      </c>
      <c r="E11" s="24">
        <v>34</v>
      </c>
      <c r="H11"/>
    </row>
    <row r="12" spans="1:9" x14ac:dyDescent="0.25">
      <c r="A12" s="24" t="s">
        <v>126</v>
      </c>
      <c r="B12" s="24" t="s">
        <v>114</v>
      </c>
      <c r="C12" s="24">
        <v>881</v>
      </c>
      <c r="D12" s="24">
        <v>20</v>
      </c>
      <c r="E12" s="24">
        <v>34</v>
      </c>
      <c r="H12"/>
    </row>
    <row r="13" spans="1:9" x14ac:dyDescent="0.25">
      <c r="A13" s="24" t="s">
        <v>129</v>
      </c>
      <c r="B13" s="24" t="s">
        <v>116</v>
      </c>
      <c r="C13" s="24">
        <v>624</v>
      </c>
      <c r="D13" s="24">
        <v>18</v>
      </c>
      <c r="E13" s="24">
        <v>34</v>
      </c>
      <c r="H13"/>
    </row>
    <row r="14" spans="1:9" x14ac:dyDescent="0.25">
      <c r="A14" s="24" t="s">
        <v>128</v>
      </c>
      <c r="B14" s="24" t="s">
        <v>114</v>
      </c>
      <c r="C14" s="24">
        <v>193</v>
      </c>
      <c r="D14" s="24">
        <v>20</v>
      </c>
      <c r="E14" s="24">
        <f t="shared" si="0"/>
        <v>3860</v>
      </c>
      <c r="H14"/>
    </row>
    <row r="15" spans="1:9" x14ac:dyDescent="0.25">
      <c r="A15" s="24" t="s">
        <v>129</v>
      </c>
      <c r="B15" s="24" t="s">
        <v>114</v>
      </c>
      <c r="C15" s="24">
        <v>255</v>
      </c>
      <c r="D15" s="24">
        <v>20</v>
      </c>
      <c r="E15" s="24">
        <f t="shared" si="0"/>
        <v>5100</v>
      </c>
      <c r="H15"/>
    </row>
    <row r="16" spans="1:9" x14ac:dyDescent="0.25">
      <c r="A16" s="24" t="s">
        <v>128</v>
      </c>
      <c r="B16" s="24" t="s">
        <v>114</v>
      </c>
      <c r="C16" s="24">
        <v>6</v>
      </c>
      <c r="D16" s="24">
        <v>20</v>
      </c>
      <c r="E16" s="24">
        <f t="shared" si="0"/>
        <v>120</v>
      </c>
      <c r="H16"/>
    </row>
    <row r="17" spans="1:8" x14ac:dyDescent="0.25">
      <c r="A17" s="24" t="s">
        <v>131</v>
      </c>
      <c r="B17" s="24" t="s">
        <v>114</v>
      </c>
      <c r="C17" s="24">
        <v>311</v>
      </c>
      <c r="D17" s="24">
        <v>20</v>
      </c>
      <c r="E17" s="24">
        <f t="shared" si="0"/>
        <v>6220</v>
      </c>
      <c r="H17"/>
    </row>
    <row r="18" spans="1:8" x14ac:dyDescent="0.25">
      <c r="A18" s="24" t="s">
        <v>127</v>
      </c>
      <c r="B18" s="24" t="s">
        <v>113</v>
      </c>
      <c r="C18" s="24">
        <v>9</v>
      </c>
      <c r="D18" s="24">
        <v>15</v>
      </c>
      <c r="E18" s="24">
        <f t="shared" si="0"/>
        <v>135</v>
      </c>
      <c r="H18"/>
    </row>
    <row r="19" spans="1:8" x14ac:dyDescent="0.25">
      <c r="A19" s="24" t="s">
        <v>130</v>
      </c>
      <c r="B19" s="24" t="s">
        <v>115</v>
      </c>
      <c r="C19" s="24">
        <v>706</v>
      </c>
      <c r="D19" s="24">
        <v>12.5</v>
      </c>
      <c r="E19" s="24">
        <f t="shared" si="0"/>
        <v>8825</v>
      </c>
      <c r="H19"/>
    </row>
    <row r="20" spans="1:8" x14ac:dyDescent="0.25">
      <c r="A20" s="24" t="s">
        <v>127</v>
      </c>
      <c r="B20" s="24" t="s">
        <v>114</v>
      </c>
      <c r="C20" s="24">
        <v>441</v>
      </c>
      <c r="D20" s="24">
        <v>20</v>
      </c>
      <c r="E20" s="24">
        <f t="shared" si="0"/>
        <v>8820</v>
      </c>
      <c r="H20"/>
    </row>
    <row r="21" spans="1:8" x14ac:dyDescent="0.25">
      <c r="A21" s="24" t="s">
        <v>132</v>
      </c>
      <c r="B21" s="24" t="s">
        <v>113</v>
      </c>
      <c r="C21" s="24">
        <v>936</v>
      </c>
      <c r="D21" s="24">
        <v>15</v>
      </c>
      <c r="E21" s="24">
        <f t="shared" si="0"/>
        <v>14040</v>
      </c>
      <c r="H21"/>
    </row>
    <row r="22" spans="1:8" x14ac:dyDescent="0.25">
      <c r="A22" s="24" t="s">
        <v>126</v>
      </c>
      <c r="B22" s="24" t="s">
        <v>113</v>
      </c>
      <c r="C22" s="24">
        <v>901</v>
      </c>
      <c r="D22" s="24">
        <v>15</v>
      </c>
      <c r="E22" s="24">
        <f t="shared" si="0"/>
        <v>13515</v>
      </c>
      <c r="H22"/>
    </row>
    <row r="23" spans="1:8" x14ac:dyDescent="0.25">
      <c r="A23" s="24" t="s">
        <v>127</v>
      </c>
      <c r="B23" s="24" t="s">
        <v>113</v>
      </c>
      <c r="C23" s="24">
        <v>631</v>
      </c>
      <c r="D23" s="24">
        <v>15</v>
      </c>
      <c r="E23" s="24">
        <f t="shared" si="0"/>
        <v>9465</v>
      </c>
      <c r="H23"/>
    </row>
    <row r="24" spans="1:8" x14ac:dyDescent="0.25">
      <c r="A24" s="24" t="s">
        <v>127</v>
      </c>
      <c r="B24" s="24" t="s">
        <v>115</v>
      </c>
      <c r="C24" s="24">
        <v>181</v>
      </c>
      <c r="D24" s="24">
        <v>12.5</v>
      </c>
      <c r="E24" s="24">
        <f t="shared" si="0"/>
        <v>2262.5</v>
      </c>
      <c r="H24"/>
    </row>
    <row r="25" spans="1:8" x14ac:dyDescent="0.25">
      <c r="A25" s="24" t="s">
        <v>132</v>
      </c>
      <c r="B25" s="24" t="s">
        <v>116</v>
      </c>
      <c r="C25" s="24">
        <v>748</v>
      </c>
      <c r="D25" s="24">
        <v>18</v>
      </c>
      <c r="E25" s="24">
        <f t="shared" si="0"/>
        <v>13464</v>
      </c>
      <c r="H25"/>
    </row>
    <row r="26" spans="1:8" x14ac:dyDescent="0.25">
      <c r="A26" s="24" t="s">
        <v>132</v>
      </c>
      <c r="B26" s="24" t="s">
        <v>114</v>
      </c>
      <c r="C26" s="24">
        <v>593</v>
      </c>
      <c r="D26" s="24">
        <v>20</v>
      </c>
      <c r="E26" s="24">
        <f t="shared" si="0"/>
        <v>11860</v>
      </c>
      <c r="H26"/>
    </row>
    <row r="27" spans="1:8" x14ac:dyDescent="0.25">
      <c r="A27" s="24" t="s">
        <v>128</v>
      </c>
      <c r="B27" s="24" t="s">
        <v>113</v>
      </c>
      <c r="C27" s="24">
        <v>845</v>
      </c>
      <c r="D27" s="24">
        <v>15</v>
      </c>
      <c r="E27" s="24">
        <f t="shared" si="0"/>
        <v>12675</v>
      </c>
      <c r="H27"/>
    </row>
    <row r="28" spans="1:8" x14ac:dyDescent="0.25">
      <c r="A28" s="24" t="s">
        <v>127</v>
      </c>
      <c r="B28" s="24" t="s">
        <v>115</v>
      </c>
      <c r="C28" s="24">
        <v>742</v>
      </c>
      <c r="D28" s="24">
        <v>12.5</v>
      </c>
      <c r="E28" s="24">
        <f t="shared" si="0"/>
        <v>9275</v>
      </c>
      <c r="H28"/>
    </row>
    <row r="29" spans="1:8" x14ac:dyDescent="0.25">
      <c r="A29" s="24" t="s">
        <v>127</v>
      </c>
      <c r="B29" s="24" t="s">
        <v>114</v>
      </c>
      <c r="C29" s="24">
        <v>804</v>
      </c>
      <c r="D29" s="24">
        <v>20</v>
      </c>
      <c r="E29" s="24">
        <f t="shared" si="0"/>
        <v>16080</v>
      </c>
      <c r="H29"/>
    </row>
    <row r="30" spans="1:8" x14ac:dyDescent="0.25">
      <c r="A30" s="24" t="s">
        <v>131</v>
      </c>
      <c r="B30" s="24" t="s">
        <v>113</v>
      </c>
      <c r="C30" s="24">
        <v>863</v>
      </c>
      <c r="D30" s="24">
        <v>15</v>
      </c>
      <c r="E30" s="24">
        <f t="shared" si="0"/>
        <v>12945</v>
      </c>
      <c r="H30"/>
    </row>
    <row r="31" spans="1:8" x14ac:dyDescent="0.25">
      <c r="A31" s="24" t="s">
        <v>126</v>
      </c>
      <c r="B31" s="24" t="s">
        <v>115</v>
      </c>
      <c r="C31" s="24">
        <v>27</v>
      </c>
      <c r="D31" s="24">
        <v>12.5</v>
      </c>
      <c r="E31" s="24">
        <f t="shared" si="0"/>
        <v>337.5</v>
      </c>
      <c r="H31"/>
    </row>
    <row r="32" spans="1:8" x14ac:dyDescent="0.25">
      <c r="A32" s="24" t="s">
        <v>127</v>
      </c>
      <c r="B32" s="24" t="s">
        <v>116</v>
      </c>
      <c r="C32" s="24">
        <v>996</v>
      </c>
      <c r="D32" s="24">
        <v>18</v>
      </c>
      <c r="E32" s="24">
        <f t="shared" si="0"/>
        <v>17928</v>
      </c>
      <c r="H32"/>
    </row>
    <row r="33" spans="1:8" x14ac:dyDescent="0.25">
      <c r="A33" s="24" t="s">
        <v>127</v>
      </c>
      <c r="B33" s="24" t="s">
        <v>113</v>
      </c>
      <c r="C33" s="24">
        <v>217</v>
      </c>
      <c r="D33" s="24">
        <v>15</v>
      </c>
      <c r="E33" s="24">
        <f t="shared" si="0"/>
        <v>3255</v>
      </c>
      <c r="H33"/>
    </row>
    <row r="34" spans="1:8" x14ac:dyDescent="0.25">
      <c r="A34" s="24" t="s">
        <v>130</v>
      </c>
      <c r="B34" s="24" t="s">
        <v>113</v>
      </c>
      <c r="C34" s="24">
        <v>206</v>
      </c>
      <c r="D34" s="24">
        <v>15</v>
      </c>
      <c r="E34" s="24">
        <f t="shared" si="0"/>
        <v>3090</v>
      </c>
      <c r="H34"/>
    </row>
    <row r="35" spans="1:8" x14ac:dyDescent="0.25">
      <c r="A35" s="24" t="s">
        <v>131</v>
      </c>
      <c r="B35" s="24" t="s">
        <v>114</v>
      </c>
      <c r="C35" s="24">
        <v>771</v>
      </c>
      <c r="D35" s="24">
        <v>20</v>
      </c>
      <c r="E35" s="24">
        <f t="shared" si="0"/>
        <v>15420</v>
      </c>
      <c r="H35"/>
    </row>
    <row r="36" spans="1:8" x14ac:dyDescent="0.25">
      <c r="A36" s="24" t="s">
        <v>126</v>
      </c>
      <c r="B36" s="24" t="s">
        <v>115</v>
      </c>
      <c r="C36" s="24">
        <v>274</v>
      </c>
      <c r="D36" s="24">
        <v>12.5</v>
      </c>
      <c r="E36" s="24">
        <f t="shared" si="0"/>
        <v>3425</v>
      </c>
      <c r="H36"/>
    </row>
    <row r="37" spans="1:8" x14ac:dyDescent="0.25">
      <c r="A37" s="24" t="s">
        <v>127</v>
      </c>
      <c r="B37" s="24" t="s">
        <v>113</v>
      </c>
      <c r="C37" s="24">
        <v>523</v>
      </c>
      <c r="D37" s="24">
        <v>15</v>
      </c>
      <c r="E37" s="24">
        <f t="shared" si="0"/>
        <v>7845</v>
      </c>
      <c r="H37"/>
    </row>
    <row r="38" spans="1:8" x14ac:dyDescent="0.25">
      <c r="A38" s="24" t="s">
        <v>131</v>
      </c>
      <c r="B38" s="24" t="s">
        <v>116</v>
      </c>
      <c r="C38" s="24">
        <v>934</v>
      </c>
      <c r="D38" s="24">
        <v>18</v>
      </c>
      <c r="E38" s="24">
        <f t="shared" si="0"/>
        <v>16812</v>
      </c>
      <c r="H38"/>
    </row>
    <row r="39" spans="1:8" x14ac:dyDescent="0.25">
      <c r="A39" s="24" t="s">
        <v>130</v>
      </c>
      <c r="B39" s="24" t="s">
        <v>116</v>
      </c>
      <c r="C39" s="24">
        <v>165</v>
      </c>
      <c r="D39" s="24">
        <v>18</v>
      </c>
      <c r="E39" s="24">
        <f t="shared" si="0"/>
        <v>2970</v>
      </c>
      <c r="H39"/>
    </row>
    <row r="40" spans="1:8" x14ac:dyDescent="0.25">
      <c r="A40" s="24" t="s">
        <v>128</v>
      </c>
      <c r="B40" s="24" t="s">
        <v>113</v>
      </c>
      <c r="C40" s="24">
        <v>272</v>
      </c>
      <c r="D40" s="24">
        <v>15</v>
      </c>
      <c r="E40" s="24">
        <f t="shared" si="0"/>
        <v>4080</v>
      </c>
      <c r="H40"/>
    </row>
    <row r="41" spans="1:8" x14ac:dyDescent="0.25">
      <c r="A41" s="24" t="s">
        <v>126</v>
      </c>
      <c r="B41" s="24" t="s">
        <v>116</v>
      </c>
      <c r="C41" s="24">
        <v>92</v>
      </c>
      <c r="D41" s="24">
        <v>18</v>
      </c>
      <c r="E41" s="24">
        <f t="shared" si="0"/>
        <v>1656</v>
      </c>
      <c r="H41"/>
    </row>
    <row r="42" spans="1:8" x14ac:dyDescent="0.25">
      <c r="A42" s="24" t="s">
        <v>131</v>
      </c>
      <c r="B42" s="24" t="s">
        <v>115</v>
      </c>
      <c r="C42" s="24">
        <v>390</v>
      </c>
      <c r="D42" s="24">
        <v>12.5</v>
      </c>
      <c r="E42" s="24">
        <f t="shared" si="0"/>
        <v>4875</v>
      </c>
      <c r="H42"/>
    </row>
    <row r="43" spans="1:8" x14ac:dyDescent="0.25">
      <c r="A43" s="24" t="s">
        <v>129</v>
      </c>
      <c r="B43" s="24" t="s">
        <v>115</v>
      </c>
      <c r="C43" s="24">
        <v>32</v>
      </c>
      <c r="D43" s="24">
        <v>12.5</v>
      </c>
      <c r="E43" s="24">
        <f t="shared" si="0"/>
        <v>400</v>
      </c>
      <c r="H43"/>
    </row>
    <row r="44" spans="1:8" x14ac:dyDescent="0.25">
      <c r="A44" s="24" t="s">
        <v>126</v>
      </c>
      <c r="B44" s="24" t="s">
        <v>113</v>
      </c>
      <c r="C44" s="24">
        <v>473</v>
      </c>
      <c r="D44" s="24">
        <v>15</v>
      </c>
      <c r="E44" s="24">
        <f t="shared" si="0"/>
        <v>7095</v>
      </c>
      <c r="H44"/>
    </row>
    <row r="45" spans="1:8" x14ac:dyDescent="0.25">
      <c r="A45" s="24" t="s">
        <v>128</v>
      </c>
      <c r="B45" s="24" t="s">
        <v>115</v>
      </c>
      <c r="C45" s="24">
        <v>574</v>
      </c>
      <c r="D45" s="24">
        <v>12.5</v>
      </c>
      <c r="E45" s="24">
        <f t="shared" si="0"/>
        <v>7175</v>
      </c>
      <c r="H45"/>
    </row>
    <row r="46" spans="1:8" x14ac:dyDescent="0.25">
      <c r="A46" s="24" t="s">
        <v>132</v>
      </c>
      <c r="B46" s="24" t="s">
        <v>115</v>
      </c>
      <c r="C46" s="24">
        <v>295</v>
      </c>
      <c r="D46" s="24">
        <v>12.5</v>
      </c>
      <c r="E46" s="24">
        <f t="shared" si="0"/>
        <v>3687.5</v>
      </c>
      <c r="H46"/>
    </row>
    <row r="47" spans="1:8" x14ac:dyDescent="0.25">
      <c r="A47" s="24" t="s">
        <v>129</v>
      </c>
      <c r="B47" s="24" t="s">
        <v>116</v>
      </c>
      <c r="C47" s="24">
        <v>200</v>
      </c>
      <c r="D47" s="24">
        <v>18</v>
      </c>
      <c r="E47" s="24">
        <f t="shared" si="0"/>
        <v>3600</v>
      </c>
      <c r="H47"/>
    </row>
    <row r="48" spans="1:8" x14ac:dyDescent="0.25">
      <c r="A48" s="24" t="s">
        <v>128</v>
      </c>
      <c r="B48" s="24" t="s">
        <v>113</v>
      </c>
      <c r="C48" s="24">
        <v>769</v>
      </c>
      <c r="D48" s="24">
        <v>15</v>
      </c>
      <c r="E48" s="24">
        <f t="shared" si="0"/>
        <v>11535</v>
      </c>
      <c r="H48"/>
    </row>
    <row r="49" spans="1:8" x14ac:dyDescent="0.25">
      <c r="A49" s="24" t="s">
        <v>131</v>
      </c>
      <c r="B49" s="24" t="s">
        <v>114</v>
      </c>
      <c r="C49" s="24">
        <v>33</v>
      </c>
      <c r="D49" s="24">
        <v>20</v>
      </c>
      <c r="E49" s="24">
        <f t="shared" si="0"/>
        <v>660</v>
      </c>
      <c r="H49"/>
    </row>
    <row r="50" spans="1:8" x14ac:dyDescent="0.25">
      <c r="A50" s="24" t="s">
        <v>129</v>
      </c>
      <c r="B50" s="24" t="s">
        <v>115</v>
      </c>
      <c r="C50" s="24">
        <v>335</v>
      </c>
      <c r="D50" s="24">
        <v>12.5</v>
      </c>
      <c r="E50" s="24">
        <f t="shared" si="0"/>
        <v>4187.5</v>
      </c>
      <c r="H50"/>
    </row>
    <row r="51" spans="1:8" x14ac:dyDescent="0.25">
      <c r="A51" s="24" t="s">
        <v>127</v>
      </c>
      <c r="B51" s="24" t="s">
        <v>114</v>
      </c>
      <c r="C51" s="24">
        <v>694</v>
      </c>
      <c r="D51" s="24">
        <v>20</v>
      </c>
      <c r="E51" s="24">
        <f t="shared" si="0"/>
        <v>13880</v>
      </c>
      <c r="H51"/>
    </row>
    <row r="52" spans="1:8" x14ac:dyDescent="0.25">
      <c r="A52" s="24" t="s">
        <v>127</v>
      </c>
      <c r="B52" s="24" t="s">
        <v>113</v>
      </c>
      <c r="C52" s="24">
        <v>175</v>
      </c>
      <c r="D52" s="24">
        <v>15</v>
      </c>
      <c r="E52" s="24">
        <f t="shared" si="0"/>
        <v>2625</v>
      </c>
      <c r="H52"/>
    </row>
    <row r="53" spans="1:8" x14ac:dyDescent="0.25">
      <c r="A53" s="24" t="s">
        <v>128</v>
      </c>
      <c r="B53" s="24" t="s">
        <v>113</v>
      </c>
      <c r="C53" s="24">
        <v>589</v>
      </c>
      <c r="D53" s="24">
        <v>15</v>
      </c>
      <c r="E53" s="24">
        <f t="shared" si="0"/>
        <v>8835</v>
      </c>
      <c r="H53"/>
    </row>
    <row r="54" spans="1:8" x14ac:dyDescent="0.25">
      <c r="A54" s="24" t="s">
        <v>130</v>
      </c>
      <c r="B54" s="24" t="s">
        <v>113</v>
      </c>
      <c r="C54" s="24">
        <v>291</v>
      </c>
      <c r="D54" s="24">
        <v>15</v>
      </c>
      <c r="E54" s="24">
        <f t="shared" si="0"/>
        <v>4365</v>
      </c>
      <c r="H54"/>
    </row>
    <row r="55" spans="1:8" x14ac:dyDescent="0.25">
      <c r="A55" s="24" t="s">
        <v>131</v>
      </c>
      <c r="B55" s="24" t="s">
        <v>115</v>
      </c>
      <c r="C55" s="24">
        <v>899</v>
      </c>
      <c r="D55" s="24">
        <v>12.5</v>
      </c>
      <c r="E55" s="24">
        <f t="shared" si="0"/>
        <v>11237.5</v>
      </c>
      <c r="H55"/>
    </row>
    <row r="56" spans="1:8" x14ac:dyDescent="0.25">
      <c r="A56" s="24" t="s">
        <v>131</v>
      </c>
      <c r="B56" s="24" t="s">
        <v>115</v>
      </c>
      <c r="C56" s="24">
        <v>1</v>
      </c>
      <c r="D56" s="24">
        <v>12.5</v>
      </c>
      <c r="E56" s="24">
        <f t="shared" si="0"/>
        <v>12.5</v>
      </c>
      <c r="H56"/>
    </row>
    <row r="57" spans="1:8" x14ac:dyDescent="0.25">
      <c r="A57" s="24" t="s">
        <v>132</v>
      </c>
      <c r="B57" s="24" t="s">
        <v>113</v>
      </c>
      <c r="C57" s="24">
        <v>674</v>
      </c>
      <c r="D57" s="24">
        <v>15</v>
      </c>
      <c r="E57" s="24">
        <f t="shared" si="0"/>
        <v>10110</v>
      </c>
      <c r="H57"/>
    </row>
    <row r="58" spans="1:8" x14ac:dyDescent="0.25">
      <c r="A58" s="24" t="s">
        <v>126</v>
      </c>
      <c r="B58" s="24" t="s">
        <v>116</v>
      </c>
      <c r="C58" s="24">
        <v>575</v>
      </c>
      <c r="D58" s="24">
        <v>18</v>
      </c>
      <c r="E58" s="24">
        <f t="shared" si="0"/>
        <v>10350</v>
      </c>
      <c r="H58"/>
    </row>
    <row r="59" spans="1:8" x14ac:dyDescent="0.25">
      <c r="A59" s="24" t="s">
        <v>126</v>
      </c>
      <c r="B59" s="24" t="s">
        <v>113</v>
      </c>
      <c r="C59" s="24">
        <v>396</v>
      </c>
      <c r="D59" s="24">
        <v>15</v>
      </c>
      <c r="E59" s="24">
        <f t="shared" si="0"/>
        <v>5940</v>
      </c>
      <c r="H59"/>
    </row>
    <row r="60" spans="1:8" x14ac:dyDescent="0.25">
      <c r="A60" s="24" t="s">
        <v>131</v>
      </c>
      <c r="B60" s="24" t="s">
        <v>115</v>
      </c>
      <c r="C60" s="24">
        <v>292</v>
      </c>
      <c r="D60" s="24">
        <v>12.5</v>
      </c>
      <c r="E60" s="24">
        <f t="shared" si="0"/>
        <v>3650</v>
      </c>
      <c r="H60"/>
    </row>
    <row r="61" spans="1:8" x14ac:dyDescent="0.25">
      <c r="A61" s="24" t="s">
        <v>132</v>
      </c>
      <c r="B61" s="24" t="s">
        <v>114</v>
      </c>
      <c r="C61" s="24">
        <v>99</v>
      </c>
      <c r="D61" s="24">
        <v>20</v>
      </c>
      <c r="E61" s="24">
        <f t="shared" si="0"/>
        <v>1980</v>
      </c>
      <c r="H61"/>
    </row>
    <row r="62" spans="1:8" x14ac:dyDescent="0.25">
      <c r="A62" s="24" t="s">
        <v>131</v>
      </c>
      <c r="B62" s="24" t="s">
        <v>116</v>
      </c>
      <c r="C62" s="24">
        <v>700</v>
      </c>
      <c r="D62" s="24">
        <v>18</v>
      </c>
      <c r="E62" s="24">
        <f t="shared" si="0"/>
        <v>12600</v>
      </c>
      <c r="H62"/>
    </row>
    <row r="63" spans="1:8" x14ac:dyDescent="0.25">
      <c r="A63" s="24" t="s">
        <v>127</v>
      </c>
      <c r="B63" s="24" t="s">
        <v>116</v>
      </c>
      <c r="C63" s="24">
        <v>710</v>
      </c>
      <c r="D63" s="24">
        <v>18</v>
      </c>
      <c r="E63" s="24">
        <f t="shared" si="0"/>
        <v>12780</v>
      </c>
      <c r="H63"/>
    </row>
    <row r="64" spans="1:8" x14ac:dyDescent="0.25">
      <c r="A64" s="24" t="s">
        <v>130</v>
      </c>
      <c r="B64" s="24" t="s">
        <v>116</v>
      </c>
      <c r="C64" s="24">
        <v>5</v>
      </c>
      <c r="D64" s="24">
        <v>18</v>
      </c>
      <c r="E64" s="24">
        <f t="shared" si="0"/>
        <v>90</v>
      </c>
      <c r="H64"/>
    </row>
    <row r="65" spans="1:8" x14ac:dyDescent="0.25">
      <c r="A65" s="24" t="s">
        <v>129</v>
      </c>
      <c r="B65" s="24" t="s">
        <v>116</v>
      </c>
      <c r="C65" s="24">
        <v>695</v>
      </c>
      <c r="D65" s="24">
        <v>18</v>
      </c>
      <c r="E65" s="24">
        <f t="shared" si="0"/>
        <v>12510</v>
      </c>
      <c r="H65"/>
    </row>
    <row r="66" spans="1:8" x14ac:dyDescent="0.25">
      <c r="A66" s="24" t="s">
        <v>126</v>
      </c>
      <c r="B66" s="24" t="s">
        <v>116</v>
      </c>
      <c r="C66" s="24">
        <v>643</v>
      </c>
      <c r="D66" s="24">
        <v>18</v>
      </c>
      <c r="E66" s="24">
        <f t="shared" ref="E66:E129" si="2">C66*D66</f>
        <v>11574</v>
      </c>
      <c r="H66"/>
    </row>
    <row r="67" spans="1:8" x14ac:dyDescent="0.25">
      <c r="A67" s="24" t="s">
        <v>131</v>
      </c>
      <c r="B67" s="24" t="s">
        <v>116</v>
      </c>
      <c r="C67" s="24">
        <v>434</v>
      </c>
      <c r="D67" s="24">
        <v>18</v>
      </c>
      <c r="E67" s="24">
        <f t="shared" si="2"/>
        <v>7812</v>
      </c>
      <c r="H67"/>
    </row>
    <row r="68" spans="1:8" x14ac:dyDescent="0.25">
      <c r="A68" s="24" t="s">
        <v>127</v>
      </c>
      <c r="B68" s="24" t="s">
        <v>114</v>
      </c>
      <c r="C68" s="24">
        <v>153</v>
      </c>
      <c r="D68" s="24">
        <v>20</v>
      </c>
      <c r="E68" s="24">
        <f t="shared" si="2"/>
        <v>3060</v>
      </c>
      <c r="H68"/>
    </row>
    <row r="69" spans="1:8" x14ac:dyDescent="0.25">
      <c r="A69" s="24" t="s">
        <v>127</v>
      </c>
      <c r="B69" s="24" t="s">
        <v>114</v>
      </c>
      <c r="C69" s="24">
        <v>222</v>
      </c>
      <c r="D69" s="24">
        <v>20</v>
      </c>
      <c r="E69" s="24">
        <f t="shared" si="2"/>
        <v>4440</v>
      </c>
      <c r="H69"/>
    </row>
    <row r="70" spans="1:8" x14ac:dyDescent="0.25">
      <c r="A70" s="24" t="s">
        <v>130</v>
      </c>
      <c r="B70" s="24" t="s">
        <v>115</v>
      </c>
      <c r="C70" s="24">
        <v>188</v>
      </c>
      <c r="D70" s="24">
        <v>12.5</v>
      </c>
      <c r="E70" s="24">
        <f t="shared" si="2"/>
        <v>2350</v>
      </c>
      <c r="H70"/>
    </row>
    <row r="71" spans="1:8" x14ac:dyDescent="0.25">
      <c r="A71" s="24" t="s">
        <v>132</v>
      </c>
      <c r="B71" s="24" t="s">
        <v>113</v>
      </c>
      <c r="C71" s="24">
        <v>703</v>
      </c>
      <c r="D71" s="24">
        <v>15</v>
      </c>
      <c r="E71" s="24">
        <f t="shared" si="2"/>
        <v>10545</v>
      </c>
      <c r="H71"/>
    </row>
    <row r="72" spans="1:8" x14ac:dyDescent="0.25">
      <c r="A72" s="24" t="s">
        <v>130</v>
      </c>
      <c r="B72" s="24" t="s">
        <v>116</v>
      </c>
      <c r="C72" s="24">
        <v>30</v>
      </c>
      <c r="D72" s="24">
        <v>18</v>
      </c>
      <c r="E72" s="24">
        <f t="shared" si="2"/>
        <v>540</v>
      </c>
      <c r="H72"/>
    </row>
    <row r="73" spans="1:8" x14ac:dyDescent="0.25">
      <c r="A73" s="24" t="s">
        <v>128</v>
      </c>
      <c r="B73" s="24" t="s">
        <v>113</v>
      </c>
      <c r="C73" s="24">
        <v>678</v>
      </c>
      <c r="D73" s="24">
        <v>15</v>
      </c>
      <c r="E73" s="24">
        <f t="shared" si="2"/>
        <v>10170</v>
      </c>
      <c r="H73"/>
    </row>
    <row r="74" spans="1:8" x14ac:dyDescent="0.25">
      <c r="A74" s="24" t="s">
        <v>129</v>
      </c>
      <c r="B74" s="24" t="s">
        <v>115</v>
      </c>
      <c r="C74" s="24">
        <v>681</v>
      </c>
      <c r="D74" s="24">
        <v>12.5</v>
      </c>
      <c r="E74" s="24">
        <f t="shared" si="2"/>
        <v>8512.5</v>
      </c>
      <c r="H74"/>
    </row>
    <row r="75" spans="1:8" x14ac:dyDescent="0.25">
      <c r="A75" s="24" t="s">
        <v>127</v>
      </c>
      <c r="B75" s="24" t="s">
        <v>114</v>
      </c>
      <c r="C75" s="24">
        <v>972</v>
      </c>
      <c r="D75" s="24">
        <v>20</v>
      </c>
      <c r="E75" s="24">
        <f t="shared" si="2"/>
        <v>19440</v>
      </c>
      <c r="H75"/>
    </row>
    <row r="76" spans="1:8" x14ac:dyDescent="0.25">
      <c r="A76" s="24" t="s">
        <v>132</v>
      </c>
      <c r="B76" s="24" t="s">
        <v>113</v>
      </c>
      <c r="C76" s="24">
        <v>325</v>
      </c>
      <c r="D76" s="24">
        <v>15</v>
      </c>
      <c r="E76" s="24">
        <f t="shared" si="2"/>
        <v>4875</v>
      </c>
      <c r="H76"/>
    </row>
    <row r="77" spans="1:8" x14ac:dyDescent="0.25">
      <c r="A77" s="24" t="s">
        <v>129</v>
      </c>
      <c r="B77" s="24" t="s">
        <v>116</v>
      </c>
      <c r="C77" s="24">
        <v>450</v>
      </c>
      <c r="D77" s="24">
        <v>18</v>
      </c>
      <c r="E77" s="24">
        <f t="shared" si="2"/>
        <v>8100</v>
      </c>
      <c r="H77"/>
    </row>
    <row r="78" spans="1:8" x14ac:dyDescent="0.25">
      <c r="A78" s="24" t="s">
        <v>126</v>
      </c>
      <c r="B78" s="24" t="s">
        <v>113</v>
      </c>
      <c r="C78" s="24">
        <v>240</v>
      </c>
      <c r="D78" s="24">
        <v>15</v>
      </c>
      <c r="E78" s="24">
        <f t="shared" si="2"/>
        <v>3600</v>
      </c>
      <c r="H78"/>
    </row>
    <row r="79" spans="1:8" x14ac:dyDescent="0.25">
      <c r="A79" s="24" t="s">
        <v>126</v>
      </c>
      <c r="B79" s="24" t="s">
        <v>116</v>
      </c>
      <c r="C79" s="24">
        <v>687</v>
      </c>
      <c r="D79" s="24">
        <v>18</v>
      </c>
      <c r="E79" s="24">
        <f t="shared" si="2"/>
        <v>12366</v>
      </c>
      <c r="H79"/>
    </row>
    <row r="80" spans="1:8" x14ac:dyDescent="0.25">
      <c r="A80" s="24" t="s">
        <v>127</v>
      </c>
      <c r="B80" s="24" t="s">
        <v>115</v>
      </c>
      <c r="C80" s="24">
        <v>922</v>
      </c>
      <c r="D80" s="24">
        <v>12.5</v>
      </c>
      <c r="E80" s="24">
        <f t="shared" si="2"/>
        <v>11525</v>
      </c>
      <c r="H80"/>
    </row>
    <row r="81" spans="1:8" x14ac:dyDescent="0.25">
      <c r="A81" s="24" t="s">
        <v>130</v>
      </c>
      <c r="B81" s="24" t="s">
        <v>114</v>
      </c>
      <c r="C81" s="24">
        <v>433</v>
      </c>
      <c r="D81" s="24">
        <v>20</v>
      </c>
      <c r="E81" s="24">
        <f t="shared" si="2"/>
        <v>8660</v>
      </c>
      <c r="H81"/>
    </row>
    <row r="82" spans="1:8" x14ac:dyDescent="0.25">
      <c r="A82" s="24" t="s">
        <v>131</v>
      </c>
      <c r="B82" s="24" t="s">
        <v>114</v>
      </c>
      <c r="C82" s="24">
        <v>286</v>
      </c>
      <c r="D82" s="24">
        <v>20</v>
      </c>
      <c r="E82" s="24">
        <f t="shared" si="2"/>
        <v>5720</v>
      </c>
      <c r="H82"/>
    </row>
    <row r="83" spans="1:8" x14ac:dyDescent="0.25">
      <c r="A83" s="24" t="s">
        <v>127</v>
      </c>
      <c r="B83" s="24" t="s">
        <v>114</v>
      </c>
      <c r="C83" s="24">
        <v>7</v>
      </c>
      <c r="D83" s="24">
        <v>20</v>
      </c>
      <c r="E83" s="24">
        <f t="shared" si="2"/>
        <v>140</v>
      </c>
      <c r="H83"/>
    </row>
    <row r="84" spans="1:8" x14ac:dyDescent="0.25">
      <c r="A84" s="24" t="s">
        <v>130</v>
      </c>
      <c r="B84" s="24" t="s">
        <v>116</v>
      </c>
      <c r="C84" s="24">
        <v>322</v>
      </c>
      <c r="D84" s="24">
        <v>18</v>
      </c>
      <c r="E84" s="24">
        <f t="shared" si="2"/>
        <v>5796</v>
      </c>
      <c r="H84"/>
    </row>
    <row r="85" spans="1:8" x14ac:dyDescent="0.25">
      <c r="A85" s="24" t="s">
        <v>129</v>
      </c>
      <c r="B85" s="24" t="s">
        <v>115</v>
      </c>
      <c r="C85" s="24">
        <v>204</v>
      </c>
      <c r="D85" s="24">
        <v>12.5</v>
      </c>
      <c r="E85" s="24">
        <f t="shared" si="2"/>
        <v>2550</v>
      </c>
      <c r="H85"/>
    </row>
    <row r="86" spans="1:8" x14ac:dyDescent="0.25">
      <c r="A86" s="24" t="s">
        <v>127</v>
      </c>
      <c r="B86" s="24" t="s">
        <v>114</v>
      </c>
      <c r="C86" s="24">
        <v>803</v>
      </c>
      <c r="D86" s="24">
        <v>20</v>
      </c>
      <c r="E86" s="24">
        <f t="shared" si="2"/>
        <v>16060</v>
      </c>
      <c r="H86"/>
    </row>
    <row r="87" spans="1:8" x14ac:dyDescent="0.25">
      <c r="A87" s="24" t="s">
        <v>129</v>
      </c>
      <c r="B87" s="24" t="s">
        <v>115</v>
      </c>
      <c r="C87" s="24">
        <v>617</v>
      </c>
      <c r="D87" s="24">
        <v>12.5</v>
      </c>
      <c r="E87" s="24">
        <f t="shared" si="2"/>
        <v>7712.5</v>
      </c>
      <c r="H87"/>
    </row>
    <row r="88" spans="1:8" x14ac:dyDescent="0.25">
      <c r="A88" s="24" t="s">
        <v>126</v>
      </c>
      <c r="B88" s="24" t="s">
        <v>113</v>
      </c>
      <c r="C88" s="24">
        <v>806</v>
      </c>
      <c r="D88" s="24">
        <v>15</v>
      </c>
      <c r="E88" s="24">
        <f t="shared" si="2"/>
        <v>12090</v>
      </c>
      <c r="H88"/>
    </row>
    <row r="89" spans="1:8" x14ac:dyDescent="0.25">
      <c r="A89" s="24" t="s">
        <v>129</v>
      </c>
      <c r="B89" s="24" t="s">
        <v>114</v>
      </c>
      <c r="C89" s="24">
        <v>643</v>
      </c>
      <c r="D89" s="24">
        <v>20</v>
      </c>
      <c r="E89" s="24">
        <f t="shared" si="2"/>
        <v>12860</v>
      </c>
      <c r="H89"/>
    </row>
    <row r="90" spans="1:8" x14ac:dyDescent="0.25">
      <c r="A90" s="24" t="s">
        <v>126</v>
      </c>
      <c r="B90" s="24" t="s">
        <v>116</v>
      </c>
      <c r="C90" s="24">
        <v>93</v>
      </c>
      <c r="D90" s="24">
        <v>18</v>
      </c>
      <c r="E90" s="24">
        <f t="shared" si="2"/>
        <v>1674</v>
      </c>
      <c r="H90"/>
    </row>
    <row r="91" spans="1:8" x14ac:dyDescent="0.25">
      <c r="A91" s="24" t="s">
        <v>127</v>
      </c>
      <c r="B91" s="24" t="s">
        <v>115</v>
      </c>
      <c r="C91" s="24">
        <v>429</v>
      </c>
      <c r="D91" s="24">
        <v>12.5</v>
      </c>
      <c r="E91" s="24">
        <f t="shared" si="2"/>
        <v>5362.5</v>
      </c>
      <c r="H91"/>
    </row>
    <row r="92" spans="1:8" x14ac:dyDescent="0.25">
      <c r="A92" s="24" t="s">
        <v>129</v>
      </c>
      <c r="B92" s="24" t="s">
        <v>115</v>
      </c>
      <c r="C92" s="24">
        <v>973</v>
      </c>
      <c r="D92" s="24">
        <v>12.5</v>
      </c>
      <c r="E92" s="24">
        <f t="shared" si="2"/>
        <v>12162.5</v>
      </c>
      <c r="H92"/>
    </row>
    <row r="93" spans="1:8" x14ac:dyDescent="0.25">
      <c r="A93" s="24" t="s">
        <v>126</v>
      </c>
      <c r="B93" s="24" t="s">
        <v>116</v>
      </c>
      <c r="C93" s="24">
        <v>950</v>
      </c>
      <c r="D93" s="24">
        <v>18</v>
      </c>
      <c r="E93" s="24">
        <f t="shared" si="2"/>
        <v>17100</v>
      </c>
      <c r="H93"/>
    </row>
    <row r="94" spans="1:8" x14ac:dyDescent="0.25">
      <c r="A94" s="24" t="s">
        <v>132</v>
      </c>
      <c r="B94" s="24" t="s">
        <v>115</v>
      </c>
      <c r="C94" s="24">
        <v>263</v>
      </c>
      <c r="D94" s="24">
        <v>12.5</v>
      </c>
      <c r="E94" s="24">
        <f t="shared" si="2"/>
        <v>3287.5</v>
      </c>
      <c r="H94"/>
    </row>
    <row r="95" spans="1:8" x14ac:dyDescent="0.25">
      <c r="A95" s="24" t="s">
        <v>130</v>
      </c>
      <c r="B95" s="24" t="s">
        <v>115</v>
      </c>
      <c r="C95" s="24">
        <v>555</v>
      </c>
      <c r="D95" s="24">
        <v>12.5</v>
      </c>
      <c r="E95" s="24">
        <f t="shared" si="2"/>
        <v>6937.5</v>
      </c>
      <c r="H95"/>
    </row>
    <row r="96" spans="1:8" x14ac:dyDescent="0.25">
      <c r="A96" s="24" t="s">
        <v>130</v>
      </c>
      <c r="B96" s="24" t="s">
        <v>115</v>
      </c>
      <c r="C96" s="24">
        <v>363</v>
      </c>
      <c r="D96" s="24">
        <v>12.5</v>
      </c>
      <c r="E96" s="24">
        <f t="shared" si="2"/>
        <v>4537.5</v>
      </c>
      <c r="H96"/>
    </row>
    <row r="97" spans="1:8" x14ac:dyDescent="0.25">
      <c r="A97" s="24" t="s">
        <v>127</v>
      </c>
      <c r="B97" s="24" t="s">
        <v>113</v>
      </c>
      <c r="C97" s="24">
        <v>563</v>
      </c>
      <c r="D97" s="24">
        <v>15</v>
      </c>
      <c r="E97" s="24">
        <f t="shared" si="2"/>
        <v>8445</v>
      </c>
      <c r="H97"/>
    </row>
    <row r="98" spans="1:8" x14ac:dyDescent="0.25">
      <c r="A98" s="24" t="s">
        <v>130</v>
      </c>
      <c r="B98" s="24" t="s">
        <v>115</v>
      </c>
      <c r="C98" s="24">
        <v>298</v>
      </c>
      <c r="D98" s="24">
        <v>12.5</v>
      </c>
      <c r="E98" s="24">
        <f t="shared" si="2"/>
        <v>3725</v>
      </c>
      <c r="H98"/>
    </row>
    <row r="99" spans="1:8" x14ac:dyDescent="0.25">
      <c r="A99" s="24" t="s">
        <v>128</v>
      </c>
      <c r="B99" s="24" t="s">
        <v>116</v>
      </c>
      <c r="C99" s="24">
        <v>117</v>
      </c>
      <c r="D99" s="24">
        <v>18</v>
      </c>
      <c r="E99" s="24">
        <f t="shared" si="2"/>
        <v>2106</v>
      </c>
      <c r="H99"/>
    </row>
    <row r="100" spans="1:8" x14ac:dyDescent="0.25">
      <c r="A100" s="24" t="s">
        <v>128</v>
      </c>
      <c r="B100" s="24" t="s">
        <v>113</v>
      </c>
      <c r="C100" s="24">
        <v>88</v>
      </c>
      <c r="D100" s="24">
        <v>15</v>
      </c>
      <c r="E100" s="24">
        <f t="shared" si="2"/>
        <v>1320</v>
      </c>
      <c r="H100"/>
    </row>
    <row r="101" spans="1:8" x14ac:dyDescent="0.25">
      <c r="A101" s="24" t="s">
        <v>126</v>
      </c>
      <c r="B101" s="24" t="s">
        <v>113</v>
      </c>
      <c r="C101" s="24">
        <v>794</v>
      </c>
      <c r="D101" s="24">
        <v>15</v>
      </c>
      <c r="E101" s="24">
        <f t="shared" si="2"/>
        <v>11910</v>
      </c>
      <c r="H101"/>
    </row>
    <row r="102" spans="1:8" x14ac:dyDescent="0.25">
      <c r="A102" s="24" t="s">
        <v>126</v>
      </c>
      <c r="B102" s="24" t="s">
        <v>114</v>
      </c>
      <c r="C102" s="24">
        <v>932</v>
      </c>
      <c r="D102" s="24">
        <v>20</v>
      </c>
      <c r="E102" s="24">
        <f t="shared" si="2"/>
        <v>18640</v>
      </c>
      <c r="H102"/>
    </row>
    <row r="103" spans="1:8" x14ac:dyDescent="0.25">
      <c r="A103" s="24" t="s">
        <v>128</v>
      </c>
      <c r="B103" s="24" t="s">
        <v>114</v>
      </c>
      <c r="C103" s="24">
        <v>229</v>
      </c>
      <c r="D103" s="24">
        <v>20</v>
      </c>
      <c r="E103" s="24">
        <f t="shared" si="2"/>
        <v>4580</v>
      </c>
      <c r="H103"/>
    </row>
    <row r="104" spans="1:8" x14ac:dyDescent="0.25">
      <c r="A104" s="24" t="s">
        <v>127</v>
      </c>
      <c r="B104" s="24" t="s">
        <v>115</v>
      </c>
      <c r="C104" s="24">
        <v>914</v>
      </c>
      <c r="D104" s="24">
        <v>12.5</v>
      </c>
      <c r="E104" s="24">
        <f t="shared" si="2"/>
        <v>11425</v>
      </c>
      <c r="H104"/>
    </row>
    <row r="105" spans="1:8" x14ac:dyDescent="0.25">
      <c r="A105" s="24" t="s">
        <v>130</v>
      </c>
      <c r="B105" s="24" t="s">
        <v>113</v>
      </c>
      <c r="C105" s="24">
        <v>466</v>
      </c>
      <c r="D105" s="24">
        <v>15</v>
      </c>
      <c r="E105" s="24">
        <f t="shared" si="2"/>
        <v>6990</v>
      </c>
      <c r="H105"/>
    </row>
    <row r="106" spans="1:8" x14ac:dyDescent="0.25">
      <c r="A106" s="24" t="s">
        <v>129</v>
      </c>
      <c r="B106" s="24" t="s">
        <v>116</v>
      </c>
      <c r="C106" s="24">
        <v>625</v>
      </c>
      <c r="D106" s="24">
        <v>18</v>
      </c>
      <c r="E106" s="24">
        <f t="shared" si="2"/>
        <v>11250</v>
      </c>
      <c r="H106"/>
    </row>
    <row r="107" spans="1:8" x14ac:dyDescent="0.25">
      <c r="A107" s="24" t="s">
        <v>128</v>
      </c>
      <c r="B107" s="24" t="s">
        <v>113</v>
      </c>
      <c r="C107" s="24">
        <v>72</v>
      </c>
      <c r="D107" s="24">
        <v>15</v>
      </c>
      <c r="E107" s="24">
        <f t="shared" si="2"/>
        <v>1080</v>
      </c>
      <c r="H107"/>
    </row>
    <row r="108" spans="1:8" x14ac:dyDescent="0.25">
      <c r="A108" s="24" t="s">
        <v>130</v>
      </c>
      <c r="B108" s="24" t="s">
        <v>116</v>
      </c>
      <c r="C108" s="24">
        <v>760</v>
      </c>
      <c r="D108" s="24">
        <v>18</v>
      </c>
      <c r="E108" s="24">
        <f t="shared" si="2"/>
        <v>13680</v>
      </c>
      <c r="H108"/>
    </row>
    <row r="109" spans="1:8" x14ac:dyDescent="0.25">
      <c r="A109" s="24" t="s">
        <v>132</v>
      </c>
      <c r="B109" s="24" t="s">
        <v>114</v>
      </c>
      <c r="C109" s="24">
        <v>389</v>
      </c>
      <c r="D109" s="24">
        <v>20</v>
      </c>
      <c r="E109" s="24">
        <f t="shared" si="2"/>
        <v>7780</v>
      </c>
      <c r="H109"/>
    </row>
    <row r="110" spans="1:8" x14ac:dyDescent="0.25">
      <c r="A110" s="24" t="s">
        <v>126</v>
      </c>
      <c r="B110" s="24" t="s">
        <v>115</v>
      </c>
      <c r="C110" s="24">
        <v>470</v>
      </c>
      <c r="D110" s="24">
        <v>12.5</v>
      </c>
      <c r="E110" s="24">
        <f t="shared" si="2"/>
        <v>5875</v>
      </c>
      <c r="H110"/>
    </row>
    <row r="111" spans="1:8" x14ac:dyDescent="0.25">
      <c r="A111" s="24" t="s">
        <v>127</v>
      </c>
      <c r="B111" s="24" t="s">
        <v>113</v>
      </c>
      <c r="C111" s="24">
        <v>523</v>
      </c>
      <c r="D111" s="24">
        <v>15</v>
      </c>
      <c r="E111" s="24">
        <f t="shared" si="2"/>
        <v>7845</v>
      </c>
      <c r="H111"/>
    </row>
    <row r="112" spans="1:8" x14ac:dyDescent="0.25">
      <c r="A112" s="24" t="s">
        <v>130</v>
      </c>
      <c r="B112" s="24" t="s">
        <v>115</v>
      </c>
      <c r="C112" s="24">
        <v>695</v>
      </c>
      <c r="D112" s="24">
        <v>12.5</v>
      </c>
      <c r="E112" s="24">
        <f t="shared" si="2"/>
        <v>8687.5</v>
      </c>
      <c r="H112"/>
    </row>
    <row r="113" spans="1:8" x14ac:dyDescent="0.25">
      <c r="A113" s="24" t="s">
        <v>131</v>
      </c>
      <c r="B113" s="24" t="s">
        <v>114</v>
      </c>
      <c r="C113" s="24">
        <v>843</v>
      </c>
      <c r="D113" s="24">
        <v>20</v>
      </c>
      <c r="E113" s="24">
        <f t="shared" si="2"/>
        <v>16860</v>
      </c>
      <c r="H113"/>
    </row>
    <row r="114" spans="1:8" x14ac:dyDescent="0.25">
      <c r="A114" s="24" t="s">
        <v>132</v>
      </c>
      <c r="B114" s="24" t="s">
        <v>116</v>
      </c>
      <c r="C114" s="24">
        <v>230</v>
      </c>
      <c r="D114" s="24">
        <v>18</v>
      </c>
      <c r="E114" s="24">
        <f t="shared" si="2"/>
        <v>4140</v>
      </c>
      <c r="H114"/>
    </row>
    <row r="115" spans="1:8" x14ac:dyDescent="0.25">
      <c r="A115" s="24" t="s">
        <v>127</v>
      </c>
      <c r="B115" s="24" t="s">
        <v>114</v>
      </c>
      <c r="C115" s="24">
        <v>559</v>
      </c>
      <c r="D115" s="24">
        <v>20</v>
      </c>
      <c r="E115" s="24">
        <f t="shared" si="2"/>
        <v>11180</v>
      </c>
      <c r="H115"/>
    </row>
    <row r="116" spans="1:8" x14ac:dyDescent="0.25">
      <c r="A116" s="24" t="s">
        <v>131</v>
      </c>
      <c r="B116" s="24" t="s">
        <v>113</v>
      </c>
      <c r="C116" s="24">
        <v>277</v>
      </c>
      <c r="D116" s="24">
        <v>15</v>
      </c>
      <c r="E116" s="24">
        <f t="shared" si="2"/>
        <v>4155</v>
      </c>
      <c r="H116"/>
    </row>
    <row r="117" spans="1:8" x14ac:dyDescent="0.25">
      <c r="A117" s="24" t="s">
        <v>128</v>
      </c>
      <c r="B117" s="24" t="s">
        <v>114</v>
      </c>
      <c r="C117" s="24">
        <v>776</v>
      </c>
      <c r="D117" s="24">
        <v>20</v>
      </c>
      <c r="E117" s="24">
        <f t="shared" si="2"/>
        <v>15520</v>
      </c>
      <c r="H117"/>
    </row>
    <row r="118" spans="1:8" x14ac:dyDescent="0.25">
      <c r="A118" s="24" t="s">
        <v>127</v>
      </c>
      <c r="B118" s="24" t="s">
        <v>116</v>
      </c>
      <c r="C118" s="24">
        <v>599</v>
      </c>
      <c r="D118" s="24">
        <v>18</v>
      </c>
      <c r="E118" s="24">
        <f t="shared" si="2"/>
        <v>10782</v>
      </c>
      <c r="H118"/>
    </row>
    <row r="119" spans="1:8" x14ac:dyDescent="0.25">
      <c r="A119" s="24" t="s">
        <v>132</v>
      </c>
      <c r="B119" s="24" t="s">
        <v>113</v>
      </c>
      <c r="C119" s="24">
        <v>850</v>
      </c>
      <c r="D119" s="24">
        <v>15</v>
      </c>
      <c r="E119" s="24">
        <f t="shared" si="2"/>
        <v>12750</v>
      </c>
      <c r="H119"/>
    </row>
    <row r="120" spans="1:8" x14ac:dyDescent="0.25">
      <c r="A120" s="24" t="s">
        <v>129</v>
      </c>
      <c r="B120" s="24" t="s">
        <v>113</v>
      </c>
      <c r="C120" s="24">
        <v>448</v>
      </c>
      <c r="D120" s="24">
        <v>15</v>
      </c>
      <c r="E120" s="24">
        <f t="shared" si="2"/>
        <v>6720</v>
      </c>
      <c r="H120"/>
    </row>
    <row r="121" spans="1:8" x14ac:dyDescent="0.25">
      <c r="A121" s="24" t="s">
        <v>132</v>
      </c>
      <c r="B121" s="24" t="s">
        <v>116</v>
      </c>
      <c r="C121" s="24">
        <v>149</v>
      </c>
      <c r="D121" s="24">
        <v>18</v>
      </c>
      <c r="E121" s="24">
        <f t="shared" si="2"/>
        <v>2682</v>
      </c>
      <c r="H121"/>
    </row>
    <row r="122" spans="1:8" x14ac:dyDescent="0.25">
      <c r="A122" s="24" t="s">
        <v>126</v>
      </c>
      <c r="B122" s="24" t="s">
        <v>116</v>
      </c>
      <c r="C122" s="24">
        <v>68</v>
      </c>
      <c r="D122" s="24">
        <v>18</v>
      </c>
      <c r="E122" s="24">
        <f t="shared" si="2"/>
        <v>1224</v>
      </c>
      <c r="H122"/>
    </row>
    <row r="123" spans="1:8" x14ac:dyDescent="0.25">
      <c r="A123" s="24" t="s">
        <v>126</v>
      </c>
      <c r="B123" s="24" t="s">
        <v>115</v>
      </c>
      <c r="C123" s="24">
        <v>482</v>
      </c>
      <c r="D123" s="24">
        <v>12.5</v>
      </c>
      <c r="E123" s="24">
        <f t="shared" si="2"/>
        <v>6025</v>
      </c>
      <c r="H123"/>
    </row>
    <row r="124" spans="1:8" x14ac:dyDescent="0.25">
      <c r="A124" s="24" t="s">
        <v>130</v>
      </c>
      <c r="B124" s="24" t="s">
        <v>115</v>
      </c>
      <c r="C124" s="24">
        <v>31</v>
      </c>
      <c r="D124" s="24">
        <v>12.5</v>
      </c>
      <c r="E124" s="24">
        <f t="shared" si="2"/>
        <v>387.5</v>
      </c>
      <c r="H124"/>
    </row>
    <row r="125" spans="1:8" x14ac:dyDescent="0.25">
      <c r="A125" s="24" t="s">
        <v>129</v>
      </c>
      <c r="B125" s="24" t="s">
        <v>113</v>
      </c>
      <c r="C125" s="24">
        <v>260</v>
      </c>
      <c r="D125" s="24">
        <v>15</v>
      </c>
      <c r="E125" s="24">
        <f t="shared" si="2"/>
        <v>3900</v>
      </c>
      <c r="H125"/>
    </row>
    <row r="126" spans="1:8" x14ac:dyDescent="0.25">
      <c r="A126" s="24" t="s">
        <v>130</v>
      </c>
      <c r="B126" s="24" t="s">
        <v>116</v>
      </c>
      <c r="C126" s="24">
        <v>7</v>
      </c>
      <c r="D126" s="24">
        <v>18</v>
      </c>
      <c r="E126" s="24">
        <f t="shared" si="2"/>
        <v>126</v>
      </c>
      <c r="H126"/>
    </row>
    <row r="127" spans="1:8" x14ac:dyDescent="0.25">
      <c r="A127" s="24" t="s">
        <v>131</v>
      </c>
      <c r="B127" s="24" t="s">
        <v>115</v>
      </c>
      <c r="C127" s="24">
        <v>660</v>
      </c>
      <c r="D127" s="24">
        <v>12.5</v>
      </c>
      <c r="E127" s="24">
        <f t="shared" si="2"/>
        <v>8250</v>
      </c>
      <c r="H127"/>
    </row>
    <row r="128" spans="1:8" x14ac:dyDescent="0.25">
      <c r="A128" s="24" t="s">
        <v>126</v>
      </c>
      <c r="B128" s="24" t="s">
        <v>115</v>
      </c>
      <c r="C128" s="24">
        <v>682</v>
      </c>
      <c r="D128" s="24">
        <v>12.5</v>
      </c>
      <c r="E128" s="24">
        <f t="shared" si="2"/>
        <v>8525</v>
      </c>
      <c r="H128"/>
    </row>
    <row r="129" spans="1:8" x14ac:dyDescent="0.25">
      <c r="A129" s="24" t="s">
        <v>127</v>
      </c>
      <c r="B129" s="24" t="s">
        <v>115</v>
      </c>
      <c r="C129" s="24">
        <v>182</v>
      </c>
      <c r="D129" s="24">
        <v>12.5</v>
      </c>
      <c r="E129" s="24">
        <f t="shared" si="2"/>
        <v>2275</v>
      </c>
      <c r="H129"/>
    </row>
    <row r="130" spans="1:8" x14ac:dyDescent="0.25">
      <c r="A130" s="24" t="s">
        <v>128</v>
      </c>
      <c r="B130" s="24" t="s">
        <v>116</v>
      </c>
      <c r="C130" s="24">
        <v>938</v>
      </c>
      <c r="D130" s="24">
        <v>18</v>
      </c>
      <c r="E130" s="24">
        <f t="shared" ref="E130:E193" si="3">C130*D130</f>
        <v>16884</v>
      </c>
      <c r="H130"/>
    </row>
    <row r="131" spans="1:8" x14ac:dyDescent="0.25">
      <c r="A131" s="24" t="s">
        <v>127</v>
      </c>
      <c r="B131" s="24" t="s">
        <v>114</v>
      </c>
      <c r="C131" s="24">
        <v>637</v>
      </c>
      <c r="D131" s="24">
        <v>20</v>
      </c>
      <c r="E131" s="24">
        <f t="shared" si="3"/>
        <v>12740</v>
      </c>
      <c r="H131"/>
    </row>
    <row r="132" spans="1:8" x14ac:dyDescent="0.25">
      <c r="A132" s="24" t="s">
        <v>131</v>
      </c>
      <c r="B132" s="24" t="s">
        <v>114</v>
      </c>
      <c r="C132" s="24">
        <v>804</v>
      </c>
      <c r="D132" s="24">
        <v>20</v>
      </c>
      <c r="E132" s="24">
        <f t="shared" si="3"/>
        <v>16080</v>
      </c>
      <c r="H132"/>
    </row>
    <row r="133" spans="1:8" x14ac:dyDescent="0.25">
      <c r="A133" s="24" t="s">
        <v>128</v>
      </c>
      <c r="B133" s="24" t="s">
        <v>116</v>
      </c>
      <c r="C133" s="24">
        <v>852</v>
      </c>
      <c r="D133" s="24">
        <v>18</v>
      </c>
      <c r="E133" s="24">
        <f t="shared" si="3"/>
        <v>15336</v>
      </c>
      <c r="H133"/>
    </row>
    <row r="134" spans="1:8" x14ac:dyDescent="0.25">
      <c r="A134" s="24" t="s">
        <v>130</v>
      </c>
      <c r="B134" s="24" t="s">
        <v>113</v>
      </c>
      <c r="C134" s="24">
        <v>244</v>
      </c>
      <c r="D134" s="24">
        <v>15</v>
      </c>
      <c r="E134" s="24">
        <f t="shared" si="3"/>
        <v>3660</v>
      </c>
      <c r="H134"/>
    </row>
    <row r="135" spans="1:8" x14ac:dyDescent="0.25">
      <c r="A135" s="24" t="s">
        <v>129</v>
      </c>
      <c r="B135" s="24" t="s">
        <v>113</v>
      </c>
      <c r="C135" s="24">
        <v>207</v>
      </c>
      <c r="D135" s="24">
        <v>15</v>
      </c>
      <c r="E135" s="24">
        <f t="shared" si="3"/>
        <v>3105</v>
      </c>
      <c r="H135"/>
    </row>
    <row r="136" spans="1:8" x14ac:dyDescent="0.25">
      <c r="A136" s="24" t="s">
        <v>131</v>
      </c>
      <c r="B136" s="24" t="s">
        <v>113</v>
      </c>
      <c r="C136" s="24">
        <v>907</v>
      </c>
      <c r="D136" s="24">
        <v>15</v>
      </c>
      <c r="E136" s="24">
        <f t="shared" si="3"/>
        <v>13605</v>
      </c>
      <c r="H136"/>
    </row>
    <row r="137" spans="1:8" x14ac:dyDescent="0.25">
      <c r="A137" s="24" t="s">
        <v>126</v>
      </c>
      <c r="B137" s="24" t="s">
        <v>116</v>
      </c>
      <c r="C137" s="24">
        <v>488</v>
      </c>
      <c r="D137" s="24">
        <v>18</v>
      </c>
      <c r="E137" s="24">
        <f t="shared" si="3"/>
        <v>8784</v>
      </c>
      <c r="H137"/>
    </row>
    <row r="138" spans="1:8" x14ac:dyDescent="0.25">
      <c r="A138" s="24" t="s">
        <v>126</v>
      </c>
      <c r="B138" s="24" t="s">
        <v>115</v>
      </c>
      <c r="C138" s="24">
        <v>845</v>
      </c>
      <c r="D138" s="24">
        <v>12.5</v>
      </c>
      <c r="E138" s="24">
        <f t="shared" si="3"/>
        <v>10562.5</v>
      </c>
      <c r="H138"/>
    </row>
    <row r="139" spans="1:8" x14ac:dyDescent="0.25">
      <c r="A139" s="24" t="s">
        <v>127</v>
      </c>
      <c r="B139" s="24" t="s">
        <v>116</v>
      </c>
      <c r="C139" s="24">
        <v>419</v>
      </c>
      <c r="D139" s="24">
        <v>18</v>
      </c>
      <c r="E139" s="24">
        <f t="shared" si="3"/>
        <v>7542</v>
      </c>
      <c r="H139"/>
    </row>
    <row r="140" spans="1:8" x14ac:dyDescent="0.25">
      <c r="A140" s="24" t="s">
        <v>130</v>
      </c>
      <c r="B140" s="24" t="s">
        <v>116</v>
      </c>
      <c r="C140" s="24">
        <v>271</v>
      </c>
      <c r="D140" s="24">
        <v>18</v>
      </c>
      <c r="E140" s="24">
        <f t="shared" si="3"/>
        <v>4878</v>
      </c>
      <c r="H140"/>
    </row>
    <row r="141" spans="1:8" x14ac:dyDescent="0.25">
      <c r="A141" s="24" t="s">
        <v>129</v>
      </c>
      <c r="B141" s="24" t="s">
        <v>113</v>
      </c>
      <c r="C141" s="24">
        <v>322</v>
      </c>
      <c r="D141" s="24">
        <v>15</v>
      </c>
      <c r="E141" s="24">
        <f t="shared" si="3"/>
        <v>4830</v>
      </c>
      <c r="H141"/>
    </row>
    <row r="142" spans="1:8" x14ac:dyDescent="0.25">
      <c r="A142" s="24" t="s">
        <v>129</v>
      </c>
      <c r="B142" s="24" t="s">
        <v>113</v>
      </c>
      <c r="C142" s="24">
        <v>54</v>
      </c>
      <c r="D142" s="24">
        <v>15</v>
      </c>
      <c r="E142" s="24">
        <f t="shared" si="3"/>
        <v>810</v>
      </c>
      <c r="H142"/>
    </row>
    <row r="143" spans="1:8" x14ac:dyDescent="0.25">
      <c r="A143" s="24" t="s">
        <v>127</v>
      </c>
      <c r="B143" s="24" t="s">
        <v>113</v>
      </c>
      <c r="C143" s="24">
        <v>307</v>
      </c>
      <c r="D143" s="24">
        <v>15</v>
      </c>
      <c r="E143" s="24">
        <f t="shared" si="3"/>
        <v>4605</v>
      </c>
      <c r="H143"/>
    </row>
    <row r="144" spans="1:8" x14ac:dyDescent="0.25">
      <c r="A144" s="24" t="s">
        <v>126</v>
      </c>
      <c r="B144" s="24" t="s">
        <v>114</v>
      </c>
      <c r="C144" s="24">
        <v>955</v>
      </c>
      <c r="D144" s="24">
        <v>20</v>
      </c>
      <c r="E144" s="24">
        <f t="shared" si="3"/>
        <v>19100</v>
      </c>
      <c r="H144"/>
    </row>
    <row r="145" spans="1:8" x14ac:dyDescent="0.25">
      <c r="A145" s="24" t="s">
        <v>128</v>
      </c>
      <c r="B145" s="24" t="s">
        <v>113</v>
      </c>
      <c r="C145" s="24">
        <v>945</v>
      </c>
      <c r="D145" s="24">
        <v>15</v>
      </c>
      <c r="E145" s="24">
        <f t="shared" si="3"/>
        <v>14175</v>
      </c>
      <c r="H145"/>
    </row>
    <row r="146" spans="1:8" x14ac:dyDescent="0.25">
      <c r="A146" s="24" t="s">
        <v>126</v>
      </c>
      <c r="B146" s="24" t="s">
        <v>116</v>
      </c>
      <c r="C146" s="24">
        <v>954</v>
      </c>
      <c r="D146" s="24">
        <v>18</v>
      </c>
      <c r="E146" s="24">
        <f t="shared" si="3"/>
        <v>17172</v>
      </c>
      <c r="H146"/>
    </row>
    <row r="147" spans="1:8" x14ac:dyDescent="0.25">
      <c r="A147" s="24" t="s">
        <v>128</v>
      </c>
      <c r="B147" s="24" t="s">
        <v>116</v>
      </c>
      <c r="C147" s="24">
        <v>112</v>
      </c>
      <c r="D147" s="24">
        <v>18</v>
      </c>
      <c r="E147" s="24">
        <f t="shared" si="3"/>
        <v>2016</v>
      </c>
      <c r="H147"/>
    </row>
    <row r="148" spans="1:8" x14ac:dyDescent="0.25">
      <c r="A148" s="24" t="s">
        <v>130</v>
      </c>
      <c r="B148" s="24" t="s">
        <v>115</v>
      </c>
      <c r="C148" s="24">
        <v>856</v>
      </c>
      <c r="D148" s="24">
        <v>12.5</v>
      </c>
      <c r="E148" s="24">
        <f t="shared" si="3"/>
        <v>10700</v>
      </c>
      <c r="H148"/>
    </row>
    <row r="149" spans="1:8" x14ac:dyDescent="0.25">
      <c r="A149" s="24" t="s">
        <v>126</v>
      </c>
      <c r="B149" s="24" t="s">
        <v>115</v>
      </c>
      <c r="C149" s="24">
        <v>442</v>
      </c>
      <c r="D149" s="24">
        <v>12.5</v>
      </c>
      <c r="E149" s="24">
        <f t="shared" si="3"/>
        <v>5525</v>
      </c>
      <c r="H149"/>
    </row>
    <row r="150" spans="1:8" x14ac:dyDescent="0.25">
      <c r="A150" s="24" t="s">
        <v>129</v>
      </c>
      <c r="B150" s="24" t="s">
        <v>113</v>
      </c>
      <c r="C150" s="24">
        <v>347</v>
      </c>
      <c r="D150" s="24">
        <v>15</v>
      </c>
      <c r="E150" s="24">
        <f t="shared" si="3"/>
        <v>5205</v>
      </c>
      <c r="H150"/>
    </row>
    <row r="151" spans="1:8" x14ac:dyDescent="0.25">
      <c r="A151" s="24" t="s">
        <v>127</v>
      </c>
      <c r="B151" s="24" t="s">
        <v>115</v>
      </c>
      <c r="C151" s="24">
        <v>700</v>
      </c>
      <c r="D151" s="24">
        <v>12.5</v>
      </c>
      <c r="E151" s="24">
        <f t="shared" si="3"/>
        <v>8750</v>
      </c>
      <c r="H151"/>
    </row>
    <row r="152" spans="1:8" x14ac:dyDescent="0.25">
      <c r="A152" s="24" t="s">
        <v>130</v>
      </c>
      <c r="B152" s="24" t="s">
        <v>115</v>
      </c>
      <c r="C152" s="24">
        <v>325</v>
      </c>
      <c r="D152" s="24">
        <v>12.5</v>
      </c>
      <c r="E152" s="24">
        <f t="shared" si="3"/>
        <v>4062.5</v>
      </c>
      <c r="H152"/>
    </row>
    <row r="153" spans="1:8" x14ac:dyDescent="0.25">
      <c r="A153" s="24" t="s">
        <v>132</v>
      </c>
      <c r="B153" s="24" t="s">
        <v>114</v>
      </c>
      <c r="C153" s="24">
        <v>558</v>
      </c>
      <c r="D153" s="24">
        <v>20</v>
      </c>
      <c r="E153" s="24">
        <f t="shared" si="3"/>
        <v>11160</v>
      </c>
      <c r="H153"/>
    </row>
    <row r="154" spans="1:8" x14ac:dyDescent="0.25">
      <c r="A154" s="24" t="s">
        <v>130</v>
      </c>
      <c r="B154" s="24" t="s">
        <v>114</v>
      </c>
      <c r="C154" s="24">
        <v>240</v>
      </c>
      <c r="D154" s="24">
        <v>20</v>
      </c>
      <c r="E154" s="24">
        <f t="shared" si="3"/>
        <v>4800</v>
      </c>
      <c r="H154"/>
    </row>
    <row r="155" spans="1:8" x14ac:dyDescent="0.25">
      <c r="A155" s="24" t="s">
        <v>128</v>
      </c>
      <c r="B155" s="24" t="s">
        <v>115</v>
      </c>
      <c r="C155" s="24">
        <v>629</v>
      </c>
      <c r="D155" s="24">
        <v>12.5</v>
      </c>
      <c r="E155" s="24">
        <f t="shared" si="3"/>
        <v>7862.5</v>
      </c>
      <c r="H155"/>
    </row>
    <row r="156" spans="1:8" x14ac:dyDescent="0.25">
      <c r="A156" s="24" t="s">
        <v>127</v>
      </c>
      <c r="B156" s="24" t="s">
        <v>115</v>
      </c>
      <c r="C156" s="24">
        <v>258</v>
      </c>
      <c r="D156" s="24">
        <v>12.5</v>
      </c>
      <c r="E156" s="24">
        <f t="shared" si="3"/>
        <v>3225</v>
      </c>
      <c r="H156"/>
    </row>
    <row r="157" spans="1:8" x14ac:dyDescent="0.25">
      <c r="A157" s="24" t="s">
        <v>131</v>
      </c>
      <c r="B157" s="24" t="s">
        <v>115</v>
      </c>
      <c r="C157" s="24">
        <v>405</v>
      </c>
      <c r="D157" s="24">
        <v>12.5</v>
      </c>
      <c r="E157" s="24">
        <f t="shared" si="3"/>
        <v>5062.5</v>
      </c>
      <c r="H157"/>
    </row>
    <row r="158" spans="1:8" x14ac:dyDescent="0.25">
      <c r="A158" s="24" t="s">
        <v>130</v>
      </c>
      <c r="B158" s="24" t="s">
        <v>113</v>
      </c>
      <c r="C158" s="24">
        <v>259</v>
      </c>
      <c r="D158" s="24">
        <v>15</v>
      </c>
      <c r="E158" s="24">
        <f t="shared" si="3"/>
        <v>3885</v>
      </c>
      <c r="H158"/>
    </row>
    <row r="159" spans="1:8" x14ac:dyDescent="0.25">
      <c r="A159" s="24" t="s">
        <v>128</v>
      </c>
      <c r="B159" s="24" t="s">
        <v>115</v>
      </c>
      <c r="C159" s="24">
        <v>526</v>
      </c>
      <c r="D159" s="24">
        <v>12.5</v>
      </c>
      <c r="E159" s="24">
        <f t="shared" si="3"/>
        <v>6575</v>
      </c>
      <c r="H159"/>
    </row>
    <row r="160" spans="1:8" x14ac:dyDescent="0.25">
      <c r="A160" s="24" t="s">
        <v>132</v>
      </c>
      <c r="B160" s="24" t="s">
        <v>116</v>
      </c>
      <c r="C160" s="24">
        <v>839</v>
      </c>
      <c r="D160" s="24">
        <v>18</v>
      </c>
      <c r="E160" s="24">
        <f t="shared" si="3"/>
        <v>15102</v>
      </c>
      <c r="H160"/>
    </row>
    <row r="161" spans="1:8" x14ac:dyDescent="0.25">
      <c r="A161" s="24" t="s">
        <v>129</v>
      </c>
      <c r="B161" s="24" t="s">
        <v>114</v>
      </c>
      <c r="C161" s="24">
        <v>32</v>
      </c>
      <c r="D161" s="24">
        <v>20</v>
      </c>
      <c r="E161" s="24">
        <f t="shared" si="3"/>
        <v>640</v>
      </c>
      <c r="H161"/>
    </row>
    <row r="162" spans="1:8" x14ac:dyDescent="0.25">
      <c r="A162" s="24" t="s">
        <v>126</v>
      </c>
      <c r="B162" s="24" t="s">
        <v>113</v>
      </c>
      <c r="C162" s="24">
        <v>907</v>
      </c>
      <c r="D162" s="24">
        <v>15</v>
      </c>
      <c r="E162" s="24">
        <f t="shared" si="3"/>
        <v>13605</v>
      </c>
      <c r="H162"/>
    </row>
    <row r="163" spans="1:8" x14ac:dyDescent="0.25">
      <c r="A163" s="24" t="s">
        <v>131</v>
      </c>
      <c r="B163" s="24" t="s">
        <v>114</v>
      </c>
      <c r="C163" s="24">
        <v>529</v>
      </c>
      <c r="D163" s="24">
        <v>20</v>
      </c>
      <c r="E163" s="24">
        <f t="shared" si="3"/>
        <v>10580</v>
      </c>
      <c r="H163"/>
    </row>
    <row r="164" spans="1:8" x14ac:dyDescent="0.25">
      <c r="A164" s="24" t="s">
        <v>130</v>
      </c>
      <c r="B164" s="24" t="s">
        <v>116</v>
      </c>
      <c r="C164" s="24">
        <v>587</v>
      </c>
      <c r="D164" s="24">
        <v>18</v>
      </c>
      <c r="E164" s="24">
        <f t="shared" si="3"/>
        <v>10566</v>
      </c>
      <c r="H164"/>
    </row>
    <row r="165" spans="1:8" x14ac:dyDescent="0.25">
      <c r="A165" s="24" t="s">
        <v>131</v>
      </c>
      <c r="B165" s="24" t="s">
        <v>116</v>
      </c>
      <c r="C165" s="24">
        <v>686</v>
      </c>
      <c r="D165" s="24">
        <v>18</v>
      </c>
      <c r="E165" s="24">
        <f t="shared" si="3"/>
        <v>12348</v>
      </c>
      <c r="H165"/>
    </row>
    <row r="166" spans="1:8" x14ac:dyDescent="0.25">
      <c r="A166" s="24" t="s">
        <v>128</v>
      </c>
      <c r="B166" s="24" t="s">
        <v>116</v>
      </c>
      <c r="C166" s="24">
        <v>88</v>
      </c>
      <c r="D166" s="24">
        <v>18</v>
      </c>
      <c r="E166" s="24">
        <f t="shared" si="3"/>
        <v>1584</v>
      </c>
      <c r="H166"/>
    </row>
    <row r="167" spans="1:8" x14ac:dyDescent="0.25">
      <c r="A167" s="24" t="s">
        <v>129</v>
      </c>
      <c r="B167" s="24" t="s">
        <v>115</v>
      </c>
      <c r="C167" s="24">
        <v>896</v>
      </c>
      <c r="D167" s="24">
        <v>12.5</v>
      </c>
      <c r="E167" s="24">
        <f t="shared" si="3"/>
        <v>11200</v>
      </c>
      <c r="H167"/>
    </row>
    <row r="168" spans="1:8" x14ac:dyDescent="0.25">
      <c r="A168" s="24" t="s">
        <v>127</v>
      </c>
      <c r="B168" s="24" t="s">
        <v>113</v>
      </c>
      <c r="C168" s="24">
        <v>325</v>
      </c>
      <c r="D168" s="24">
        <v>15</v>
      </c>
      <c r="E168" s="24">
        <f t="shared" si="3"/>
        <v>4875</v>
      </c>
      <c r="H168"/>
    </row>
    <row r="169" spans="1:8" x14ac:dyDescent="0.25">
      <c r="A169" s="24" t="s">
        <v>126</v>
      </c>
      <c r="B169" s="24" t="s">
        <v>114</v>
      </c>
      <c r="C169" s="24">
        <v>391</v>
      </c>
      <c r="D169" s="24">
        <v>20</v>
      </c>
      <c r="E169" s="24">
        <f t="shared" si="3"/>
        <v>7820</v>
      </c>
      <c r="H169"/>
    </row>
    <row r="170" spans="1:8" x14ac:dyDescent="0.25">
      <c r="A170" s="24" t="s">
        <v>126</v>
      </c>
      <c r="B170" s="24" t="s">
        <v>116</v>
      </c>
      <c r="C170" s="24">
        <v>24</v>
      </c>
      <c r="D170" s="24">
        <v>18</v>
      </c>
      <c r="E170" s="24">
        <f t="shared" si="3"/>
        <v>432</v>
      </c>
      <c r="H170"/>
    </row>
    <row r="171" spans="1:8" x14ac:dyDescent="0.25">
      <c r="A171" s="24" t="s">
        <v>129</v>
      </c>
      <c r="B171" s="24" t="s">
        <v>114</v>
      </c>
      <c r="C171" s="24">
        <v>295</v>
      </c>
      <c r="D171" s="24">
        <v>20</v>
      </c>
      <c r="E171" s="24">
        <f t="shared" si="3"/>
        <v>5900</v>
      </c>
      <c r="H171"/>
    </row>
    <row r="172" spans="1:8" x14ac:dyDescent="0.25">
      <c r="A172" s="24" t="s">
        <v>127</v>
      </c>
      <c r="B172" s="24" t="s">
        <v>116</v>
      </c>
      <c r="C172" s="24">
        <v>871</v>
      </c>
      <c r="D172" s="24">
        <v>18</v>
      </c>
      <c r="E172" s="24">
        <f t="shared" si="3"/>
        <v>15678</v>
      </c>
      <c r="H172"/>
    </row>
    <row r="173" spans="1:8" x14ac:dyDescent="0.25">
      <c r="A173" s="24" t="s">
        <v>129</v>
      </c>
      <c r="B173" s="24" t="s">
        <v>116</v>
      </c>
      <c r="C173" s="24">
        <v>815</v>
      </c>
      <c r="D173" s="24">
        <v>18</v>
      </c>
      <c r="E173" s="24">
        <f t="shared" si="3"/>
        <v>14670</v>
      </c>
      <c r="H173"/>
    </row>
    <row r="174" spans="1:8" x14ac:dyDescent="0.25">
      <c r="A174" s="24" t="s">
        <v>132</v>
      </c>
      <c r="B174" s="24" t="s">
        <v>115</v>
      </c>
      <c r="C174" s="24">
        <v>97</v>
      </c>
      <c r="D174" s="24">
        <v>12.5</v>
      </c>
      <c r="E174" s="24">
        <f t="shared" si="3"/>
        <v>1212.5</v>
      </c>
      <c r="H174"/>
    </row>
    <row r="175" spans="1:8" x14ac:dyDescent="0.25">
      <c r="A175" s="24" t="s">
        <v>130</v>
      </c>
      <c r="B175" s="24" t="s">
        <v>116</v>
      </c>
      <c r="C175" s="24">
        <v>788</v>
      </c>
      <c r="D175" s="24">
        <v>18</v>
      </c>
      <c r="E175" s="24">
        <f t="shared" si="3"/>
        <v>14184</v>
      </c>
      <c r="H175"/>
    </row>
    <row r="176" spans="1:8" x14ac:dyDescent="0.25">
      <c r="A176" s="24" t="s">
        <v>129</v>
      </c>
      <c r="B176" s="24" t="s">
        <v>113</v>
      </c>
      <c r="C176" s="24">
        <v>963</v>
      </c>
      <c r="D176" s="24">
        <v>15</v>
      </c>
      <c r="E176" s="24">
        <f t="shared" si="3"/>
        <v>14445</v>
      </c>
      <c r="H176"/>
    </row>
    <row r="177" spans="1:8" x14ac:dyDescent="0.25">
      <c r="A177" s="24" t="s">
        <v>129</v>
      </c>
      <c r="B177" s="24" t="s">
        <v>113</v>
      </c>
      <c r="C177" s="24">
        <v>881</v>
      </c>
      <c r="D177" s="24">
        <v>15</v>
      </c>
      <c r="E177" s="24">
        <f t="shared" si="3"/>
        <v>13215</v>
      </c>
      <c r="H177"/>
    </row>
    <row r="178" spans="1:8" x14ac:dyDescent="0.25">
      <c r="A178" s="24" t="s">
        <v>127</v>
      </c>
      <c r="B178" s="24" t="s">
        <v>116</v>
      </c>
      <c r="C178" s="24">
        <v>640</v>
      </c>
      <c r="D178" s="24">
        <v>18</v>
      </c>
      <c r="E178" s="24">
        <f t="shared" si="3"/>
        <v>11520</v>
      </c>
      <c r="H178"/>
    </row>
    <row r="179" spans="1:8" x14ac:dyDescent="0.25">
      <c r="A179" s="24" t="s">
        <v>132</v>
      </c>
      <c r="B179" s="24" t="s">
        <v>113</v>
      </c>
      <c r="C179" s="24">
        <v>423</v>
      </c>
      <c r="D179" s="24">
        <v>15</v>
      </c>
      <c r="E179" s="24">
        <f t="shared" si="3"/>
        <v>6345</v>
      </c>
      <c r="H179"/>
    </row>
    <row r="180" spans="1:8" x14ac:dyDescent="0.25">
      <c r="A180" s="24" t="s">
        <v>126</v>
      </c>
      <c r="B180" s="24" t="s">
        <v>114</v>
      </c>
      <c r="C180" s="24">
        <v>744</v>
      </c>
      <c r="D180" s="24">
        <v>20</v>
      </c>
      <c r="E180" s="24">
        <f t="shared" si="3"/>
        <v>14880</v>
      </c>
      <c r="H180"/>
    </row>
    <row r="181" spans="1:8" x14ac:dyDescent="0.25">
      <c r="A181" s="24" t="s">
        <v>128</v>
      </c>
      <c r="B181" s="24" t="s">
        <v>116</v>
      </c>
      <c r="C181" s="24">
        <v>290</v>
      </c>
      <c r="D181" s="24">
        <v>18</v>
      </c>
      <c r="E181" s="24">
        <f t="shared" si="3"/>
        <v>5220</v>
      </c>
      <c r="H181"/>
    </row>
    <row r="182" spans="1:8" x14ac:dyDescent="0.25">
      <c r="A182" s="24" t="s">
        <v>130</v>
      </c>
      <c r="B182" s="24" t="s">
        <v>114</v>
      </c>
      <c r="C182" s="24">
        <v>129</v>
      </c>
      <c r="D182" s="24">
        <v>20</v>
      </c>
      <c r="E182" s="24">
        <f t="shared" si="3"/>
        <v>2580</v>
      </c>
      <c r="H182"/>
    </row>
    <row r="183" spans="1:8" x14ac:dyDescent="0.25">
      <c r="A183" s="24" t="s">
        <v>127</v>
      </c>
      <c r="B183" s="24" t="s">
        <v>115</v>
      </c>
      <c r="C183" s="24">
        <v>320</v>
      </c>
      <c r="D183" s="24">
        <v>12.5</v>
      </c>
      <c r="E183" s="24">
        <f t="shared" si="3"/>
        <v>4000</v>
      </c>
      <c r="H183"/>
    </row>
    <row r="184" spans="1:8" x14ac:dyDescent="0.25">
      <c r="A184" s="24" t="s">
        <v>129</v>
      </c>
      <c r="B184" s="24" t="s">
        <v>114</v>
      </c>
      <c r="C184" s="24">
        <v>588</v>
      </c>
      <c r="D184" s="24">
        <v>20</v>
      </c>
      <c r="E184" s="24">
        <f t="shared" si="3"/>
        <v>11760</v>
      </c>
      <c r="H184"/>
    </row>
    <row r="185" spans="1:8" x14ac:dyDescent="0.25">
      <c r="A185" s="24" t="s">
        <v>128</v>
      </c>
      <c r="B185" s="24" t="s">
        <v>114</v>
      </c>
      <c r="C185" s="24">
        <v>351</v>
      </c>
      <c r="D185" s="24">
        <v>20</v>
      </c>
      <c r="E185" s="24">
        <f t="shared" si="3"/>
        <v>7020</v>
      </c>
      <c r="H185"/>
    </row>
    <row r="186" spans="1:8" x14ac:dyDescent="0.25">
      <c r="A186" s="24" t="s">
        <v>131</v>
      </c>
      <c r="B186" s="24" t="s">
        <v>113</v>
      </c>
      <c r="C186" s="24">
        <v>575</v>
      </c>
      <c r="D186" s="24">
        <v>15</v>
      </c>
      <c r="E186" s="24">
        <f t="shared" si="3"/>
        <v>8625</v>
      </c>
      <c r="H186"/>
    </row>
    <row r="187" spans="1:8" x14ac:dyDescent="0.25">
      <c r="A187" s="24" t="s">
        <v>127</v>
      </c>
      <c r="B187" s="24" t="s">
        <v>113</v>
      </c>
      <c r="C187" s="24">
        <v>921</v>
      </c>
      <c r="D187" s="24">
        <v>15</v>
      </c>
      <c r="E187" s="24">
        <f t="shared" si="3"/>
        <v>13815</v>
      </c>
      <c r="H187"/>
    </row>
    <row r="188" spans="1:8" x14ac:dyDescent="0.25">
      <c r="A188" s="24" t="s">
        <v>127</v>
      </c>
      <c r="B188" s="24" t="s">
        <v>114</v>
      </c>
      <c r="C188" s="24">
        <v>230</v>
      </c>
      <c r="D188" s="24">
        <v>20</v>
      </c>
      <c r="E188" s="24">
        <f t="shared" si="3"/>
        <v>4600</v>
      </c>
      <c r="H188"/>
    </row>
    <row r="189" spans="1:8" x14ac:dyDescent="0.25">
      <c r="A189" s="24" t="s">
        <v>127</v>
      </c>
      <c r="B189" s="24" t="s">
        <v>114</v>
      </c>
      <c r="C189" s="24">
        <v>141</v>
      </c>
      <c r="D189" s="24">
        <v>20</v>
      </c>
      <c r="E189" s="24">
        <f t="shared" si="3"/>
        <v>2820</v>
      </c>
      <c r="H189"/>
    </row>
    <row r="190" spans="1:8" x14ac:dyDescent="0.25">
      <c r="A190" s="24" t="s">
        <v>129</v>
      </c>
      <c r="B190" s="24" t="s">
        <v>115</v>
      </c>
      <c r="C190" s="24">
        <v>163</v>
      </c>
      <c r="D190" s="24">
        <v>12.5</v>
      </c>
      <c r="E190" s="24">
        <f t="shared" si="3"/>
        <v>2037.5</v>
      </c>
      <c r="H190"/>
    </row>
    <row r="191" spans="1:8" x14ac:dyDescent="0.25">
      <c r="A191" s="24" t="s">
        <v>130</v>
      </c>
      <c r="B191" s="24" t="s">
        <v>116</v>
      </c>
      <c r="C191" s="24">
        <v>735</v>
      </c>
      <c r="D191" s="24">
        <v>18</v>
      </c>
      <c r="E191" s="24">
        <f t="shared" si="3"/>
        <v>13230</v>
      </c>
      <c r="H191"/>
    </row>
    <row r="192" spans="1:8" x14ac:dyDescent="0.25">
      <c r="A192" s="24" t="s">
        <v>130</v>
      </c>
      <c r="B192" s="24" t="s">
        <v>113</v>
      </c>
      <c r="C192" s="24">
        <v>119</v>
      </c>
      <c r="D192" s="24">
        <v>15</v>
      </c>
      <c r="E192" s="24">
        <f t="shared" si="3"/>
        <v>1785</v>
      </c>
      <c r="H192"/>
    </row>
    <row r="193" spans="1:8" x14ac:dyDescent="0.25">
      <c r="A193" s="24" t="s">
        <v>132</v>
      </c>
      <c r="B193" s="24" t="s">
        <v>113</v>
      </c>
      <c r="C193" s="24">
        <v>143</v>
      </c>
      <c r="D193" s="24">
        <v>15</v>
      </c>
      <c r="E193" s="24">
        <f t="shared" si="3"/>
        <v>2145</v>
      </c>
      <c r="H193"/>
    </row>
    <row r="194" spans="1:8" x14ac:dyDescent="0.25">
      <c r="A194" s="24" t="s">
        <v>128</v>
      </c>
      <c r="B194" s="24" t="s">
        <v>116</v>
      </c>
      <c r="C194" s="24">
        <v>938</v>
      </c>
      <c r="D194" s="24">
        <v>18</v>
      </c>
      <c r="E194" s="24">
        <f t="shared" ref="E194:E257" si="4">C194*D194</f>
        <v>16884</v>
      </c>
      <c r="H194"/>
    </row>
    <row r="195" spans="1:8" x14ac:dyDescent="0.25">
      <c r="A195" s="24" t="s">
        <v>129</v>
      </c>
      <c r="B195" s="24" t="s">
        <v>114</v>
      </c>
      <c r="C195" s="24">
        <v>731</v>
      </c>
      <c r="D195" s="24">
        <v>20</v>
      </c>
      <c r="E195" s="24">
        <f t="shared" si="4"/>
        <v>14620</v>
      </c>
      <c r="H195"/>
    </row>
    <row r="196" spans="1:8" x14ac:dyDescent="0.25">
      <c r="A196" s="24" t="s">
        <v>127</v>
      </c>
      <c r="B196" s="24" t="s">
        <v>116</v>
      </c>
      <c r="C196" s="24">
        <v>979</v>
      </c>
      <c r="D196" s="24">
        <v>18</v>
      </c>
      <c r="E196" s="24">
        <f t="shared" si="4"/>
        <v>17622</v>
      </c>
      <c r="H196"/>
    </row>
    <row r="197" spans="1:8" x14ac:dyDescent="0.25">
      <c r="A197" s="24" t="s">
        <v>128</v>
      </c>
      <c r="B197" s="24" t="s">
        <v>115</v>
      </c>
      <c r="C197" s="24">
        <v>681</v>
      </c>
      <c r="D197" s="24">
        <v>12.5</v>
      </c>
      <c r="E197" s="24">
        <f t="shared" si="4"/>
        <v>8512.5</v>
      </c>
      <c r="H197"/>
    </row>
    <row r="198" spans="1:8" x14ac:dyDescent="0.25">
      <c r="A198" s="24" t="s">
        <v>128</v>
      </c>
      <c r="B198" s="24" t="s">
        <v>114</v>
      </c>
      <c r="C198" s="24">
        <v>812</v>
      </c>
      <c r="D198" s="24">
        <v>20</v>
      </c>
      <c r="E198" s="24">
        <f t="shared" si="4"/>
        <v>16240</v>
      </c>
      <c r="H198"/>
    </row>
    <row r="199" spans="1:8" x14ac:dyDescent="0.25">
      <c r="A199" s="24" t="s">
        <v>131</v>
      </c>
      <c r="B199" s="24" t="s">
        <v>115</v>
      </c>
      <c r="C199" s="24">
        <v>546</v>
      </c>
      <c r="D199" s="24">
        <v>12.5</v>
      </c>
      <c r="E199" s="24">
        <f t="shared" si="4"/>
        <v>6825</v>
      </c>
      <c r="H199"/>
    </row>
    <row r="200" spans="1:8" x14ac:dyDescent="0.25">
      <c r="A200" s="24" t="s">
        <v>132</v>
      </c>
      <c r="B200" s="24" t="s">
        <v>113</v>
      </c>
      <c r="C200" s="24">
        <v>984</v>
      </c>
      <c r="D200" s="24">
        <v>15</v>
      </c>
      <c r="E200" s="24">
        <f t="shared" si="4"/>
        <v>14760</v>
      </c>
      <c r="H200"/>
    </row>
    <row r="201" spans="1:8" x14ac:dyDescent="0.25">
      <c r="A201" s="24" t="s">
        <v>131</v>
      </c>
      <c r="B201" s="24" t="s">
        <v>114</v>
      </c>
      <c r="C201" s="24">
        <v>815</v>
      </c>
      <c r="D201" s="24">
        <v>20</v>
      </c>
      <c r="E201" s="24">
        <f t="shared" si="4"/>
        <v>16300</v>
      </c>
      <c r="H201"/>
    </row>
    <row r="202" spans="1:8" x14ac:dyDescent="0.25">
      <c r="A202" s="24" t="s">
        <v>130</v>
      </c>
      <c r="B202" s="24" t="s">
        <v>114</v>
      </c>
      <c r="C202" s="24">
        <v>409</v>
      </c>
      <c r="D202" s="24">
        <v>20</v>
      </c>
      <c r="E202" s="24">
        <f t="shared" si="4"/>
        <v>8180</v>
      </c>
      <c r="H202"/>
    </row>
    <row r="203" spans="1:8" x14ac:dyDescent="0.25">
      <c r="A203" s="24" t="s">
        <v>131</v>
      </c>
      <c r="B203" s="24" t="s">
        <v>114</v>
      </c>
      <c r="C203" s="24">
        <v>256</v>
      </c>
      <c r="D203" s="24">
        <v>20</v>
      </c>
      <c r="E203" s="24">
        <f t="shared" si="4"/>
        <v>5120</v>
      </c>
      <c r="H203"/>
    </row>
    <row r="204" spans="1:8" x14ac:dyDescent="0.25">
      <c r="A204" s="24" t="s">
        <v>132</v>
      </c>
      <c r="B204" s="24" t="s">
        <v>116</v>
      </c>
      <c r="C204" s="24">
        <v>694</v>
      </c>
      <c r="D204" s="24">
        <v>18</v>
      </c>
      <c r="E204" s="24">
        <f t="shared" si="4"/>
        <v>12492</v>
      </c>
      <c r="H204"/>
    </row>
    <row r="205" spans="1:8" x14ac:dyDescent="0.25">
      <c r="A205" s="24" t="s">
        <v>132</v>
      </c>
      <c r="B205" s="24" t="s">
        <v>113</v>
      </c>
      <c r="C205" s="24">
        <v>37</v>
      </c>
      <c r="D205" s="24">
        <v>15</v>
      </c>
      <c r="E205" s="24">
        <f t="shared" si="4"/>
        <v>555</v>
      </c>
      <c r="H205"/>
    </row>
    <row r="206" spans="1:8" x14ac:dyDescent="0.25">
      <c r="A206" s="24" t="s">
        <v>132</v>
      </c>
      <c r="B206" s="24" t="s">
        <v>116</v>
      </c>
      <c r="C206" s="24">
        <v>347</v>
      </c>
      <c r="D206" s="24">
        <v>18</v>
      </c>
      <c r="E206" s="24">
        <f t="shared" si="4"/>
        <v>6246</v>
      </c>
      <c r="H206"/>
    </row>
    <row r="207" spans="1:8" x14ac:dyDescent="0.25">
      <c r="A207" s="24" t="s">
        <v>126</v>
      </c>
      <c r="B207" s="24" t="s">
        <v>115</v>
      </c>
      <c r="C207" s="24">
        <v>927</v>
      </c>
      <c r="D207" s="24">
        <v>12.5</v>
      </c>
      <c r="E207" s="24">
        <f t="shared" si="4"/>
        <v>11587.5</v>
      </c>
      <c r="H207"/>
    </row>
    <row r="208" spans="1:8" x14ac:dyDescent="0.25">
      <c r="A208" s="24" t="s">
        <v>132</v>
      </c>
      <c r="B208" s="24" t="s">
        <v>114</v>
      </c>
      <c r="C208" s="24">
        <v>955</v>
      </c>
      <c r="D208" s="24">
        <v>20</v>
      </c>
      <c r="E208" s="24">
        <f t="shared" si="4"/>
        <v>19100</v>
      </c>
      <c r="H208"/>
    </row>
    <row r="209" spans="1:8" x14ac:dyDescent="0.25">
      <c r="A209" s="24" t="s">
        <v>129</v>
      </c>
      <c r="B209" s="24" t="s">
        <v>115</v>
      </c>
      <c r="C209" s="24">
        <v>794</v>
      </c>
      <c r="D209" s="24">
        <v>12.5</v>
      </c>
      <c r="E209" s="24">
        <f t="shared" si="4"/>
        <v>9925</v>
      </c>
      <c r="H209"/>
    </row>
    <row r="210" spans="1:8" x14ac:dyDescent="0.25">
      <c r="A210" s="24" t="s">
        <v>126</v>
      </c>
      <c r="B210" s="24" t="s">
        <v>116</v>
      </c>
      <c r="C210" s="24">
        <v>488</v>
      </c>
      <c r="D210" s="24">
        <v>18</v>
      </c>
      <c r="E210" s="24">
        <f t="shared" si="4"/>
        <v>8784</v>
      </c>
      <c r="H210"/>
    </row>
    <row r="211" spans="1:8" x14ac:dyDescent="0.25">
      <c r="A211" s="24" t="s">
        <v>132</v>
      </c>
      <c r="B211" s="24" t="s">
        <v>114</v>
      </c>
      <c r="C211" s="24">
        <v>155</v>
      </c>
      <c r="D211" s="24">
        <v>20</v>
      </c>
      <c r="E211" s="24">
        <f t="shared" si="4"/>
        <v>3100</v>
      </c>
      <c r="H211"/>
    </row>
    <row r="212" spans="1:8" x14ac:dyDescent="0.25">
      <c r="A212" s="24" t="s">
        <v>127</v>
      </c>
      <c r="B212" s="24" t="s">
        <v>114</v>
      </c>
      <c r="C212" s="24">
        <v>693</v>
      </c>
      <c r="D212" s="24">
        <v>20</v>
      </c>
      <c r="E212" s="24">
        <f t="shared" si="4"/>
        <v>13860</v>
      </c>
      <c r="H212"/>
    </row>
    <row r="213" spans="1:8" x14ac:dyDescent="0.25">
      <c r="A213" s="24" t="s">
        <v>131</v>
      </c>
      <c r="B213" s="24" t="s">
        <v>115</v>
      </c>
      <c r="C213" s="24">
        <v>82</v>
      </c>
      <c r="D213" s="24">
        <v>12.5</v>
      </c>
      <c r="E213" s="24">
        <f t="shared" si="4"/>
        <v>1025</v>
      </c>
      <c r="H213"/>
    </row>
    <row r="214" spans="1:8" x14ac:dyDescent="0.25">
      <c r="A214" s="24" t="s">
        <v>129</v>
      </c>
      <c r="B214" s="24" t="s">
        <v>114</v>
      </c>
      <c r="C214" s="24">
        <v>994</v>
      </c>
      <c r="D214" s="24">
        <v>20</v>
      </c>
      <c r="E214" s="24">
        <f t="shared" si="4"/>
        <v>19880</v>
      </c>
      <c r="H214"/>
    </row>
    <row r="215" spans="1:8" x14ac:dyDescent="0.25">
      <c r="A215" s="24" t="s">
        <v>126</v>
      </c>
      <c r="B215" s="24" t="s">
        <v>115</v>
      </c>
      <c r="C215" s="24">
        <v>247</v>
      </c>
      <c r="D215" s="24">
        <v>12.5</v>
      </c>
      <c r="E215" s="24">
        <f t="shared" si="4"/>
        <v>3087.5</v>
      </c>
      <c r="H215"/>
    </row>
    <row r="216" spans="1:8" x14ac:dyDescent="0.25">
      <c r="A216" s="24" t="s">
        <v>127</v>
      </c>
      <c r="B216" s="24" t="s">
        <v>116</v>
      </c>
      <c r="C216" s="24">
        <v>782</v>
      </c>
      <c r="D216" s="24">
        <v>18</v>
      </c>
      <c r="E216" s="24">
        <f t="shared" si="4"/>
        <v>14076</v>
      </c>
      <c r="H216"/>
    </row>
    <row r="217" spans="1:8" x14ac:dyDescent="0.25">
      <c r="A217" s="24" t="s">
        <v>132</v>
      </c>
      <c r="B217" s="24" t="s">
        <v>116</v>
      </c>
      <c r="C217" s="24">
        <v>218</v>
      </c>
      <c r="D217" s="24">
        <v>18</v>
      </c>
      <c r="E217" s="24">
        <f t="shared" si="4"/>
        <v>3924</v>
      </c>
      <c r="H217"/>
    </row>
    <row r="218" spans="1:8" x14ac:dyDescent="0.25">
      <c r="A218" s="24" t="s">
        <v>131</v>
      </c>
      <c r="B218" s="24" t="s">
        <v>115</v>
      </c>
      <c r="C218" s="24">
        <v>520</v>
      </c>
      <c r="D218" s="24">
        <v>12.5</v>
      </c>
      <c r="E218" s="24">
        <f t="shared" si="4"/>
        <v>6500</v>
      </c>
      <c r="H218"/>
    </row>
    <row r="219" spans="1:8" x14ac:dyDescent="0.25">
      <c r="A219" s="24" t="s">
        <v>129</v>
      </c>
      <c r="B219" s="24" t="s">
        <v>116</v>
      </c>
      <c r="C219" s="24">
        <v>856</v>
      </c>
      <c r="D219" s="24">
        <v>18</v>
      </c>
      <c r="E219" s="24">
        <f t="shared" si="4"/>
        <v>15408</v>
      </c>
      <c r="H219"/>
    </row>
    <row r="220" spans="1:8" x14ac:dyDescent="0.25">
      <c r="A220" s="24" t="s">
        <v>130</v>
      </c>
      <c r="B220" s="24" t="s">
        <v>115</v>
      </c>
      <c r="C220" s="24">
        <v>247</v>
      </c>
      <c r="D220" s="24">
        <v>12.5</v>
      </c>
      <c r="E220" s="24">
        <f t="shared" si="4"/>
        <v>3087.5</v>
      </c>
      <c r="H220"/>
    </row>
    <row r="221" spans="1:8" x14ac:dyDescent="0.25">
      <c r="A221" s="24" t="s">
        <v>129</v>
      </c>
      <c r="B221" s="24" t="s">
        <v>114</v>
      </c>
      <c r="C221" s="24">
        <v>541</v>
      </c>
      <c r="D221" s="24">
        <v>20</v>
      </c>
      <c r="E221" s="24">
        <f t="shared" si="4"/>
        <v>10820</v>
      </c>
      <c r="H221"/>
    </row>
    <row r="222" spans="1:8" x14ac:dyDescent="0.25">
      <c r="A222" s="24" t="s">
        <v>131</v>
      </c>
      <c r="B222" s="24" t="s">
        <v>113</v>
      </c>
      <c r="C222" s="24">
        <v>291</v>
      </c>
      <c r="D222" s="24">
        <v>15</v>
      </c>
      <c r="E222" s="24">
        <f t="shared" si="4"/>
        <v>4365</v>
      </c>
      <c r="H222"/>
    </row>
    <row r="223" spans="1:8" x14ac:dyDescent="0.25">
      <c r="A223" s="24" t="s">
        <v>130</v>
      </c>
      <c r="B223" s="24" t="s">
        <v>116</v>
      </c>
      <c r="C223" s="24">
        <v>285</v>
      </c>
      <c r="D223" s="24">
        <v>18</v>
      </c>
      <c r="E223" s="24">
        <f t="shared" si="4"/>
        <v>5130</v>
      </c>
      <c r="H223"/>
    </row>
    <row r="224" spans="1:8" x14ac:dyDescent="0.25">
      <c r="A224" s="24" t="s">
        <v>132</v>
      </c>
      <c r="B224" s="24" t="s">
        <v>116</v>
      </c>
      <c r="C224" s="24">
        <v>191</v>
      </c>
      <c r="D224" s="24">
        <v>18</v>
      </c>
      <c r="E224" s="24">
        <f t="shared" si="4"/>
        <v>3438</v>
      </c>
      <c r="H224"/>
    </row>
    <row r="225" spans="1:8" x14ac:dyDescent="0.25">
      <c r="A225" s="24" t="s">
        <v>126</v>
      </c>
      <c r="B225" s="24" t="s">
        <v>115</v>
      </c>
      <c r="C225" s="24">
        <v>339</v>
      </c>
      <c r="D225" s="24">
        <v>12.5</v>
      </c>
      <c r="E225" s="24">
        <f t="shared" si="4"/>
        <v>4237.5</v>
      </c>
      <c r="H225"/>
    </row>
    <row r="226" spans="1:8" x14ac:dyDescent="0.25">
      <c r="A226" s="24" t="s">
        <v>127</v>
      </c>
      <c r="B226" s="24" t="s">
        <v>115</v>
      </c>
      <c r="C226" s="24">
        <v>10</v>
      </c>
      <c r="D226" s="24">
        <v>12.5</v>
      </c>
      <c r="E226" s="24">
        <f t="shared" si="4"/>
        <v>125</v>
      </c>
      <c r="H226"/>
    </row>
    <row r="227" spans="1:8" x14ac:dyDescent="0.25">
      <c r="A227" s="24" t="s">
        <v>127</v>
      </c>
      <c r="B227" s="24" t="s">
        <v>114</v>
      </c>
      <c r="C227" s="24">
        <v>943</v>
      </c>
      <c r="D227" s="24">
        <v>20</v>
      </c>
      <c r="E227" s="24">
        <f t="shared" si="4"/>
        <v>18860</v>
      </c>
      <c r="H227"/>
    </row>
    <row r="228" spans="1:8" x14ac:dyDescent="0.25">
      <c r="A228" s="24" t="s">
        <v>126</v>
      </c>
      <c r="B228" s="24" t="s">
        <v>113</v>
      </c>
      <c r="C228" s="24">
        <v>905</v>
      </c>
      <c r="D228" s="24">
        <v>15</v>
      </c>
      <c r="E228" s="24">
        <f t="shared" si="4"/>
        <v>13575</v>
      </c>
      <c r="H228"/>
    </row>
    <row r="229" spans="1:8" x14ac:dyDescent="0.25">
      <c r="A229" s="24" t="s">
        <v>129</v>
      </c>
      <c r="B229" s="24" t="s">
        <v>115</v>
      </c>
      <c r="C229" s="24">
        <v>843</v>
      </c>
      <c r="D229" s="24">
        <v>12.5</v>
      </c>
      <c r="E229" s="24">
        <f t="shared" si="4"/>
        <v>10537.5</v>
      </c>
      <c r="H229"/>
    </row>
    <row r="230" spans="1:8" x14ac:dyDescent="0.25">
      <c r="A230" s="24" t="s">
        <v>129</v>
      </c>
      <c r="B230" s="24" t="s">
        <v>113</v>
      </c>
      <c r="C230" s="24">
        <v>84</v>
      </c>
      <c r="D230" s="24">
        <v>15</v>
      </c>
      <c r="E230" s="24">
        <f t="shared" si="4"/>
        <v>1260</v>
      </c>
      <c r="H230"/>
    </row>
    <row r="231" spans="1:8" x14ac:dyDescent="0.25">
      <c r="A231" s="24" t="s">
        <v>130</v>
      </c>
      <c r="B231" s="24" t="s">
        <v>113</v>
      </c>
      <c r="C231" s="24">
        <v>314</v>
      </c>
      <c r="D231" s="24">
        <v>15</v>
      </c>
      <c r="E231" s="24">
        <f t="shared" si="4"/>
        <v>4710</v>
      </c>
      <c r="H231"/>
    </row>
    <row r="232" spans="1:8" x14ac:dyDescent="0.25">
      <c r="A232" s="24" t="s">
        <v>130</v>
      </c>
      <c r="B232" s="24" t="s">
        <v>114</v>
      </c>
      <c r="C232" s="24">
        <v>754</v>
      </c>
      <c r="D232" s="24">
        <v>20</v>
      </c>
      <c r="E232" s="24">
        <f t="shared" si="4"/>
        <v>15080</v>
      </c>
      <c r="H232"/>
    </row>
    <row r="233" spans="1:8" x14ac:dyDescent="0.25">
      <c r="A233" s="24" t="s">
        <v>127</v>
      </c>
      <c r="B233" s="24" t="s">
        <v>114</v>
      </c>
      <c r="C233" s="24">
        <v>414</v>
      </c>
      <c r="D233" s="24">
        <v>20</v>
      </c>
      <c r="E233" s="24">
        <f t="shared" si="4"/>
        <v>8280</v>
      </c>
      <c r="H233"/>
    </row>
    <row r="234" spans="1:8" x14ac:dyDescent="0.25">
      <c r="A234" s="24" t="s">
        <v>132</v>
      </c>
      <c r="B234" s="24" t="s">
        <v>113</v>
      </c>
      <c r="C234" s="24">
        <v>589</v>
      </c>
      <c r="D234" s="24">
        <v>15</v>
      </c>
      <c r="E234" s="24">
        <f t="shared" si="4"/>
        <v>8835</v>
      </c>
      <c r="H234"/>
    </row>
    <row r="235" spans="1:8" x14ac:dyDescent="0.25">
      <c r="A235" s="24" t="s">
        <v>131</v>
      </c>
      <c r="B235" s="24" t="s">
        <v>113</v>
      </c>
      <c r="C235" s="24">
        <v>224</v>
      </c>
      <c r="D235" s="24">
        <v>15</v>
      </c>
      <c r="E235" s="24">
        <f t="shared" si="4"/>
        <v>3360</v>
      </c>
      <c r="H235"/>
    </row>
    <row r="236" spans="1:8" x14ac:dyDescent="0.25">
      <c r="A236" s="24" t="s">
        <v>129</v>
      </c>
      <c r="B236" s="24" t="s">
        <v>113</v>
      </c>
      <c r="C236" s="24">
        <v>864</v>
      </c>
      <c r="D236" s="24">
        <v>15</v>
      </c>
      <c r="E236" s="24">
        <f t="shared" si="4"/>
        <v>12960</v>
      </c>
      <c r="H236"/>
    </row>
    <row r="237" spans="1:8" x14ac:dyDescent="0.25">
      <c r="A237" s="24" t="s">
        <v>127</v>
      </c>
      <c r="B237" s="24" t="s">
        <v>115</v>
      </c>
      <c r="C237" s="24">
        <v>43</v>
      </c>
      <c r="D237" s="24">
        <v>12.5</v>
      </c>
      <c r="E237" s="24">
        <f t="shared" si="4"/>
        <v>537.5</v>
      </c>
      <c r="H237"/>
    </row>
    <row r="238" spans="1:8" x14ac:dyDescent="0.25">
      <c r="A238" s="24" t="s">
        <v>128</v>
      </c>
      <c r="B238" s="24" t="s">
        <v>114</v>
      </c>
      <c r="C238" s="24">
        <v>62</v>
      </c>
      <c r="D238" s="24">
        <v>20</v>
      </c>
      <c r="E238" s="24">
        <f t="shared" si="4"/>
        <v>1240</v>
      </c>
      <c r="H238"/>
    </row>
    <row r="239" spans="1:8" x14ac:dyDescent="0.25">
      <c r="A239" s="24" t="s">
        <v>131</v>
      </c>
      <c r="B239" s="24" t="s">
        <v>114</v>
      </c>
      <c r="C239" s="24">
        <v>206</v>
      </c>
      <c r="D239" s="24">
        <v>20</v>
      </c>
      <c r="E239" s="24">
        <f t="shared" si="4"/>
        <v>4120</v>
      </c>
      <c r="H239"/>
    </row>
    <row r="240" spans="1:8" x14ac:dyDescent="0.25">
      <c r="A240" s="24" t="s">
        <v>130</v>
      </c>
      <c r="B240" s="24" t="s">
        <v>116</v>
      </c>
      <c r="C240" s="24">
        <v>139</v>
      </c>
      <c r="D240" s="24">
        <v>18</v>
      </c>
      <c r="E240" s="24">
        <f t="shared" si="4"/>
        <v>2502</v>
      </c>
      <c r="H240"/>
    </row>
    <row r="241" spans="1:8" x14ac:dyDescent="0.25">
      <c r="A241" s="24" t="s">
        <v>131</v>
      </c>
      <c r="B241" s="24" t="s">
        <v>113</v>
      </c>
      <c r="C241" s="24">
        <v>20</v>
      </c>
      <c r="D241" s="24">
        <v>15</v>
      </c>
      <c r="E241" s="24">
        <f t="shared" si="4"/>
        <v>300</v>
      </c>
      <c r="H241"/>
    </row>
    <row r="242" spans="1:8" x14ac:dyDescent="0.25">
      <c r="A242" s="24" t="s">
        <v>127</v>
      </c>
      <c r="B242" s="24" t="s">
        <v>115</v>
      </c>
      <c r="C242" s="24">
        <v>221</v>
      </c>
      <c r="D242" s="24">
        <v>12.5</v>
      </c>
      <c r="E242" s="24">
        <f t="shared" si="4"/>
        <v>2762.5</v>
      </c>
      <c r="H242"/>
    </row>
    <row r="243" spans="1:8" x14ac:dyDescent="0.25">
      <c r="A243" s="24" t="s">
        <v>128</v>
      </c>
      <c r="B243" s="24" t="s">
        <v>113</v>
      </c>
      <c r="C243" s="24">
        <v>610</v>
      </c>
      <c r="D243" s="24">
        <v>15</v>
      </c>
      <c r="E243" s="24">
        <f t="shared" si="4"/>
        <v>9150</v>
      </c>
      <c r="H243"/>
    </row>
    <row r="244" spans="1:8" x14ac:dyDescent="0.25">
      <c r="A244" s="24" t="s">
        <v>130</v>
      </c>
      <c r="B244" s="24" t="s">
        <v>113</v>
      </c>
      <c r="C244" s="24">
        <v>549</v>
      </c>
      <c r="D244" s="24">
        <v>15</v>
      </c>
      <c r="E244" s="24">
        <f t="shared" si="4"/>
        <v>8235</v>
      </c>
      <c r="H244"/>
    </row>
    <row r="245" spans="1:8" x14ac:dyDescent="0.25">
      <c r="A245" s="24" t="s">
        <v>129</v>
      </c>
      <c r="B245" s="24" t="s">
        <v>114</v>
      </c>
      <c r="C245" s="24">
        <v>35</v>
      </c>
      <c r="D245" s="24">
        <v>20</v>
      </c>
      <c r="E245" s="24">
        <f t="shared" si="4"/>
        <v>700</v>
      </c>
      <c r="H245"/>
    </row>
    <row r="246" spans="1:8" x14ac:dyDescent="0.25">
      <c r="A246" s="24" t="s">
        <v>129</v>
      </c>
      <c r="B246" s="24" t="s">
        <v>116</v>
      </c>
      <c r="C246" s="24">
        <v>166</v>
      </c>
      <c r="D246" s="24">
        <v>18</v>
      </c>
      <c r="E246" s="24">
        <f t="shared" si="4"/>
        <v>2988</v>
      </c>
      <c r="H246"/>
    </row>
    <row r="247" spans="1:8" x14ac:dyDescent="0.25">
      <c r="A247" s="24" t="s">
        <v>127</v>
      </c>
      <c r="B247" s="24" t="s">
        <v>114</v>
      </c>
      <c r="C247" s="24">
        <v>328</v>
      </c>
      <c r="D247" s="24">
        <v>20</v>
      </c>
      <c r="E247" s="24">
        <f t="shared" si="4"/>
        <v>6560</v>
      </c>
      <c r="H247"/>
    </row>
    <row r="248" spans="1:8" x14ac:dyDescent="0.25">
      <c r="A248" s="24" t="s">
        <v>132</v>
      </c>
      <c r="B248" s="24" t="s">
        <v>116</v>
      </c>
      <c r="C248" s="24">
        <v>42</v>
      </c>
      <c r="D248" s="24">
        <v>18</v>
      </c>
      <c r="E248" s="24">
        <f t="shared" si="4"/>
        <v>756</v>
      </c>
      <c r="H248"/>
    </row>
    <row r="249" spans="1:8" x14ac:dyDescent="0.25">
      <c r="A249" s="24" t="s">
        <v>127</v>
      </c>
      <c r="B249" s="24" t="s">
        <v>113</v>
      </c>
      <c r="C249" s="24">
        <v>581</v>
      </c>
      <c r="D249" s="24">
        <v>15</v>
      </c>
      <c r="E249" s="24">
        <f t="shared" si="4"/>
        <v>8715</v>
      </c>
      <c r="H249"/>
    </row>
    <row r="250" spans="1:8" x14ac:dyDescent="0.25">
      <c r="A250" s="24" t="s">
        <v>130</v>
      </c>
      <c r="B250" s="24" t="s">
        <v>113</v>
      </c>
      <c r="C250" s="24">
        <v>471</v>
      </c>
      <c r="D250" s="24">
        <v>15</v>
      </c>
      <c r="E250" s="24">
        <f t="shared" si="4"/>
        <v>7065</v>
      </c>
      <c r="H250"/>
    </row>
    <row r="251" spans="1:8" x14ac:dyDescent="0.25">
      <c r="A251" s="24" t="s">
        <v>128</v>
      </c>
      <c r="B251" s="24" t="s">
        <v>114</v>
      </c>
      <c r="C251" s="24">
        <v>27</v>
      </c>
      <c r="D251" s="24">
        <v>20</v>
      </c>
      <c r="E251" s="24">
        <f t="shared" si="4"/>
        <v>540</v>
      </c>
      <c r="H251"/>
    </row>
    <row r="252" spans="1:8" x14ac:dyDescent="0.25">
      <c r="A252" s="24" t="s">
        <v>131</v>
      </c>
      <c r="B252" s="24" t="s">
        <v>115</v>
      </c>
      <c r="C252" s="24">
        <v>458</v>
      </c>
      <c r="D252" s="24">
        <v>12.5</v>
      </c>
      <c r="E252" s="24">
        <f t="shared" si="4"/>
        <v>5725</v>
      </c>
      <c r="H252"/>
    </row>
    <row r="253" spans="1:8" x14ac:dyDescent="0.25">
      <c r="A253" s="24" t="s">
        <v>128</v>
      </c>
      <c r="B253" s="24" t="s">
        <v>114</v>
      </c>
      <c r="C253" s="24">
        <v>646</v>
      </c>
      <c r="D253" s="24">
        <v>20</v>
      </c>
      <c r="E253" s="24">
        <f t="shared" si="4"/>
        <v>12920</v>
      </c>
      <c r="H253"/>
    </row>
    <row r="254" spans="1:8" x14ac:dyDescent="0.25">
      <c r="A254" s="24" t="s">
        <v>127</v>
      </c>
      <c r="B254" s="24" t="s">
        <v>113</v>
      </c>
      <c r="C254" s="24">
        <v>864</v>
      </c>
      <c r="D254" s="24">
        <v>15</v>
      </c>
      <c r="E254" s="24">
        <f t="shared" si="4"/>
        <v>12960</v>
      </c>
      <c r="H254"/>
    </row>
    <row r="255" spans="1:8" x14ac:dyDescent="0.25">
      <c r="A255" s="24" t="s">
        <v>126</v>
      </c>
      <c r="B255" s="24" t="s">
        <v>116</v>
      </c>
      <c r="C255" s="24">
        <v>792</v>
      </c>
      <c r="D255" s="24">
        <v>18</v>
      </c>
      <c r="E255" s="24">
        <f t="shared" si="4"/>
        <v>14256</v>
      </c>
      <c r="H255"/>
    </row>
    <row r="256" spans="1:8" x14ac:dyDescent="0.25">
      <c r="A256" s="24" t="s">
        <v>131</v>
      </c>
      <c r="B256" s="24" t="s">
        <v>113</v>
      </c>
      <c r="C256" s="24">
        <v>355</v>
      </c>
      <c r="D256" s="24">
        <v>15</v>
      </c>
      <c r="E256" s="24">
        <f t="shared" si="4"/>
        <v>5325</v>
      </c>
      <c r="H256"/>
    </row>
    <row r="257" spans="1:8" x14ac:dyDescent="0.25">
      <c r="A257" s="24" t="s">
        <v>127</v>
      </c>
      <c r="B257" s="24" t="s">
        <v>115</v>
      </c>
      <c r="C257" s="24">
        <v>446</v>
      </c>
      <c r="D257" s="24">
        <v>12.5</v>
      </c>
      <c r="E257" s="24">
        <f t="shared" si="4"/>
        <v>5575</v>
      </c>
      <c r="H257"/>
    </row>
    <row r="258" spans="1:8" x14ac:dyDescent="0.25">
      <c r="A258" s="24" t="s">
        <v>126</v>
      </c>
      <c r="B258" s="24" t="s">
        <v>115</v>
      </c>
      <c r="C258" s="24">
        <v>137</v>
      </c>
      <c r="D258" s="24">
        <v>12.5</v>
      </c>
      <c r="E258" s="24">
        <f t="shared" ref="E258:E321" si="5">C258*D258</f>
        <v>1712.5</v>
      </c>
      <c r="H258"/>
    </row>
    <row r="259" spans="1:8" x14ac:dyDescent="0.25">
      <c r="A259" s="24" t="s">
        <v>129</v>
      </c>
      <c r="B259" s="24" t="s">
        <v>116</v>
      </c>
      <c r="C259" s="24">
        <v>798</v>
      </c>
      <c r="D259" s="24">
        <v>18</v>
      </c>
      <c r="E259" s="24">
        <f t="shared" si="5"/>
        <v>14364</v>
      </c>
      <c r="H259"/>
    </row>
    <row r="260" spans="1:8" x14ac:dyDescent="0.25">
      <c r="A260" s="24" t="s">
        <v>128</v>
      </c>
      <c r="B260" s="24" t="s">
        <v>114</v>
      </c>
      <c r="C260" s="24">
        <v>54</v>
      </c>
      <c r="D260" s="24">
        <v>20</v>
      </c>
      <c r="E260" s="24">
        <f t="shared" si="5"/>
        <v>1080</v>
      </c>
      <c r="H260"/>
    </row>
    <row r="261" spans="1:8" x14ac:dyDescent="0.25">
      <c r="A261" s="24" t="s">
        <v>128</v>
      </c>
      <c r="B261" s="24" t="s">
        <v>114</v>
      </c>
      <c r="C261" s="24">
        <v>489</v>
      </c>
      <c r="D261" s="24">
        <v>20</v>
      </c>
      <c r="E261" s="24">
        <f t="shared" si="5"/>
        <v>9780</v>
      </c>
      <c r="H261"/>
    </row>
    <row r="262" spans="1:8" x14ac:dyDescent="0.25">
      <c r="A262" s="24" t="s">
        <v>126</v>
      </c>
      <c r="B262" s="24" t="s">
        <v>114</v>
      </c>
      <c r="C262" s="24">
        <v>584</v>
      </c>
      <c r="D262" s="24">
        <v>20</v>
      </c>
      <c r="E262" s="24">
        <f t="shared" si="5"/>
        <v>11680</v>
      </c>
      <c r="H262"/>
    </row>
    <row r="263" spans="1:8" x14ac:dyDescent="0.25">
      <c r="A263" s="24" t="s">
        <v>132</v>
      </c>
      <c r="B263" s="24" t="s">
        <v>114</v>
      </c>
      <c r="C263" s="24">
        <v>664</v>
      </c>
      <c r="D263" s="24">
        <v>20</v>
      </c>
      <c r="E263" s="24">
        <f t="shared" si="5"/>
        <v>13280</v>
      </c>
      <c r="H263"/>
    </row>
    <row r="264" spans="1:8" x14ac:dyDescent="0.25">
      <c r="A264" s="24" t="s">
        <v>127</v>
      </c>
      <c r="B264" s="24" t="s">
        <v>116</v>
      </c>
      <c r="C264" s="24">
        <v>311</v>
      </c>
      <c r="D264" s="24">
        <v>18</v>
      </c>
      <c r="E264" s="24">
        <f t="shared" si="5"/>
        <v>5598</v>
      </c>
      <c r="H264"/>
    </row>
    <row r="265" spans="1:8" x14ac:dyDescent="0.25">
      <c r="A265" s="24" t="s">
        <v>127</v>
      </c>
      <c r="B265" s="24" t="s">
        <v>114</v>
      </c>
      <c r="C265" s="24">
        <v>56</v>
      </c>
      <c r="D265" s="24">
        <v>20</v>
      </c>
      <c r="E265" s="24">
        <f t="shared" si="5"/>
        <v>1120</v>
      </c>
      <c r="H265"/>
    </row>
    <row r="266" spans="1:8" x14ac:dyDescent="0.25">
      <c r="A266" s="24" t="s">
        <v>127</v>
      </c>
      <c r="B266" s="24" t="s">
        <v>115</v>
      </c>
      <c r="C266" s="24">
        <v>816</v>
      </c>
      <c r="D266" s="24">
        <v>12.5</v>
      </c>
      <c r="E266" s="24">
        <f t="shared" si="5"/>
        <v>10200</v>
      </c>
      <c r="H266"/>
    </row>
    <row r="267" spans="1:8" x14ac:dyDescent="0.25">
      <c r="A267" s="24" t="s">
        <v>129</v>
      </c>
      <c r="B267" s="24" t="s">
        <v>114</v>
      </c>
      <c r="C267" s="24">
        <v>644</v>
      </c>
      <c r="D267" s="24">
        <v>20</v>
      </c>
      <c r="E267" s="24">
        <f t="shared" si="5"/>
        <v>12880</v>
      </c>
      <c r="H267"/>
    </row>
    <row r="268" spans="1:8" x14ac:dyDescent="0.25">
      <c r="A268" s="24" t="s">
        <v>131</v>
      </c>
      <c r="B268" s="24" t="s">
        <v>113</v>
      </c>
      <c r="C268" s="24">
        <v>687</v>
      </c>
      <c r="D268" s="24">
        <v>15</v>
      </c>
      <c r="E268" s="24">
        <f t="shared" si="5"/>
        <v>10305</v>
      </c>
      <c r="H268"/>
    </row>
    <row r="269" spans="1:8" x14ac:dyDescent="0.25">
      <c r="A269" s="24" t="s">
        <v>128</v>
      </c>
      <c r="B269" s="24" t="s">
        <v>114</v>
      </c>
      <c r="C269" s="24">
        <v>623</v>
      </c>
      <c r="D269" s="24">
        <v>20</v>
      </c>
      <c r="E269" s="24">
        <f t="shared" si="5"/>
        <v>12460</v>
      </c>
      <c r="H269"/>
    </row>
    <row r="270" spans="1:8" x14ac:dyDescent="0.25">
      <c r="A270" s="24" t="s">
        <v>128</v>
      </c>
      <c r="B270" s="24" t="s">
        <v>113</v>
      </c>
      <c r="C270" s="24">
        <v>49</v>
      </c>
      <c r="D270" s="24">
        <v>15</v>
      </c>
      <c r="E270" s="24">
        <f t="shared" si="5"/>
        <v>735</v>
      </c>
      <c r="H270"/>
    </row>
    <row r="271" spans="1:8" x14ac:dyDescent="0.25">
      <c r="A271" s="24" t="s">
        <v>131</v>
      </c>
      <c r="B271" s="24" t="s">
        <v>114</v>
      </c>
      <c r="C271" s="24">
        <v>556</v>
      </c>
      <c r="D271" s="24">
        <v>20</v>
      </c>
      <c r="E271" s="24">
        <f t="shared" si="5"/>
        <v>11120</v>
      </c>
      <c r="H271"/>
    </row>
    <row r="272" spans="1:8" x14ac:dyDescent="0.25">
      <c r="A272" s="24" t="s">
        <v>128</v>
      </c>
      <c r="B272" s="24" t="s">
        <v>113</v>
      </c>
      <c r="C272" s="24">
        <v>122</v>
      </c>
      <c r="D272" s="24">
        <v>15</v>
      </c>
      <c r="E272" s="24">
        <f t="shared" si="5"/>
        <v>1830</v>
      </c>
      <c r="H272"/>
    </row>
    <row r="273" spans="1:8" x14ac:dyDescent="0.25">
      <c r="A273" s="24" t="s">
        <v>130</v>
      </c>
      <c r="B273" s="24" t="s">
        <v>116</v>
      </c>
      <c r="C273" s="24">
        <v>30</v>
      </c>
      <c r="D273" s="24">
        <v>18</v>
      </c>
      <c r="E273" s="24">
        <f t="shared" si="5"/>
        <v>540</v>
      </c>
      <c r="H273"/>
    </row>
    <row r="274" spans="1:8" x14ac:dyDescent="0.25">
      <c r="A274" s="24" t="s">
        <v>126</v>
      </c>
      <c r="B274" s="24" t="s">
        <v>113</v>
      </c>
      <c r="C274" s="24">
        <v>80</v>
      </c>
      <c r="D274" s="24">
        <v>15</v>
      </c>
      <c r="E274" s="24">
        <f t="shared" si="5"/>
        <v>1200</v>
      </c>
      <c r="H274"/>
    </row>
    <row r="275" spans="1:8" x14ac:dyDescent="0.25">
      <c r="A275" s="24" t="s">
        <v>130</v>
      </c>
      <c r="B275" s="24" t="s">
        <v>113</v>
      </c>
      <c r="C275" s="24">
        <v>699</v>
      </c>
      <c r="D275" s="24">
        <v>15</v>
      </c>
      <c r="E275" s="24">
        <f t="shared" si="5"/>
        <v>10485</v>
      </c>
      <c r="H275"/>
    </row>
    <row r="276" spans="1:8" x14ac:dyDescent="0.25">
      <c r="A276" s="24" t="s">
        <v>127</v>
      </c>
      <c r="B276" s="24" t="s">
        <v>116</v>
      </c>
      <c r="C276" s="24">
        <v>534</v>
      </c>
      <c r="D276" s="24">
        <v>18</v>
      </c>
      <c r="E276" s="24">
        <f t="shared" si="5"/>
        <v>9612</v>
      </c>
      <c r="H276"/>
    </row>
    <row r="277" spans="1:8" x14ac:dyDescent="0.25">
      <c r="A277" s="24" t="s">
        <v>126</v>
      </c>
      <c r="B277" s="24" t="s">
        <v>116</v>
      </c>
      <c r="C277" s="24">
        <v>959</v>
      </c>
      <c r="D277" s="24">
        <v>18</v>
      </c>
      <c r="E277" s="24">
        <f t="shared" si="5"/>
        <v>17262</v>
      </c>
      <c r="H277"/>
    </row>
    <row r="278" spans="1:8" x14ac:dyDescent="0.25">
      <c r="A278" s="24" t="s">
        <v>126</v>
      </c>
      <c r="B278" s="24" t="s">
        <v>113</v>
      </c>
      <c r="C278" s="24">
        <v>676</v>
      </c>
      <c r="D278" s="24">
        <v>15</v>
      </c>
      <c r="E278" s="24">
        <f t="shared" si="5"/>
        <v>10140</v>
      </c>
      <c r="H278"/>
    </row>
    <row r="279" spans="1:8" x14ac:dyDescent="0.25">
      <c r="A279" s="24" t="s">
        <v>127</v>
      </c>
      <c r="B279" s="24" t="s">
        <v>116</v>
      </c>
      <c r="C279" s="24">
        <v>444</v>
      </c>
      <c r="D279" s="24">
        <v>18</v>
      </c>
      <c r="E279" s="24">
        <f t="shared" si="5"/>
        <v>7992</v>
      </c>
      <c r="H279"/>
    </row>
    <row r="280" spans="1:8" x14ac:dyDescent="0.25">
      <c r="A280" s="24" t="s">
        <v>131</v>
      </c>
      <c r="B280" s="24" t="s">
        <v>116</v>
      </c>
      <c r="C280" s="24">
        <v>252</v>
      </c>
      <c r="D280" s="24">
        <v>18</v>
      </c>
      <c r="E280" s="24">
        <f t="shared" si="5"/>
        <v>4536</v>
      </c>
      <c r="H280"/>
    </row>
    <row r="281" spans="1:8" x14ac:dyDescent="0.25">
      <c r="A281" s="24" t="s">
        <v>127</v>
      </c>
      <c r="B281" s="24" t="s">
        <v>115</v>
      </c>
      <c r="C281" s="24">
        <v>140</v>
      </c>
      <c r="D281" s="24">
        <v>12.5</v>
      </c>
      <c r="E281" s="24">
        <f t="shared" si="5"/>
        <v>1750</v>
      </c>
      <c r="H281"/>
    </row>
    <row r="282" spans="1:8" x14ac:dyDescent="0.25">
      <c r="A282" s="24" t="s">
        <v>126</v>
      </c>
      <c r="B282" s="24" t="s">
        <v>113</v>
      </c>
      <c r="C282" s="24">
        <v>644</v>
      </c>
      <c r="D282" s="24">
        <v>15</v>
      </c>
      <c r="E282" s="24">
        <f t="shared" si="5"/>
        <v>9660</v>
      </c>
      <c r="H282"/>
    </row>
    <row r="283" spans="1:8" x14ac:dyDescent="0.25">
      <c r="A283" s="24" t="s">
        <v>129</v>
      </c>
      <c r="B283" s="24" t="s">
        <v>113</v>
      </c>
      <c r="C283" s="24">
        <v>548</v>
      </c>
      <c r="D283" s="24">
        <v>15</v>
      </c>
      <c r="E283" s="24">
        <f t="shared" si="5"/>
        <v>8220</v>
      </c>
      <c r="H283"/>
    </row>
    <row r="284" spans="1:8" x14ac:dyDescent="0.25">
      <c r="A284" s="24" t="s">
        <v>130</v>
      </c>
      <c r="B284" s="24" t="s">
        <v>114</v>
      </c>
      <c r="C284" s="24">
        <v>697</v>
      </c>
      <c r="D284" s="24">
        <v>20</v>
      </c>
      <c r="E284" s="24">
        <f t="shared" si="5"/>
        <v>13940</v>
      </c>
      <c r="H284"/>
    </row>
    <row r="285" spans="1:8" x14ac:dyDescent="0.25">
      <c r="A285" s="24" t="s">
        <v>130</v>
      </c>
      <c r="B285" s="24" t="s">
        <v>114</v>
      </c>
      <c r="C285" s="24">
        <v>309</v>
      </c>
      <c r="D285" s="24">
        <v>20</v>
      </c>
      <c r="E285" s="24">
        <f t="shared" si="5"/>
        <v>6180</v>
      </c>
      <c r="H285"/>
    </row>
    <row r="286" spans="1:8" x14ac:dyDescent="0.25">
      <c r="A286" s="24" t="s">
        <v>131</v>
      </c>
      <c r="B286" s="24" t="s">
        <v>114</v>
      </c>
      <c r="C286" s="24">
        <v>197</v>
      </c>
      <c r="D286" s="24">
        <v>20</v>
      </c>
      <c r="E286" s="24">
        <f t="shared" si="5"/>
        <v>3940</v>
      </c>
      <c r="H286"/>
    </row>
    <row r="287" spans="1:8" x14ac:dyDescent="0.25">
      <c r="A287" s="24" t="s">
        <v>131</v>
      </c>
      <c r="B287" s="24" t="s">
        <v>116</v>
      </c>
      <c r="C287" s="24">
        <v>520</v>
      </c>
      <c r="D287" s="24">
        <v>18</v>
      </c>
      <c r="E287" s="24">
        <f t="shared" si="5"/>
        <v>9360</v>
      </c>
      <c r="H287"/>
    </row>
    <row r="288" spans="1:8" x14ac:dyDescent="0.25">
      <c r="A288" s="24" t="s">
        <v>126</v>
      </c>
      <c r="B288" s="24" t="s">
        <v>116</v>
      </c>
      <c r="C288" s="24">
        <v>104</v>
      </c>
      <c r="D288" s="24">
        <v>18</v>
      </c>
      <c r="E288" s="24">
        <f t="shared" si="5"/>
        <v>1872</v>
      </c>
      <c r="H288"/>
    </row>
    <row r="289" spans="1:8" x14ac:dyDescent="0.25">
      <c r="A289" s="24" t="s">
        <v>131</v>
      </c>
      <c r="B289" s="24" t="s">
        <v>113</v>
      </c>
      <c r="C289" s="24">
        <v>493</v>
      </c>
      <c r="D289" s="24">
        <v>15</v>
      </c>
      <c r="E289" s="24">
        <f t="shared" si="5"/>
        <v>7395</v>
      </c>
      <c r="H289"/>
    </row>
    <row r="290" spans="1:8" x14ac:dyDescent="0.25">
      <c r="A290" s="24" t="s">
        <v>132</v>
      </c>
      <c r="B290" s="24" t="s">
        <v>114</v>
      </c>
      <c r="C290" s="24">
        <v>766</v>
      </c>
      <c r="D290" s="24">
        <v>20</v>
      </c>
      <c r="E290" s="24">
        <f t="shared" si="5"/>
        <v>15320</v>
      </c>
      <c r="H290"/>
    </row>
    <row r="291" spans="1:8" x14ac:dyDescent="0.25">
      <c r="A291" s="24" t="s">
        <v>131</v>
      </c>
      <c r="B291" s="24" t="s">
        <v>114</v>
      </c>
      <c r="C291" s="24">
        <v>580</v>
      </c>
      <c r="D291" s="24">
        <v>20</v>
      </c>
      <c r="E291" s="24">
        <f t="shared" si="5"/>
        <v>11600</v>
      </c>
      <c r="H291"/>
    </row>
    <row r="292" spans="1:8" x14ac:dyDescent="0.25">
      <c r="A292" s="24" t="s">
        <v>132</v>
      </c>
      <c r="B292" s="24" t="s">
        <v>115</v>
      </c>
      <c r="C292" s="24">
        <v>990</v>
      </c>
      <c r="D292" s="24">
        <v>12.5</v>
      </c>
      <c r="E292" s="24">
        <f t="shared" si="5"/>
        <v>12375</v>
      </c>
      <c r="H292"/>
    </row>
    <row r="293" spans="1:8" x14ac:dyDescent="0.25">
      <c r="A293" s="24" t="s">
        <v>129</v>
      </c>
      <c r="B293" s="24" t="s">
        <v>113</v>
      </c>
      <c r="C293" s="24">
        <v>536</v>
      </c>
      <c r="D293" s="24">
        <v>15</v>
      </c>
      <c r="E293" s="24">
        <f t="shared" si="5"/>
        <v>8040</v>
      </c>
      <c r="H293"/>
    </row>
    <row r="294" spans="1:8" x14ac:dyDescent="0.25">
      <c r="A294" s="24" t="s">
        <v>130</v>
      </c>
      <c r="B294" s="24" t="s">
        <v>116</v>
      </c>
      <c r="C294" s="24">
        <v>690</v>
      </c>
      <c r="D294" s="24">
        <v>18</v>
      </c>
      <c r="E294" s="24">
        <f t="shared" si="5"/>
        <v>12420</v>
      </c>
      <c r="H294"/>
    </row>
    <row r="295" spans="1:8" x14ac:dyDescent="0.25">
      <c r="A295" s="24" t="s">
        <v>132</v>
      </c>
      <c r="B295" s="24" t="s">
        <v>113</v>
      </c>
      <c r="C295" s="24">
        <v>790</v>
      </c>
      <c r="D295" s="24">
        <v>15</v>
      </c>
      <c r="E295" s="24">
        <f t="shared" si="5"/>
        <v>11850</v>
      </c>
      <c r="H295"/>
    </row>
    <row r="296" spans="1:8" x14ac:dyDescent="0.25">
      <c r="A296" s="24" t="s">
        <v>132</v>
      </c>
      <c r="B296" s="24" t="s">
        <v>114</v>
      </c>
      <c r="C296" s="24">
        <v>804</v>
      </c>
      <c r="D296" s="24">
        <v>20</v>
      </c>
      <c r="E296" s="24">
        <f t="shared" si="5"/>
        <v>16080</v>
      </c>
      <c r="H296"/>
    </row>
    <row r="297" spans="1:8" x14ac:dyDescent="0.25">
      <c r="A297" s="24" t="s">
        <v>129</v>
      </c>
      <c r="B297" s="24" t="s">
        <v>115</v>
      </c>
      <c r="C297" s="24">
        <v>219</v>
      </c>
      <c r="D297" s="24">
        <v>12.5</v>
      </c>
      <c r="E297" s="24">
        <f t="shared" si="5"/>
        <v>2737.5</v>
      </c>
      <c r="H297"/>
    </row>
    <row r="298" spans="1:8" x14ac:dyDescent="0.25">
      <c r="A298" s="24" t="s">
        <v>131</v>
      </c>
      <c r="B298" s="24" t="s">
        <v>114</v>
      </c>
      <c r="C298" s="24">
        <v>449</v>
      </c>
      <c r="D298" s="24">
        <v>20</v>
      </c>
      <c r="E298" s="24">
        <f t="shared" si="5"/>
        <v>8980</v>
      </c>
      <c r="H298"/>
    </row>
    <row r="299" spans="1:8" x14ac:dyDescent="0.25">
      <c r="A299" s="24" t="s">
        <v>130</v>
      </c>
      <c r="B299" s="24" t="s">
        <v>116</v>
      </c>
      <c r="C299" s="24">
        <v>865</v>
      </c>
      <c r="D299" s="24">
        <v>18</v>
      </c>
      <c r="E299" s="24">
        <f t="shared" si="5"/>
        <v>15570</v>
      </c>
      <c r="H299"/>
    </row>
    <row r="300" spans="1:8" x14ac:dyDescent="0.25">
      <c r="A300" s="24" t="s">
        <v>128</v>
      </c>
      <c r="B300" s="24" t="s">
        <v>113</v>
      </c>
      <c r="C300" s="24">
        <v>961</v>
      </c>
      <c r="D300" s="24">
        <v>15</v>
      </c>
      <c r="E300" s="24">
        <f t="shared" si="5"/>
        <v>14415</v>
      </c>
      <c r="H300"/>
    </row>
    <row r="301" spans="1:8" x14ac:dyDescent="0.25">
      <c r="A301" s="24" t="s">
        <v>130</v>
      </c>
      <c r="B301" s="24" t="s">
        <v>116</v>
      </c>
      <c r="C301" s="24">
        <v>821</v>
      </c>
      <c r="D301" s="24">
        <v>18</v>
      </c>
      <c r="E301" s="24">
        <f t="shared" si="5"/>
        <v>14778</v>
      </c>
      <c r="H301"/>
    </row>
    <row r="302" spans="1:8" x14ac:dyDescent="0.25">
      <c r="A302" s="24" t="s">
        <v>126</v>
      </c>
      <c r="B302" s="24" t="s">
        <v>113</v>
      </c>
      <c r="C302" s="24">
        <v>847</v>
      </c>
      <c r="D302" s="24">
        <v>15</v>
      </c>
      <c r="E302" s="24">
        <f t="shared" si="5"/>
        <v>12705</v>
      </c>
      <c r="H302"/>
    </row>
    <row r="303" spans="1:8" x14ac:dyDescent="0.25">
      <c r="A303" s="24" t="s">
        <v>131</v>
      </c>
      <c r="B303" s="24" t="s">
        <v>114</v>
      </c>
      <c r="C303" s="24">
        <v>78</v>
      </c>
      <c r="D303" s="24">
        <v>20</v>
      </c>
      <c r="E303" s="24">
        <f t="shared" si="5"/>
        <v>1560</v>
      </c>
      <c r="H303"/>
    </row>
    <row r="304" spans="1:8" x14ac:dyDescent="0.25">
      <c r="A304" s="24" t="s">
        <v>131</v>
      </c>
      <c r="B304" s="24" t="s">
        <v>114</v>
      </c>
      <c r="C304" s="24">
        <v>845</v>
      </c>
      <c r="D304" s="24">
        <v>20</v>
      </c>
      <c r="E304" s="24">
        <f t="shared" si="5"/>
        <v>16900</v>
      </c>
      <c r="H304"/>
    </row>
    <row r="305" spans="1:8" x14ac:dyDescent="0.25">
      <c r="A305" s="24" t="s">
        <v>126</v>
      </c>
      <c r="B305" s="24" t="s">
        <v>114</v>
      </c>
      <c r="C305" s="24">
        <v>898</v>
      </c>
      <c r="D305" s="24">
        <v>20</v>
      </c>
      <c r="E305" s="24">
        <f t="shared" si="5"/>
        <v>17960</v>
      </c>
      <c r="H305"/>
    </row>
    <row r="306" spans="1:8" x14ac:dyDescent="0.25">
      <c r="A306" s="24" t="s">
        <v>132</v>
      </c>
      <c r="B306" s="24" t="s">
        <v>115</v>
      </c>
      <c r="C306" s="24">
        <v>277</v>
      </c>
      <c r="D306" s="24">
        <v>12.5</v>
      </c>
      <c r="E306" s="24">
        <f t="shared" si="5"/>
        <v>3462.5</v>
      </c>
      <c r="H306"/>
    </row>
    <row r="307" spans="1:8" x14ac:dyDescent="0.25">
      <c r="A307" s="24" t="s">
        <v>132</v>
      </c>
      <c r="B307" s="24" t="s">
        <v>114</v>
      </c>
      <c r="C307" s="24">
        <v>326</v>
      </c>
      <c r="D307" s="24">
        <v>20</v>
      </c>
      <c r="E307" s="24">
        <f t="shared" si="5"/>
        <v>6520</v>
      </c>
      <c r="H307"/>
    </row>
    <row r="308" spans="1:8" x14ac:dyDescent="0.25">
      <c r="A308" s="24" t="s">
        <v>128</v>
      </c>
      <c r="B308" s="24" t="s">
        <v>115</v>
      </c>
      <c r="C308" s="24">
        <v>866</v>
      </c>
      <c r="D308" s="24">
        <v>12.5</v>
      </c>
      <c r="E308" s="24">
        <f t="shared" si="5"/>
        <v>10825</v>
      </c>
      <c r="H308"/>
    </row>
    <row r="309" spans="1:8" x14ac:dyDescent="0.25">
      <c r="A309" s="24" t="s">
        <v>131</v>
      </c>
      <c r="B309" s="24" t="s">
        <v>115</v>
      </c>
      <c r="C309" s="24">
        <v>60</v>
      </c>
      <c r="D309" s="24">
        <v>12.5</v>
      </c>
      <c r="E309" s="24">
        <f t="shared" si="5"/>
        <v>750</v>
      </c>
      <c r="H309"/>
    </row>
    <row r="310" spans="1:8" x14ac:dyDescent="0.25">
      <c r="A310" s="24" t="s">
        <v>132</v>
      </c>
      <c r="B310" s="24" t="s">
        <v>114</v>
      </c>
      <c r="C310" s="24">
        <v>467</v>
      </c>
      <c r="D310" s="24">
        <v>20</v>
      </c>
      <c r="E310" s="24">
        <f t="shared" si="5"/>
        <v>9340</v>
      </c>
      <c r="H310"/>
    </row>
    <row r="311" spans="1:8" x14ac:dyDescent="0.25">
      <c r="A311" s="24" t="s">
        <v>130</v>
      </c>
      <c r="B311" s="24" t="s">
        <v>114</v>
      </c>
      <c r="C311" s="24">
        <v>864</v>
      </c>
      <c r="D311" s="24">
        <v>20</v>
      </c>
      <c r="E311" s="24">
        <f t="shared" si="5"/>
        <v>17280</v>
      </c>
      <c r="H311"/>
    </row>
    <row r="312" spans="1:8" x14ac:dyDescent="0.25">
      <c r="A312" s="24" t="s">
        <v>131</v>
      </c>
      <c r="B312" s="24" t="s">
        <v>116</v>
      </c>
      <c r="C312" s="24">
        <v>771</v>
      </c>
      <c r="D312" s="24">
        <v>18</v>
      </c>
      <c r="E312" s="24">
        <f t="shared" si="5"/>
        <v>13878</v>
      </c>
      <c r="H312"/>
    </row>
    <row r="313" spans="1:8" x14ac:dyDescent="0.25">
      <c r="A313" s="24" t="s">
        <v>132</v>
      </c>
      <c r="B313" s="24" t="s">
        <v>115</v>
      </c>
      <c r="C313" s="24">
        <v>602</v>
      </c>
      <c r="D313" s="24">
        <v>12.5</v>
      </c>
      <c r="E313" s="24">
        <f t="shared" si="5"/>
        <v>7525</v>
      </c>
      <c r="H313"/>
    </row>
    <row r="314" spans="1:8" x14ac:dyDescent="0.25">
      <c r="A314" s="24" t="s">
        <v>132</v>
      </c>
      <c r="B314" s="24" t="s">
        <v>115</v>
      </c>
      <c r="C314" s="24">
        <v>295</v>
      </c>
      <c r="D314" s="24">
        <v>12.5</v>
      </c>
      <c r="E314" s="24">
        <f t="shared" si="5"/>
        <v>3687.5</v>
      </c>
      <c r="H314"/>
    </row>
    <row r="315" spans="1:8" x14ac:dyDescent="0.25">
      <c r="A315" s="24" t="s">
        <v>129</v>
      </c>
      <c r="B315" s="24" t="s">
        <v>114</v>
      </c>
      <c r="C315" s="24">
        <v>76</v>
      </c>
      <c r="D315" s="24">
        <v>20</v>
      </c>
      <c r="E315" s="24">
        <f t="shared" si="5"/>
        <v>1520</v>
      </c>
      <c r="H315"/>
    </row>
    <row r="316" spans="1:8" x14ac:dyDescent="0.25">
      <c r="A316" s="24" t="s">
        <v>127</v>
      </c>
      <c r="B316" s="24" t="s">
        <v>116</v>
      </c>
      <c r="C316" s="24">
        <v>229</v>
      </c>
      <c r="D316" s="24">
        <v>18</v>
      </c>
      <c r="E316" s="24">
        <f t="shared" si="5"/>
        <v>4122</v>
      </c>
      <c r="H316"/>
    </row>
    <row r="317" spans="1:8" x14ac:dyDescent="0.25">
      <c r="A317" s="24" t="s">
        <v>126</v>
      </c>
      <c r="B317" s="24" t="s">
        <v>115</v>
      </c>
      <c r="C317" s="24">
        <v>141</v>
      </c>
      <c r="D317" s="24">
        <v>12.5</v>
      </c>
      <c r="E317" s="24">
        <f t="shared" si="5"/>
        <v>1762.5</v>
      </c>
      <c r="H317"/>
    </row>
    <row r="318" spans="1:8" x14ac:dyDescent="0.25">
      <c r="A318" s="24" t="s">
        <v>132</v>
      </c>
      <c r="B318" s="24" t="s">
        <v>113</v>
      </c>
      <c r="C318" s="24">
        <v>693</v>
      </c>
      <c r="D318" s="24">
        <v>15</v>
      </c>
      <c r="E318" s="24">
        <f t="shared" si="5"/>
        <v>10395</v>
      </c>
      <c r="H318"/>
    </row>
    <row r="319" spans="1:8" x14ac:dyDescent="0.25">
      <c r="A319" s="24" t="s">
        <v>130</v>
      </c>
      <c r="B319" s="24" t="s">
        <v>114</v>
      </c>
      <c r="C319" s="24">
        <v>338</v>
      </c>
      <c r="D319" s="24">
        <v>20</v>
      </c>
      <c r="E319" s="24">
        <f t="shared" si="5"/>
        <v>6760</v>
      </c>
      <c r="H319"/>
    </row>
    <row r="320" spans="1:8" x14ac:dyDescent="0.25">
      <c r="A320" s="24" t="s">
        <v>132</v>
      </c>
      <c r="B320" s="24" t="s">
        <v>116</v>
      </c>
      <c r="C320" s="24">
        <v>636</v>
      </c>
      <c r="D320" s="24">
        <v>18</v>
      </c>
      <c r="E320" s="24">
        <f t="shared" si="5"/>
        <v>11448</v>
      </c>
      <c r="H320"/>
    </row>
    <row r="321" spans="1:8" x14ac:dyDescent="0.25">
      <c r="A321" s="24" t="s">
        <v>132</v>
      </c>
      <c r="B321" s="24" t="s">
        <v>115</v>
      </c>
      <c r="C321" s="24">
        <v>358</v>
      </c>
      <c r="D321" s="24">
        <v>12.5</v>
      </c>
      <c r="E321" s="24">
        <f t="shared" si="5"/>
        <v>4475</v>
      </c>
      <c r="H321"/>
    </row>
    <row r="322" spans="1:8" x14ac:dyDescent="0.25">
      <c r="A322" s="24" t="s">
        <v>129</v>
      </c>
      <c r="B322" s="24" t="s">
        <v>114</v>
      </c>
      <c r="C322" s="24">
        <v>144</v>
      </c>
      <c r="D322" s="24">
        <v>20</v>
      </c>
      <c r="E322" s="24">
        <f t="shared" ref="E322:E385" si="6">C322*D322</f>
        <v>2880</v>
      </c>
      <c r="H322"/>
    </row>
    <row r="323" spans="1:8" x14ac:dyDescent="0.25">
      <c r="A323" s="24" t="s">
        <v>127</v>
      </c>
      <c r="B323" s="24" t="s">
        <v>116</v>
      </c>
      <c r="C323" s="24">
        <v>331</v>
      </c>
      <c r="D323" s="24">
        <v>18</v>
      </c>
      <c r="E323" s="24">
        <f t="shared" si="6"/>
        <v>5958</v>
      </c>
      <c r="H323"/>
    </row>
    <row r="324" spans="1:8" x14ac:dyDescent="0.25">
      <c r="A324" s="24" t="s">
        <v>126</v>
      </c>
      <c r="B324" s="24" t="s">
        <v>114</v>
      </c>
      <c r="C324" s="24">
        <v>789</v>
      </c>
      <c r="D324" s="24">
        <v>20</v>
      </c>
      <c r="E324" s="24">
        <f t="shared" si="6"/>
        <v>15780</v>
      </c>
      <c r="H324"/>
    </row>
    <row r="325" spans="1:8" x14ac:dyDescent="0.25">
      <c r="A325" s="24" t="s">
        <v>129</v>
      </c>
      <c r="B325" s="24" t="s">
        <v>116</v>
      </c>
      <c r="C325" s="24">
        <v>645</v>
      </c>
      <c r="D325" s="24">
        <v>18</v>
      </c>
      <c r="E325" s="24">
        <f t="shared" si="6"/>
        <v>11610</v>
      </c>
      <c r="H325"/>
    </row>
    <row r="326" spans="1:8" x14ac:dyDescent="0.25">
      <c r="A326" s="24" t="s">
        <v>129</v>
      </c>
      <c r="B326" s="24" t="s">
        <v>116</v>
      </c>
      <c r="C326" s="24">
        <v>648</v>
      </c>
      <c r="D326" s="24">
        <v>18</v>
      </c>
      <c r="E326" s="24">
        <f t="shared" si="6"/>
        <v>11664</v>
      </c>
      <c r="H326"/>
    </row>
    <row r="327" spans="1:8" x14ac:dyDescent="0.25">
      <c r="A327" s="24" t="s">
        <v>131</v>
      </c>
      <c r="B327" s="24" t="s">
        <v>114</v>
      </c>
      <c r="C327" s="24">
        <v>471</v>
      </c>
      <c r="D327" s="24">
        <v>20</v>
      </c>
      <c r="E327" s="24">
        <f t="shared" si="6"/>
        <v>9420</v>
      </c>
      <c r="H327"/>
    </row>
    <row r="328" spans="1:8" x14ac:dyDescent="0.25">
      <c r="A328" s="24" t="s">
        <v>130</v>
      </c>
      <c r="B328" s="24" t="s">
        <v>114</v>
      </c>
      <c r="C328" s="24">
        <v>297</v>
      </c>
      <c r="D328" s="24">
        <v>20</v>
      </c>
      <c r="E328" s="24">
        <f t="shared" si="6"/>
        <v>5940</v>
      </c>
      <c r="H328"/>
    </row>
    <row r="329" spans="1:8" x14ac:dyDescent="0.25">
      <c r="A329" s="24" t="s">
        <v>132</v>
      </c>
      <c r="B329" s="24" t="s">
        <v>114</v>
      </c>
      <c r="C329" s="24">
        <v>901</v>
      </c>
      <c r="D329" s="24">
        <v>20</v>
      </c>
      <c r="E329" s="24">
        <f t="shared" si="6"/>
        <v>18020</v>
      </c>
      <c r="H329"/>
    </row>
    <row r="330" spans="1:8" x14ac:dyDescent="0.25">
      <c r="A330" s="24" t="s">
        <v>132</v>
      </c>
      <c r="B330" s="24" t="s">
        <v>113</v>
      </c>
      <c r="C330" s="24">
        <v>229</v>
      </c>
      <c r="D330" s="24">
        <v>15</v>
      </c>
      <c r="E330" s="24">
        <f t="shared" si="6"/>
        <v>3435</v>
      </c>
      <c r="H330"/>
    </row>
    <row r="331" spans="1:8" x14ac:dyDescent="0.25">
      <c r="A331" s="24" t="s">
        <v>129</v>
      </c>
      <c r="B331" s="24" t="s">
        <v>115</v>
      </c>
      <c r="C331" s="24">
        <v>293</v>
      </c>
      <c r="D331" s="24">
        <v>12.5</v>
      </c>
      <c r="E331" s="24">
        <f t="shared" si="6"/>
        <v>3662.5</v>
      </c>
      <c r="H331"/>
    </row>
    <row r="332" spans="1:8" x14ac:dyDescent="0.25">
      <c r="A332" s="24" t="s">
        <v>128</v>
      </c>
      <c r="B332" s="24" t="s">
        <v>113</v>
      </c>
      <c r="C332" s="24">
        <v>594</v>
      </c>
      <c r="D332" s="24">
        <v>15</v>
      </c>
      <c r="E332" s="24">
        <f t="shared" si="6"/>
        <v>8910</v>
      </c>
      <c r="H332"/>
    </row>
    <row r="333" spans="1:8" x14ac:dyDescent="0.25">
      <c r="A333" s="24" t="s">
        <v>129</v>
      </c>
      <c r="B333" s="24" t="s">
        <v>115</v>
      </c>
      <c r="C333" s="24">
        <v>217</v>
      </c>
      <c r="D333" s="24">
        <v>12.5</v>
      </c>
      <c r="E333" s="24">
        <f t="shared" si="6"/>
        <v>2712.5</v>
      </c>
      <c r="H333"/>
    </row>
    <row r="334" spans="1:8" x14ac:dyDescent="0.25">
      <c r="A334" s="24" t="s">
        <v>126</v>
      </c>
      <c r="B334" s="24" t="s">
        <v>114</v>
      </c>
      <c r="C334" s="24">
        <v>73</v>
      </c>
      <c r="D334" s="24">
        <v>20</v>
      </c>
      <c r="E334" s="24">
        <f t="shared" si="6"/>
        <v>1460</v>
      </c>
      <c r="H334"/>
    </row>
    <row r="335" spans="1:8" x14ac:dyDescent="0.25">
      <c r="A335" s="24" t="s">
        <v>131</v>
      </c>
      <c r="B335" s="24" t="s">
        <v>115</v>
      </c>
      <c r="C335" s="24">
        <v>697</v>
      </c>
      <c r="D335" s="24">
        <v>12.5</v>
      </c>
      <c r="E335" s="24">
        <f t="shared" si="6"/>
        <v>8712.5</v>
      </c>
      <c r="H335"/>
    </row>
    <row r="336" spans="1:8" x14ac:dyDescent="0.25">
      <c r="A336" s="24" t="s">
        <v>129</v>
      </c>
      <c r="B336" s="24" t="s">
        <v>115</v>
      </c>
      <c r="C336" s="24">
        <v>969</v>
      </c>
      <c r="D336" s="24">
        <v>12.5</v>
      </c>
      <c r="E336" s="24">
        <f t="shared" si="6"/>
        <v>12112.5</v>
      </c>
      <c r="H336"/>
    </row>
    <row r="337" spans="1:8" x14ac:dyDescent="0.25">
      <c r="A337" s="24" t="s">
        <v>128</v>
      </c>
      <c r="B337" s="24" t="s">
        <v>115</v>
      </c>
      <c r="C337" s="24">
        <v>443</v>
      </c>
      <c r="D337" s="24">
        <v>12.5</v>
      </c>
      <c r="E337" s="24">
        <f t="shared" si="6"/>
        <v>5537.5</v>
      </c>
      <c r="H337"/>
    </row>
    <row r="338" spans="1:8" x14ac:dyDescent="0.25">
      <c r="A338" s="24" t="s">
        <v>129</v>
      </c>
      <c r="B338" s="24" t="s">
        <v>115</v>
      </c>
      <c r="C338" s="24">
        <v>892</v>
      </c>
      <c r="D338" s="24">
        <v>12.5</v>
      </c>
      <c r="E338" s="24">
        <f t="shared" si="6"/>
        <v>11150</v>
      </c>
      <c r="H338"/>
    </row>
    <row r="339" spans="1:8" x14ac:dyDescent="0.25">
      <c r="A339" s="24" t="s">
        <v>130</v>
      </c>
      <c r="B339" s="24" t="s">
        <v>114</v>
      </c>
      <c r="C339" s="24">
        <v>625</v>
      </c>
      <c r="D339" s="24">
        <v>20</v>
      </c>
      <c r="E339" s="24">
        <f t="shared" si="6"/>
        <v>12500</v>
      </c>
      <c r="H339"/>
    </row>
    <row r="340" spans="1:8" x14ac:dyDescent="0.25">
      <c r="A340" s="24" t="s">
        <v>130</v>
      </c>
      <c r="B340" s="24" t="s">
        <v>115</v>
      </c>
      <c r="C340" s="24">
        <v>200</v>
      </c>
      <c r="D340" s="24">
        <v>12.5</v>
      </c>
      <c r="E340" s="24">
        <f t="shared" si="6"/>
        <v>2500</v>
      </c>
      <c r="H340"/>
    </row>
    <row r="341" spans="1:8" x14ac:dyDescent="0.25">
      <c r="A341" s="24" t="s">
        <v>128</v>
      </c>
      <c r="B341" s="24" t="s">
        <v>114</v>
      </c>
      <c r="C341" s="24">
        <v>725</v>
      </c>
      <c r="D341" s="24">
        <v>20</v>
      </c>
      <c r="E341" s="24">
        <f t="shared" si="6"/>
        <v>14500</v>
      </c>
      <c r="H341"/>
    </row>
    <row r="342" spans="1:8" x14ac:dyDescent="0.25">
      <c r="A342" s="24" t="s">
        <v>130</v>
      </c>
      <c r="B342" s="24" t="s">
        <v>114</v>
      </c>
      <c r="C342" s="24">
        <v>875</v>
      </c>
      <c r="D342" s="24">
        <v>20</v>
      </c>
      <c r="E342" s="24">
        <f t="shared" si="6"/>
        <v>17500</v>
      </c>
      <c r="H342"/>
    </row>
    <row r="343" spans="1:8" x14ac:dyDescent="0.25">
      <c r="A343" s="24" t="s">
        <v>131</v>
      </c>
      <c r="B343" s="24" t="s">
        <v>115</v>
      </c>
      <c r="C343" s="24">
        <v>896</v>
      </c>
      <c r="D343" s="24">
        <v>12.5</v>
      </c>
      <c r="E343" s="24">
        <f t="shared" si="6"/>
        <v>11200</v>
      </c>
      <c r="H343"/>
    </row>
    <row r="344" spans="1:8" x14ac:dyDescent="0.25">
      <c r="A344" s="24" t="s">
        <v>132</v>
      </c>
      <c r="B344" s="24" t="s">
        <v>113</v>
      </c>
      <c r="C344" s="24">
        <v>95</v>
      </c>
      <c r="D344" s="24">
        <v>15</v>
      </c>
      <c r="E344" s="24">
        <f t="shared" si="6"/>
        <v>1425</v>
      </c>
      <c r="H344"/>
    </row>
    <row r="345" spans="1:8" x14ac:dyDescent="0.25">
      <c r="A345" s="24" t="s">
        <v>127</v>
      </c>
      <c r="B345" s="24" t="s">
        <v>116</v>
      </c>
      <c r="C345" s="24">
        <v>885</v>
      </c>
      <c r="D345" s="24">
        <v>18</v>
      </c>
      <c r="E345" s="24">
        <f t="shared" si="6"/>
        <v>15930</v>
      </c>
      <c r="H345"/>
    </row>
    <row r="346" spans="1:8" x14ac:dyDescent="0.25">
      <c r="A346" s="24" t="s">
        <v>129</v>
      </c>
      <c r="B346" s="24" t="s">
        <v>115</v>
      </c>
      <c r="C346" s="24">
        <v>498</v>
      </c>
      <c r="D346" s="24">
        <v>12.5</v>
      </c>
      <c r="E346" s="24">
        <f t="shared" si="6"/>
        <v>6225</v>
      </c>
      <c r="H346"/>
    </row>
    <row r="347" spans="1:8" x14ac:dyDescent="0.25">
      <c r="A347" s="24" t="s">
        <v>128</v>
      </c>
      <c r="B347" s="24" t="s">
        <v>116</v>
      </c>
      <c r="C347" s="24">
        <v>444</v>
      </c>
      <c r="D347" s="24">
        <v>18</v>
      </c>
      <c r="E347" s="24">
        <f t="shared" si="6"/>
        <v>7992</v>
      </c>
      <c r="H347"/>
    </row>
    <row r="348" spans="1:8" x14ac:dyDescent="0.25">
      <c r="A348" s="24" t="s">
        <v>131</v>
      </c>
      <c r="B348" s="24" t="s">
        <v>114</v>
      </c>
      <c r="C348" s="24">
        <v>107</v>
      </c>
      <c r="D348" s="24">
        <v>20</v>
      </c>
      <c r="E348" s="24">
        <f t="shared" si="6"/>
        <v>2140</v>
      </c>
      <c r="H348"/>
    </row>
    <row r="349" spans="1:8" x14ac:dyDescent="0.25">
      <c r="A349" s="24" t="s">
        <v>128</v>
      </c>
      <c r="B349" s="24" t="s">
        <v>113</v>
      </c>
      <c r="C349" s="24">
        <v>674</v>
      </c>
      <c r="D349" s="24">
        <v>15</v>
      </c>
      <c r="E349" s="24">
        <f t="shared" si="6"/>
        <v>10110</v>
      </c>
      <c r="H349"/>
    </row>
    <row r="350" spans="1:8" x14ac:dyDescent="0.25">
      <c r="A350" s="24" t="s">
        <v>129</v>
      </c>
      <c r="B350" s="24" t="s">
        <v>114</v>
      </c>
      <c r="C350" s="24">
        <v>106</v>
      </c>
      <c r="D350" s="24">
        <v>20</v>
      </c>
      <c r="E350" s="24">
        <f t="shared" si="6"/>
        <v>2120</v>
      </c>
      <c r="H350"/>
    </row>
    <row r="351" spans="1:8" x14ac:dyDescent="0.25">
      <c r="A351" s="24" t="s">
        <v>130</v>
      </c>
      <c r="B351" s="24" t="s">
        <v>115</v>
      </c>
      <c r="C351" s="24">
        <v>481</v>
      </c>
      <c r="D351" s="24">
        <v>12.5</v>
      </c>
      <c r="E351" s="24">
        <f t="shared" si="6"/>
        <v>6012.5</v>
      </c>
      <c r="H351"/>
    </row>
    <row r="352" spans="1:8" x14ac:dyDescent="0.25">
      <c r="A352" s="24" t="s">
        <v>131</v>
      </c>
      <c r="B352" s="24" t="s">
        <v>116</v>
      </c>
      <c r="C352" s="24">
        <v>755</v>
      </c>
      <c r="D352" s="24">
        <v>18</v>
      </c>
      <c r="E352" s="24">
        <f t="shared" si="6"/>
        <v>13590</v>
      </c>
      <c r="H352"/>
    </row>
    <row r="353" spans="1:8" x14ac:dyDescent="0.25">
      <c r="A353" s="24" t="s">
        <v>126</v>
      </c>
      <c r="B353" s="24" t="s">
        <v>114</v>
      </c>
      <c r="C353" s="24">
        <v>744</v>
      </c>
      <c r="D353" s="24">
        <v>20</v>
      </c>
      <c r="E353" s="24">
        <f t="shared" si="6"/>
        <v>14880</v>
      </c>
      <c r="H353"/>
    </row>
    <row r="354" spans="1:8" x14ac:dyDescent="0.25">
      <c r="A354" s="24" t="s">
        <v>131</v>
      </c>
      <c r="B354" s="24" t="s">
        <v>114</v>
      </c>
      <c r="C354" s="24">
        <v>694</v>
      </c>
      <c r="D354" s="24">
        <v>20</v>
      </c>
      <c r="E354" s="24">
        <f t="shared" si="6"/>
        <v>13880</v>
      </c>
      <c r="H354"/>
    </row>
    <row r="355" spans="1:8" x14ac:dyDescent="0.25">
      <c r="A355" s="24" t="s">
        <v>126</v>
      </c>
      <c r="B355" s="24" t="s">
        <v>114</v>
      </c>
      <c r="C355" s="24">
        <v>7</v>
      </c>
      <c r="D355" s="24">
        <v>20</v>
      </c>
      <c r="E355" s="24">
        <f t="shared" si="6"/>
        <v>140</v>
      </c>
      <c r="H355"/>
    </row>
    <row r="356" spans="1:8" x14ac:dyDescent="0.25">
      <c r="A356" s="24" t="s">
        <v>132</v>
      </c>
      <c r="B356" s="24" t="s">
        <v>113</v>
      </c>
      <c r="C356" s="24">
        <v>12</v>
      </c>
      <c r="D356" s="24">
        <v>15</v>
      </c>
      <c r="E356" s="24">
        <f t="shared" si="6"/>
        <v>180</v>
      </c>
      <c r="H356"/>
    </row>
    <row r="357" spans="1:8" x14ac:dyDescent="0.25">
      <c r="A357" s="24" t="s">
        <v>128</v>
      </c>
      <c r="B357" s="24" t="s">
        <v>113</v>
      </c>
      <c r="C357" s="24">
        <v>577</v>
      </c>
      <c r="D357" s="24">
        <v>15</v>
      </c>
      <c r="E357" s="24">
        <f t="shared" si="6"/>
        <v>8655</v>
      </c>
      <c r="H357"/>
    </row>
    <row r="358" spans="1:8" x14ac:dyDescent="0.25">
      <c r="A358" s="24" t="s">
        <v>127</v>
      </c>
      <c r="B358" s="24" t="s">
        <v>115</v>
      </c>
      <c r="C358" s="24">
        <v>847</v>
      </c>
      <c r="D358" s="24">
        <v>12.5</v>
      </c>
      <c r="E358" s="24">
        <f t="shared" si="6"/>
        <v>10587.5</v>
      </c>
      <c r="H358"/>
    </row>
    <row r="359" spans="1:8" x14ac:dyDescent="0.25">
      <c r="A359" s="24" t="s">
        <v>132</v>
      </c>
      <c r="B359" s="24" t="s">
        <v>114</v>
      </c>
      <c r="C359" s="24">
        <v>264</v>
      </c>
      <c r="D359" s="24">
        <v>20</v>
      </c>
      <c r="E359" s="24">
        <f t="shared" si="6"/>
        <v>5280</v>
      </c>
      <c r="H359"/>
    </row>
    <row r="360" spans="1:8" x14ac:dyDescent="0.25">
      <c r="A360" s="24" t="s">
        <v>132</v>
      </c>
      <c r="B360" s="24" t="s">
        <v>113</v>
      </c>
      <c r="C360" s="24">
        <v>590</v>
      </c>
      <c r="D360" s="24">
        <v>15</v>
      </c>
      <c r="E360" s="24">
        <f t="shared" si="6"/>
        <v>8850</v>
      </c>
      <c r="H360"/>
    </row>
    <row r="361" spans="1:8" x14ac:dyDescent="0.25">
      <c r="A361" s="24" t="s">
        <v>129</v>
      </c>
      <c r="B361" s="24" t="s">
        <v>114</v>
      </c>
      <c r="C361" s="24">
        <v>41</v>
      </c>
      <c r="D361" s="24">
        <v>20</v>
      </c>
      <c r="E361" s="24">
        <f t="shared" si="6"/>
        <v>820</v>
      </c>
      <c r="H361"/>
    </row>
    <row r="362" spans="1:8" x14ac:dyDescent="0.25">
      <c r="A362" s="24" t="s">
        <v>126</v>
      </c>
      <c r="B362" s="24" t="s">
        <v>115</v>
      </c>
      <c r="C362" s="24">
        <v>76</v>
      </c>
      <c r="D362" s="24">
        <v>12.5</v>
      </c>
      <c r="E362" s="24">
        <f t="shared" si="6"/>
        <v>950</v>
      </c>
      <c r="H362"/>
    </row>
    <row r="363" spans="1:8" x14ac:dyDescent="0.25">
      <c r="A363" s="24" t="s">
        <v>129</v>
      </c>
      <c r="B363" s="24" t="s">
        <v>114</v>
      </c>
      <c r="C363" s="24">
        <v>825</v>
      </c>
      <c r="D363" s="24">
        <v>20</v>
      </c>
      <c r="E363" s="24">
        <f t="shared" si="6"/>
        <v>16500</v>
      </c>
      <c r="H363"/>
    </row>
    <row r="364" spans="1:8" x14ac:dyDescent="0.25">
      <c r="A364" s="24" t="s">
        <v>126</v>
      </c>
      <c r="B364" s="24" t="s">
        <v>115</v>
      </c>
      <c r="C364" s="24">
        <v>43</v>
      </c>
      <c r="D364" s="24">
        <v>12.5</v>
      </c>
      <c r="E364" s="24">
        <f t="shared" si="6"/>
        <v>537.5</v>
      </c>
      <c r="H364"/>
    </row>
    <row r="365" spans="1:8" x14ac:dyDescent="0.25">
      <c r="A365" s="24" t="s">
        <v>131</v>
      </c>
      <c r="B365" s="24" t="s">
        <v>116</v>
      </c>
      <c r="C365" s="24">
        <v>506</v>
      </c>
      <c r="D365" s="24">
        <v>18</v>
      </c>
      <c r="E365" s="24">
        <f t="shared" si="6"/>
        <v>9108</v>
      </c>
      <c r="H365"/>
    </row>
    <row r="366" spans="1:8" x14ac:dyDescent="0.25">
      <c r="A366" s="24" t="s">
        <v>129</v>
      </c>
      <c r="B366" s="24" t="s">
        <v>114</v>
      </c>
      <c r="C366" s="24">
        <v>310</v>
      </c>
      <c r="D366" s="24">
        <v>20</v>
      </c>
      <c r="E366" s="24">
        <f t="shared" si="6"/>
        <v>6200</v>
      </c>
      <c r="H366"/>
    </row>
    <row r="367" spans="1:8" x14ac:dyDescent="0.25">
      <c r="A367" s="24" t="s">
        <v>127</v>
      </c>
      <c r="B367" s="24" t="s">
        <v>113</v>
      </c>
      <c r="C367" s="24">
        <v>404</v>
      </c>
      <c r="D367" s="24">
        <v>15</v>
      </c>
      <c r="E367" s="24">
        <f t="shared" si="6"/>
        <v>6060</v>
      </c>
      <c r="H367"/>
    </row>
    <row r="368" spans="1:8" x14ac:dyDescent="0.25">
      <c r="A368" s="24" t="s">
        <v>127</v>
      </c>
      <c r="B368" s="24" t="s">
        <v>116</v>
      </c>
      <c r="C368" s="24">
        <v>535</v>
      </c>
      <c r="D368" s="24">
        <v>18</v>
      </c>
      <c r="E368" s="24">
        <f t="shared" si="6"/>
        <v>9630</v>
      </c>
      <c r="H368"/>
    </row>
    <row r="369" spans="1:8" x14ac:dyDescent="0.25">
      <c r="A369" s="24" t="s">
        <v>128</v>
      </c>
      <c r="B369" s="24" t="s">
        <v>113</v>
      </c>
      <c r="C369" s="24">
        <v>496</v>
      </c>
      <c r="D369" s="24">
        <v>15</v>
      </c>
      <c r="E369" s="24">
        <f t="shared" si="6"/>
        <v>7440</v>
      </c>
      <c r="H369"/>
    </row>
    <row r="370" spans="1:8" x14ac:dyDescent="0.25">
      <c r="A370" s="24" t="s">
        <v>132</v>
      </c>
      <c r="B370" s="24" t="s">
        <v>113</v>
      </c>
      <c r="C370" s="24">
        <v>676</v>
      </c>
      <c r="D370" s="24">
        <v>15</v>
      </c>
      <c r="E370" s="24">
        <f t="shared" si="6"/>
        <v>10140</v>
      </c>
      <c r="H370"/>
    </row>
    <row r="371" spans="1:8" x14ac:dyDescent="0.25">
      <c r="A371" s="24" t="s">
        <v>132</v>
      </c>
      <c r="B371" s="24" t="s">
        <v>115</v>
      </c>
      <c r="C371" s="24">
        <v>271</v>
      </c>
      <c r="D371" s="24">
        <v>12.5</v>
      </c>
      <c r="E371" s="24">
        <f t="shared" si="6"/>
        <v>3387.5</v>
      </c>
      <c r="H371"/>
    </row>
    <row r="372" spans="1:8" x14ac:dyDescent="0.25">
      <c r="A372" s="24" t="s">
        <v>131</v>
      </c>
      <c r="B372" s="24" t="s">
        <v>116</v>
      </c>
      <c r="C372" s="24">
        <v>91</v>
      </c>
      <c r="D372" s="24">
        <v>18</v>
      </c>
      <c r="E372" s="24">
        <f t="shared" si="6"/>
        <v>1638</v>
      </c>
      <c r="H372"/>
    </row>
    <row r="373" spans="1:8" x14ac:dyDescent="0.25">
      <c r="A373" s="24" t="s">
        <v>129</v>
      </c>
      <c r="B373" s="24" t="s">
        <v>116</v>
      </c>
      <c r="C373" s="24">
        <v>817</v>
      </c>
      <c r="D373" s="24">
        <v>18</v>
      </c>
      <c r="E373" s="24">
        <f t="shared" si="6"/>
        <v>14706</v>
      </c>
      <c r="H373"/>
    </row>
    <row r="374" spans="1:8" x14ac:dyDescent="0.25">
      <c r="A374" s="24" t="s">
        <v>127</v>
      </c>
      <c r="B374" s="24" t="s">
        <v>116</v>
      </c>
      <c r="C374" s="24">
        <v>292</v>
      </c>
      <c r="D374" s="24">
        <v>18</v>
      </c>
      <c r="E374" s="24">
        <f t="shared" si="6"/>
        <v>5256</v>
      </c>
      <c r="H374"/>
    </row>
    <row r="375" spans="1:8" x14ac:dyDescent="0.25">
      <c r="A375" s="24" t="s">
        <v>129</v>
      </c>
      <c r="B375" s="24" t="s">
        <v>115</v>
      </c>
      <c r="C375" s="24">
        <v>518</v>
      </c>
      <c r="D375" s="24">
        <v>12.5</v>
      </c>
      <c r="E375" s="24">
        <f t="shared" si="6"/>
        <v>6475</v>
      </c>
      <c r="H375"/>
    </row>
    <row r="376" spans="1:8" x14ac:dyDescent="0.25">
      <c r="A376" s="24" t="s">
        <v>130</v>
      </c>
      <c r="B376" s="24" t="s">
        <v>113</v>
      </c>
      <c r="C376" s="24">
        <v>104</v>
      </c>
      <c r="D376" s="24">
        <v>15</v>
      </c>
      <c r="E376" s="24">
        <f t="shared" si="6"/>
        <v>1560</v>
      </c>
      <c r="H376"/>
    </row>
    <row r="377" spans="1:8" x14ac:dyDescent="0.25">
      <c r="A377" s="24" t="s">
        <v>127</v>
      </c>
      <c r="B377" s="24" t="s">
        <v>116</v>
      </c>
      <c r="C377" s="24">
        <v>52</v>
      </c>
      <c r="D377" s="24">
        <v>18</v>
      </c>
      <c r="E377" s="24">
        <f t="shared" si="6"/>
        <v>936</v>
      </c>
      <c r="H377"/>
    </row>
    <row r="378" spans="1:8" x14ac:dyDescent="0.25">
      <c r="A378" s="24" t="s">
        <v>127</v>
      </c>
      <c r="B378" s="24" t="s">
        <v>114</v>
      </c>
      <c r="C378" s="24">
        <v>566</v>
      </c>
      <c r="D378" s="24">
        <v>20</v>
      </c>
      <c r="E378" s="24">
        <f t="shared" si="6"/>
        <v>11320</v>
      </c>
      <c r="H378"/>
    </row>
    <row r="379" spans="1:8" x14ac:dyDescent="0.25">
      <c r="A379" s="24" t="s">
        <v>127</v>
      </c>
      <c r="B379" s="24" t="s">
        <v>116</v>
      </c>
      <c r="C379" s="24">
        <v>706</v>
      </c>
      <c r="D379" s="24">
        <v>18</v>
      </c>
      <c r="E379" s="24">
        <f t="shared" si="6"/>
        <v>12708</v>
      </c>
      <c r="H379"/>
    </row>
    <row r="380" spans="1:8" x14ac:dyDescent="0.25">
      <c r="A380" s="24" t="s">
        <v>130</v>
      </c>
      <c r="B380" s="24" t="s">
        <v>113</v>
      </c>
      <c r="C380" s="24">
        <v>339</v>
      </c>
      <c r="D380" s="24">
        <v>15</v>
      </c>
      <c r="E380" s="24">
        <f t="shared" si="6"/>
        <v>5085</v>
      </c>
      <c r="H380"/>
    </row>
    <row r="381" spans="1:8" x14ac:dyDescent="0.25">
      <c r="A381" s="24" t="s">
        <v>131</v>
      </c>
      <c r="B381" s="24" t="s">
        <v>116</v>
      </c>
      <c r="C381" s="24">
        <v>847</v>
      </c>
      <c r="D381" s="24">
        <v>18</v>
      </c>
      <c r="E381" s="24">
        <f t="shared" si="6"/>
        <v>15246</v>
      </c>
      <c r="H381"/>
    </row>
    <row r="382" spans="1:8" x14ac:dyDescent="0.25">
      <c r="A382" s="24" t="s">
        <v>129</v>
      </c>
      <c r="B382" s="24" t="s">
        <v>113</v>
      </c>
      <c r="C382" s="24">
        <v>857</v>
      </c>
      <c r="D382" s="24">
        <v>15</v>
      </c>
      <c r="E382" s="24">
        <f t="shared" si="6"/>
        <v>12855</v>
      </c>
      <c r="H382"/>
    </row>
    <row r="383" spans="1:8" x14ac:dyDescent="0.25">
      <c r="A383" s="24" t="s">
        <v>128</v>
      </c>
      <c r="B383" s="24" t="s">
        <v>115</v>
      </c>
      <c r="C383" s="24">
        <v>340</v>
      </c>
      <c r="D383" s="24">
        <v>12.5</v>
      </c>
      <c r="E383" s="24">
        <f t="shared" si="6"/>
        <v>4250</v>
      </c>
      <c r="H383"/>
    </row>
    <row r="384" spans="1:8" x14ac:dyDescent="0.25">
      <c r="A384" s="24" t="s">
        <v>132</v>
      </c>
      <c r="B384" s="24" t="s">
        <v>114</v>
      </c>
      <c r="C384" s="24">
        <v>228</v>
      </c>
      <c r="D384" s="24">
        <v>20</v>
      </c>
      <c r="E384" s="24">
        <f t="shared" si="6"/>
        <v>4560</v>
      </c>
      <c r="H384"/>
    </row>
    <row r="385" spans="1:8" x14ac:dyDescent="0.25">
      <c r="A385" s="24" t="s">
        <v>131</v>
      </c>
      <c r="B385" s="24" t="s">
        <v>114</v>
      </c>
      <c r="C385" s="24">
        <v>137</v>
      </c>
      <c r="D385" s="24">
        <v>20</v>
      </c>
      <c r="E385" s="24">
        <f t="shared" si="6"/>
        <v>2740</v>
      </c>
      <c r="H385"/>
    </row>
    <row r="386" spans="1:8" x14ac:dyDescent="0.25">
      <c r="A386" s="24" t="s">
        <v>127</v>
      </c>
      <c r="B386" s="24" t="s">
        <v>116</v>
      </c>
      <c r="C386" s="24">
        <v>749</v>
      </c>
      <c r="D386" s="24">
        <v>18</v>
      </c>
      <c r="E386" s="24">
        <f t="shared" ref="E386:E429" si="7">C386*D386</f>
        <v>13482</v>
      </c>
      <c r="H386"/>
    </row>
    <row r="387" spans="1:8" x14ac:dyDescent="0.25">
      <c r="A387" s="24" t="s">
        <v>127</v>
      </c>
      <c r="B387" s="24" t="s">
        <v>113</v>
      </c>
      <c r="C387" s="24">
        <v>533</v>
      </c>
      <c r="D387" s="24">
        <v>15</v>
      </c>
      <c r="E387" s="24">
        <f t="shared" si="7"/>
        <v>7995</v>
      </c>
      <c r="H387"/>
    </row>
    <row r="388" spans="1:8" x14ac:dyDescent="0.25">
      <c r="A388" s="24" t="s">
        <v>130</v>
      </c>
      <c r="B388" s="24" t="s">
        <v>115</v>
      </c>
      <c r="C388" s="24">
        <v>642</v>
      </c>
      <c r="D388" s="24">
        <v>12.5</v>
      </c>
      <c r="E388" s="24">
        <f t="shared" si="7"/>
        <v>8025</v>
      </c>
      <c r="H388"/>
    </row>
    <row r="389" spans="1:8" x14ac:dyDescent="0.25">
      <c r="A389" s="24" t="s">
        <v>126</v>
      </c>
      <c r="B389" s="24" t="s">
        <v>114</v>
      </c>
      <c r="C389" s="24">
        <v>323</v>
      </c>
      <c r="D389" s="24">
        <v>20</v>
      </c>
      <c r="E389" s="24">
        <f t="shared" si="7"/>
        <v>6460</v>
      </c>
      <c r="H389"/>
    </row>
    <row r="390" spans="1:8" x14ac:dyDescent="0.25">
      <c r="A390" s="24" t="s">
        <v>132</v>
      </c>
      <c r="B390" s="24" t="s">
        <v>114</v>
      </c>
      <c r="C390" s="24">
        <v>693</v>
      </c>
      <c r="D390" s="24">
        <v>20</v>
      </c>
      <c r="E390" s="24">
        <f t="shared" si="7"/>
        <v>13860</v>
      </c>
      <c r="H390"/>
    </row>
    <row r="391" spans="1:8" x14ac:dyDescent="0.25">
      <c r="A391" s="24" t="s">
        <v>129</v>
      </c>
      <c r="B391" s="24" t="s">
        <v>114</v>
      </c>
      <c r="C391" s="24">
        <v>852</v>
      </c>
      <c r="D391" s="24">
        <v>20</v>
      </c>
      <c r="E391" s="24">
        <f t="shared" si="7"/>
        <v>17040</v>
      </c>
      <c r="H391"/>
    </row>
    <row r="392" spans="1:8" x14ac:dyDescent="0.25">
      <c r="A392" s="24" t="s">
        <v>131</v>
      </c>
      <c r="B392" s="24" t="s">
        <v>116</v>
      </c>
      <c r="C392" s="24">
        <v>136</v>
      </c>
      <c r="D392" s="24">
        <v>18</v>
      </c>
      <c r="E392" s="24">
        <f t="shared" si="7"/>
        <v>2448</v>
      </c>
      <c r="H392"/>
    </row>
    <row r="393" spans="1:8" x14ac:dyDescent="0.25">
      <c r="A393" s="24" t="s">
        <v>128</v>
      </c>
      <c r="B393" s="24" t="s">
        <v>115</v>
      </c>
      <c r="C393" s="24">
        <v>825</v>
      </c>
      <c r="D393" s="24">
        <v>12.5</v>
      </c>
      <c r="E393" s="24">
        <f t="shared" si="7"/>
        <v>10312.5</v>
      </c>
      <c r="H393"/>
    </row>
    <row r="394" spans="1:8" x14ac:dyDescent="0.25">
      <c r="A394" s="24" t="s">
        <v>129</v>
      </c>
      <c r="B394" s="24" t="s">
        <v>116</v>
      </c>
      <c r="C394" s="24">
        <v>653</v>
      </c>
      <c r="D394" s="24">
        <v>18</v>
      </c>
      <c r="E394" s="24">
        <f t="shared" si="7"/>
        <v>11754</v>
      </c>
      <c r="H394"/>
    </row>
    <row r="395" spans="1:8" x14ac:dyDescent="0.25">
      <c r="A395" s="24" t="s">
        <v>132</v>
      </c>
      <c r="B395" s="24" t="s">
        <v>114</v>
      </c>
      <c r="C395" s="24">
        <v>75</v>
      </c>
      <c r="D395" s="24">
        <v>20</v>
      </c>
      <c r="E395" s="24">
        <f t="shared" si="7"/>
        <v>1500</v>
      </c>
      <c r="H395"/>
    </row>
    <row r="396" spans="1:8" x14ac:dyDescent="0.25">
      <c r="A396" s="24" t="s">
        <v>126</v>
      </c>
      <c r="B396" s="24" t="s">
        <v>113</v>
      </c>
      <c r="C396" s="24">
        <v>41</v>
      </c>
      <c r="D396" s="24">
        <v>15</v>
      </c>
      <c r="E396" s="24">
        <f t="shared" si="7"/>
        <v>615</v>
      </c>
      <c r="H396"/>
    </row>
    <row r="397" spans="1:8" x14ac:dyDescent="0.25">
      <c r="A397" s="24" t="s">
        <v>131</v>
      </c>
      <c r="B397" s="24" t="s">
        <v>113</v>
      </c>
      <c r="C397" s="24">
        <v>286</v>
      </c>
      <c r="D397" s="24">
        <v>15</v>
      </c>
      <c r="E397" s="24">
        <f t="shared" si="7"/>
        <v>4290</v>
      </c>
      <c r="H397"/>
    </row>
    <row r="398" spans="1:8" x14ac:dyDescent="0.25">
      <c r="A398" s="24" t="s">
        <v>131</v>
      </c>
      <c r="B398" s="24" t="s">
        <v>115</v>
      </c>
      <c r="C398" s="24">
        <v>796</v>
      </c>
      <c r="D398" s="24">
        <v>12.5</v>
      </c>
      <c r="E398" s="24">
        <f t="shared" si="7"/>
        <v>9950</v>
      </c>
      <c r="H398"/>
    </row>
    <row r="399" spans="1:8" x14ac:dyDescent="0.25">
      <c r="A399" s="24" t="s">
        <v>129</v>
      </c>
      <c r="B399" s="24" t="s">
        <v>113</v>
      </c>
      <c r="C399" s="24">
        <v>60</v>
      </c>
      <c r="D399" s="24">
        <v>15</v>
      </c>
      <c r="E399" s="24">
        <f t="shared" si="7"/>
        <v>900</v>
      </c>
      <c r="H399"/>
    </row>
    <row r="400" spans="1:8" x14ac:dyDescent="0.25">
      <c r="A400" s="24" t="s">
        <v>131</v>
      </c>
      <c r="B400" s="24" t="s">
        <v>114</v>
      </c>
      <c r="C400" s="24">
        <v>991</v>
      </c>
      <c r="D400" s="24">
        <v>20</v>
      </c>
      <c r="E400" s="24">
        <f t="shared" si="7"/>
        <v>19820</v>
      </c>
      <c r="H400"/>
    </row>
    <row r="401" spans="1:8" x14ac:dyDescent="0.25">
      <c r="A401" s="24" t="s">
        <v>127</v>
      </c>
      <c r="B401" s="24" t="s">
        <v>113</v>
      </c>
      <c r="C401" s="24">
        <v>537</v>
      </c>
      <c r="D401" s="24">
        <v>15</v>
      </c>
      <c r="E401" s="24">
        <f t="shared" si="7"/>
        <v>8055</v>
      </c>
      <c r="H401"/>
    </row>
    <row r="402" spans="1:8" x14ac:dyDescent="0.25">
      <c r="A402" s="24" t="s">
        <v>126</v>
      </c>
      <c r="B402" s="24" t="s">
        <v>114</v>
      </c>
      <c r="C402" s="24">
        <v>936</v>
      </c>
      <c r="D402" s="24">
        <v>20</v>
      </c>
      <c r="E402" s="24">
        <f t="shared" si="7"/>
        <v>18720</v>
      </c>
      <c r="H402"/>
    </row>
    <row r="403" spans="1:8" x14ac:dyDescent="0.25">
      <c r="A403" s="24" t="s">
        <v>130</v>
      </c>
      <c r="B403" s="24" t="s">
        <v>113</v>
      </c>
      <c r="C403" s="24">
        <v>499</v>
      </c>
      <c r="D403" s="24">
        <v>15</v>
      </c>
      <c r="E403" s="24">
        <f t="shared" si="7"/>
        <v>7485</v>
      </c>
      <c r="H403"/>
    </row>
    <row r="404" spans="1:8" x14ac:dyDescent="0.25">
      <c r="A404" s="24" t="s">
        <v>131</v>
      </c>
      <c r="B404" s="24" t="s">
        <v>114</v>
      </c>
      <c r="C404" s="24">
        <v>437</v>
      </c>
      <c r="D404" s="24">
        <v>20</v>
      </c>
      <c r="E404" s="24">
        <f t="shared" si="7"/>
        <v>8740</v>
      </c>
      <c r="H404"/>
    </row>
    <row r="405" spans="1:8" x14ac:dyDescent="0.25">
      <c r="A405" s="24" t="s">
        <v>127</v>
      </c>
      <c r="B405" s="24" t="s">
        <v>113</v>
      </c>
      <c r="C405" s="24">
        <v>472</v>
      </c>
      <c r="D405" s="24">
        <v>15</v>
      </c>
      <c r="E405" s="24">
        <f t="shared" si="7"/>
        <v>7080</v>
      </c>
      <c r="H405"/>
    </row>
    <row r="406" spans="1:8" x14ac:dyDescent="0.25">
      <c r="A406" s="24" t="s">
        <v>131</v>
      </c>
      <c r="B406" s="24" t="s">
        <v>115</v>
      </c>
      <c r="C406" s="24">
        <v>168</v>
      </c>
      <c r="D406" s="24">
        <v>12.5</v>
      </c>
      <c r="E406" s="24">
        <f t="shared" si="7"/>
        <v>2100</v>
      </c>
      <c r="H406"/>
    </row>
    <row r="407" spans="1:8" x14ac:dyDescent="0.25">
      <c r="A407" s="24" t="s">
        <v>128</v>
      </c>
      <c r="B407" s="24" t="s">
        <v>113</v>
      </c>
      <c r="C407" s="24">
        <v>388</v>
      </c>
      <c r="D407" s="24">
        <v>15</v>
      </c>
      <c r="E407" s="24">
        <f t="shared" si="7"/>
        <v>5820</v>
      </c>
      <c r="H407"/>
    </row>
    <row r="408" spans="1:8" x14ac:dyDescent="0.25">
      <c r="A408" s="24" t="s">
        <v>128</v>
      </c>
      <c r="B408" s="24" t="s">
        <v>115</v>
      </c>
      <c r="C408" s="24">
        <v>654</v>
      </c>
      <c r="D408" s="24">
        <v>12.5</v>
      </c>
      <c r="E408" s="24">
        <f t="shared" si="7"/>
        <v>8175</v>
      </c>
      <c r="H408"/>
    </row>
    <row r="409" spans="1:8" x14ac:dyDescent="0.25">
      <c r="A409" s="24" t="s">
        <v>128</v>
      </c>
      <c r="B409" s="24" t="s">
        <v>116</v>
      </c>
      <c r="C409" s="24">
        <v>121</v>
      </c>
      <c r="D409" s="24">
        <v>18</v>
      </c>
      <c r="E409" s="24">
        <f t="shared" si="7"/>
        <v>2178</v>
      </c>
      <c r="H409"/>
    </row>
    <row r="410" spans="1:8" x14ac:dyDescent="0.25">
      <c r="A410" s="24" t="s">
        <v>128</v>
      </c>
      <c r="B410" s="24" t="s">
        <v>114</v>
      </c>
      <c r="C410" s="24">
        <v>549</v>
      </c>
      <c r="D410" s="24">
        <v>20</v>
      </c>
      <c r="E410" s="24">
        <f t="shared" si="7"/>
        <v>10980</v>
      </c>
      <c r="H410"/>
    </row>
    <row r="411" spans="1:8" x14ac:dyDescent="0.25">
      <c r="A411" s="24" t="s">
        <v>128</v>
      </c>
      <c r="B411" s="24" t="s">
        <v>116</v>
      </c>
      <c r="C411" s="24">
        <v>353</v>
      </c>
      <c r="D411" s="24">
        <v>18</v>
      </c>
      <c r="E411" s="24">
        <f t="shared" si="7"/>
        <v>6354</v>
      </c>
      <c r="H411"/>
    </row>
    <row r="412" spans="1:8" x14ac:dyDescent="0.25">
      <c r="A412" s="24" t="s">
        <v>129</v>
      </c>
      <c r="B412" s="24" t="s">
        <v>116</v>
      </c>
      <c r="C412" s="24">
        <v>62</v>
      </c>
      <c r="D412" s="24">
        <v>18</v>
      </c>
      <c r="E412" s="24">
        <f t="shared" si="7"/>
        <v>1116</v>
      </c>
      <c r="H412"/>
    </row>
    <row r="413" spans="1:8" x14ac:dyDescent="0.25">
      <c r="A413" s="24" t="s">
        <v>132</v>
      </c>
      <c r="B413" s="24" t="s">
        <v>114</v>
      </c>
      <c r="C413" s="24">
        <v>920</v>
      </c>
      <c r="D413" s="24">
        <v>20</v>
      </c>
      <c r="E413" s="24">
        <f t="shared" si="7"/>
        <v>18400</v>
      </c>
      <c r="H413"/>
    </row>
    <row r="414" spans="1:8" x14ac:dyDescent="0.25">
      <c r="A414" s="24" t="s">
        <v>129</v>
      </c>
      <c r="B414" s="24" t="s">
        <v>113</v>
      </c>
      <c r="C414" s="24">
        <v>302</v>
      </c>
      <c r="D414" s="24">
        <v>15</v>
      </c>
      <c r="E414" s="24">
        <f t="shared" si="7"/>
        <v>4530</v>
      </c>
      <c r="H414"/>
    </row>
    <row r="415" spans="1:8" x14ac:dyDescent="0.25">
      <c r="A415" s="24" t="s">
        <v>129</v>
      </c>
      <c r="B415" s="24" t="s">
        <v>116</v>
      </c>
      <c r="C415" s="24">
        <v>233</v>
      </c>
      <c r="D415" s="24">
        <v>18</v>
      </c>
      <c r="E415" s="24">
        <f t="shared" si="7"/>
        <v>4194</v>
      </c>
      <c r="H415"/>
    </row>
    <row r="416" spans="1:8" x14ac:dyDescent="0.25">
      <c r="A416" s="24" t="s">
        <v>127</v>
      </c>
      <c r="B416" s="24" t="s">
        <v>116</v>
      </c>
      <c r="C416" s="24">
        <v>618</v>
      </c>
      <c r="D416" s="24">
        <v>18</v>
      </c>
      <c r="E416" s="24">
        <f t="shared" si="7"/>
        <v>11124</v>
      </c>
      <c r="H416"/>
    </row>
    <row r="417" spans="1:8" x14ac:dyDescent="0.25">
      <c r="A417" s="24" t="s">
        <v>126</v>
      </c>
      <c r="B417" s="24" t="s">
        <v>115</v>
      </c>
      <c r="C417" s="24">
        <v>571</v>
      </c>
      <c r="D417" s="24">
        <v>12.5</v>
      </c>
      <c r="E417" s="24">
        <f t="shared" si="7"/>
        <v>7137.5</v>
      </c>
      <c r="H417"/>
    </row>
    <row r="418" spans="1:8" x14ac:dyDescent="0.25">
      <c r="A418" s="24" t="s">
        <v>128</v>
      </c>
      <c r="B418" s="24" t="s">
        <v>113</v>
      </c>
      <c r="C418" s="24">
        <v>964</v>
      </c>
      <c r="D418" s="24">
        <v>15</v>
      </c>
      <c r="E418" s="24">
        <f t="shared" si="7"/>
        <v>14460</v>
      </c>
      <c r="H418"/>
    </row>
    <row r="419" spans="1:8" x14ac:dyDescent="0.25">
      <c r="A419" s="24" t="s">
        <v>129</v>
      </c>
      <c r="B419" s="24" t="s">
        <v>115</v>
      </c>
      <c r="C419" s="24">
        <v>997</v>
      </c>
      <c r="D419" s="24">
        <v>12.5</v>
      </c>
      <c r="E419" s="24">
        <f t="shared" si="7"/>
        <v>12462.5</v>
      </c>
      <c r="H419"/>
    </row>
    <row r="420" spans="1:8" x14ac:dyDescent="0.25">
      <c r="A420" s="24" t="s">
        <v>127</v>
      </c>
      <c r="B420" s="24" t="s">
        <v>115</v>
      </c>
      <c r="C420" s="24">
        <v>266</v>
      </c>
      <c r="D420" s="24">
        <v>12.5</v>
      </c>
      <c r="E420" s="24">
        <f t="shared" si="7"/>
        <v>3325</v>
      </c>
      <c r="H420"/>
    </row>
    <row r="421" spans="1:8" x14ac:dyDescent="0.25">
      <c r="A421" s="24" t="s">
        <v>132</v>
      </c>
      <c r="B421" s="24" t="s">
        <v>113</v>
      </c>
      <c r="C421" s="24">
        <v>793</v>
      </c>
      <c r="D421" s="24">
        <v>15</v>
      </c>
      <c r="E421" s="24">
        <f t="shared" si="7"/>
        <v>11895</v>
      </c>
      <c r="H421"/>
    </row>
    <row r="422" spans="1:8" x14ac:dyDescent="0.25">
      <c r="A422" s="24" t="s">
        <v>128</v>
      </c>
      <c r="B422" s="24" t="s">
        <v>114</v>
      </c>
      <c r="C422" s="24">
        <v>649</v>
      </c>
      <c r="D422" s="24">
        <v>20</v>
      </c>
      <c r="E422" s="24">
        <f t="shared" si="7"/>
        <v>12980</v>
      </c>
      <c r="H422"/>
    </row>
    <row r="423" spans="1:8" x14ac:dyDescent="0.25">
      <c r="A423" s="24" t="s">
        <v>126</v>
      </c>
      <c r="B423" s="24" t="s">
        <v>113</v>
      </c>
      <c r="C423" s="24">
        <v>326</v>
      </c>
      <c r="D423" s="24">
        <v>15</v>
      </c>
      <c r="E423" s="24">
        <f t="shared" si="7"/>
        <v>4890</v>
      </c>
      <c r="H423"/>
    </row>
    <row r="424" spans="1:8" x14ac:dyDescent="0.25">
      <c r="A424" s="24" t="s">
        <v>132</v>
      </c>
      <c r="B424" s="24" t="s">
        <v>113</v>
      </c>
      <c r="C424" s="24">
        <v>389</v>
      </c>
      <c r="D424" s="24">
        <v>15</v>
      </c>
      <c r="E424" s="24">
        <f t="shared" si="7"/>
        <v>5835</v>
      </c>
      <c r="H424"/>
    </row>
    <row r="425" spans="1:8" x14ac:dyDescent="0.25">
      <c r="A425" s="24" t="s">
        <v>126</v>
      </c>
      <c r="B425" s="24" t="s">
        <v>113</v>
      </c>
      <c r="C425" s="24">
        <v>607</v>
      </c>
      <c r="D425" s="24">
        <v>15</v>
      </c>
      <c r="E425" s="24">
        <f t="shared" si="7"/>
        <v>9105</v>
      </c>
      <c r="H425"/>
    </row>
    <row r="426" spans="1:8" x14ac:dyDescent="0.25">
      <c r="A426" s="24" t="s">
        <v>131</v>
      </c>
      <c r="B426" s="24" t="s">
        <v>116</v>
      </c>
      <c r="C426" s="24">
        <v>791</v>
      </c>
      <c r="D426" s="24">
        <v>18</v>
      </c>
      <c r="E426" s="24">
        <f t="shared" si="7"/>
        <v>14238</v>
      </c>
      <c r="H426"/>
    </row>
    <row r="427" spans="1:8" x14ac:dyDescent="0.25">
      <c r="A427" s="24" t="s">
        <v>131</v>
      </c>
      <c r="B427" s="24" t="s">
        <v>114</v>
      </c>
      <c r="C427" s="24">
        <v>775</v>
      </c>
      <c r="D427" s="24">
        <v>20</v>
      </c>
      <c r="E427" s="24">
        <f t="shared" si="7"/>
        <v>15500</v>
      </c>
      <c r="H427"/>
    </row>
    <row r="428" spans="1:8" x14ac:dyDescent="0.25">
      <c r="A428" s="24" t="s">
        <v>132</v>
      </c>
      <c r="B428" s="24" t="s">
        <v>116</v>
      </c>
      <c r="C428" s="24">
        <v>938</v>
      </c>
      <c r="D428" s="24">
        <v>18</v>
      </c>
      <c r="E428" s="24">
        <f t="shared" si="7"/>
        <v>16884</v>
      </c>
      <c r="H428"/>
    </row>
    <row r="429" spans="1:8" x14ac:dyDescent="0.25">
      <c r="A429" s="24" t="s">
        <v>131</v>
      </c>
      <c r="B429" s="24" t="s">
        <v>115</v>
      </c>
      <c r="C429" s="24">
        <v>659</v>
      </c>
      <c r="D429" s="24">
        <v>12.5</v>
      </c>
      <c r="E429" s="24">
        <f t="shared" si="7"/>
        <v>8237.5</v>
      </c>
      <c r="H42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B2:L18"/>
  <sheetViews>
    <sheetView workbookViewId="0">
      <selection activeCell="I16" sqref="I16"/>
    </sheetView>
  </sheetViews>
  <sheetFormatPr defaultRowHeight="15" x14ac:dyDescent="0.25"/>
  <cols>
    <col min="2" max="3" width="17.140625" bestFit="1" customWidth="1"/>
    <col min="4" max="4" width="11" bestFit="1" customWidth="1"/>
    <col min="7" max="7" width="12.140625" bestFit="1" customWidth="1"/>
    <col min="8" max="8" width="18.28515625" bestFit="1" customWidth="1"/>
    <col min="12" max="12" width="9.85546875" bestFit="1" customWidth="1"/>
  </cols>
  <sheetData>
    <row r="2" spans="2:12" ht="18.75" x14ac:dyDescent="0.3">
      <c r="B2" s="17" t="s">
        <v>134</v>
      </c>
      <c r="C2" s="17" t="s">
        <v>133</v>
      </c>
      <c r="D2" s="18" t="s">
        <v>172</v>
      </c>
      <c r="L2" s="18">
        <v>32216</v>
      </c>
    </row>
    <row r="3" spans="2:12" ht="18.75" x14ac:dyDescent="0.3">
      <c r="B3" s="17" t="s">
        <v>134</v>
      </c>
      <c r="C3" s="17" t="s">
        <v>133</v>
      </c>
      <c r="D3" s="18" t="s">
        <v>24</v>
      </c>
      <c r="L3" s="18">
        <v>26202</v>
      </c>
    </row>
    <row r="4" spans="2:12" ht="18.75" x14ac:dyDescent="0.3">
      <c r="B4" s="17" t="s">
        <v>134</v>
      </c>
      <c r="C4" s="17" t="s">
        <v>133</v>
      </c>
      <c r="D4" s="18" t="s">
        <v>25</v>
      </c>
      <c r="H4" s="26" t="s">
        <v>147</v>
      </c>
      <c r="L4" s="18">
        <v>465</v>
      </c>
    </row>
    <row r="5" spans="2:12" ht="19.5" thickBot="1" x14ac:dyDescent="0.35">
      <c r="B5" s="17" t="s">
        <v>134</v>
      </c>
      <c r="C5" s="17" t="s">
        <v>133</v>
      </c>
      <c r="D5" s="18" t="s">
        <v>26</v>
      </c>
      <c r="L5" s="18">
        <v>7000</v>
      </c>
    </row>
    <row r="6" spans="2:12" ht="19.5" thickBot="1" x14ac:dyDescent="0.35">
      <c r="B6" s="17" t="s">
        <v>134</v>
      </c>
      <c r="C6" s="17" t="s">
        <v>133</v>
      </c>
      <c r="D6" s="18" t="s">
        <v>27</v>
      </c>
      <c r="G6" s="8" t="s">
        <v>28</v>
      </c>
      <c r="H6" s="9">
        <f t="array" ref="H6">SUM(1*SUBSTITUTE(D2:D18,CHAR(160),CHAR(32)))</f>
        <v>1342719</v>
      </c>
      <c r="L6" s="18">
        <v>60437</v>
      </c>
    </row>
    <row r="7" spans="2:12" ht="18.75" x14ac:dyDescent="0.3">
      <c r="B7" s="17" t="s">
        <v>134</v>
      </c>
      <c r="C7" s="17" t="s">
        <v>133</v>
      </c>
      <c r="D7" s="18" t="s">
        <v>29</v>
      </c>
      <c r="L7" s="18">
        <v>128855</v>
      </c>
    </row>
    <row r="8" spans="2:12" ht="18.75" x14ac:dyDescent="0.3">
      <c r="B8" s="17" t="s">
        <v>134</v>
      </c>
      <c r="C8" s="17" t="s">
        <v>133</v>
      </c>
      <c r="D8" s="18">
        <v>90500</v>
      </c>
      <c r="H8" s="10"/>
      <c r="L8" s="18">
        <v>90500</v>
      </c>
    </row>
    <row r="9" spans="2:12" ht="18.75" x14ac:dyDescent="0.3">
      <c r="B9" s="17" t="s">
        <v>134</v>
      </c>
      <c r="C9" s="17" t="s">
        <v>133</v>
      </c>
      <c r="D9" s="18" t="s">
        <v>30</v>
      </c>
      <c r="H9" s="10"/>
      <c r="L9" s="18">
        <v>3110</v>
      </c>
    </row>
    <row r="10" spans="2:12" ht="18.75" x14ac:dyDescent="0.3">
      <c r="B10" s="17" t="s">
        <v>134</v>
      </c>
      <c r="C10" s="17" t="s">
        <v>133</v>
      </c>
      <c r="D10" s="18" t="s">
        <v>31</v>
      </c>
      <c r="L10" s="18">
        <v>2225</v>
      </c>
    </row>
    <row r="11" spans="2:12" ht="18.75" x14ac:dyDescent="0.3">
      <c r="B11" s="17" t="s">
        <v>134</v>
      </c>
      <c r="C11" s="17" t="s">
        <v>133</v>
      </c>
      <c r="D11" s="18" t="s">
        <v>32</v>
      </c>
      <c r="H11">
        <f t="array" ref="H11">SUM(1*SUBSTITUTE(D2:D18,CHAR(160),CHAR(32)))</f>
        <v>1342719</v>
      </c>
      <c r="L11" s="18">
        <v>51379</v>
      </c>
    </row>
    <row r="12" spans="2:12" ht="18.75" x14ac:dyDescent="0.3">
      <c r="B12" s="17" t="s">
        <v>134</v>
      </c>
      <c r="C12" s="17" t="s">
        <v>133</v>
      </c>
      <c r="D12" s="18" t="s">
        <v>33</v>
      </c>
      <c r="L12" s="18">
        <v>69237</v>
      </c>
    </row>
    <row r="13" spans="2:12" ht="18.75" x14ac:dyDescent="0.3">
      <c r="B13" s="17" t="s">
        <v>134</v>
      </c>
      <c r="C13" s="17" t="s">
        <v>133</v>
      </c>
      <c r="D13" s="18" t="s">
        <v>34</v>
      </c>
      <c r="L13" s="18">
        <v>44120</v>
      </c>
    </row>
    <row r="14" spans="2:12" ht="18.75" x14ac:dyDescent="0.3">
      <c r="B14" s="17" t="s">
        <v>134</v>
      </c>
      <c r="C14" s="17" t="s">
        <v>133</v>
      </c>
      <c r="D14" s="18" t="s">
        <v>35</v>
      </c>
      <c r="L14" s="18">
        <v>30787</v>
      </c>
    </row>
    <row r="15" spans="2:12" ht="18.75" x14ac:dyDescent="0.3">
      <c r="B15" s="17" t="s">
        <v>134</v>
      </c>
      <c r="C15" s="17" t="s">
        <v>133</v>
      </c>
      <c r="D15" s="18" t="s">
        <v>36</v>
      </c>
      <c r="L15" s="18">
        <v>1505</v>
      </c>
    </row>
    <row r="16" spans="2:12" ht="18.75" x14ac:dyDescent="0.3">
      <c r="B16" s="17" t="s">
        <v>134</v>
      </c>
      <c r="C16" s="17" t="s">
        <v>133</v>
      </c>
      <c r="D16" s="18" t="s">
        <v>37</v>
      </c>
      <c r="L16" s="18">
        <v>273223</v>
      </c>
    </row>
    <row r="17" spans="2:12" ht="18.75" x14ac:dyDescent="0.3">
      <c r="B17" s="17" t="s">
        <v>134</v>
      </c>
      <c r="C17" s="17" t="s">
        <v>133</v>
      </c>
      <c r="D17" s="18" t="s">
        <v>38</v>
      </c>
      <c r="L17" s="18">
        <v>227680</v>
      </c>
    </row>
    <row r="18" spans="2:12" ht="18.75" x14ac:dyDescent="0.3">
      <c r="B18" s="17" t="s">
        <v>134</v>
      </c>
      <c r="C18" s="17" t="s">
        <v>133</v>
      </c>
      <c r="D18" s="18" t="s">
        <v>39</v>
      </c>
      <c r="L18" s="18">
        <v>293778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9"/>
  <sheetViews>
    <sheetView zoomScale="150" zoomScaleNormal="150" workbookViewId="0">
      <selection activeCell="C11" sqref="C11"/>
    </sheetView>
  </sheetViews>
  <sheetFormatPr defaultRowHeight="15" x14ac:dyDescent="0.25"/>
  <cols>
    <col min="1" max="1" width="10.7109375" bestFit="1" customWidth="1"/>
    <col min="9" max="9" width="15.5703125" bestFit="1" customWidth="1"/>
  </cols>
  <sheetData>
    <row r="1" spans="1:9" x14ac:dyDescent="0.25">
      <c r="A1" s="15" t="s">
        <v>125</v>
      </c>
      <c r="B1" s="15" t="s">
        <v>9</v>
      </c>
      <c r="C1" s="15" t="s">
        <v>5</v>
      </c>
    </row>
    <row r="2" spans="1:9" x14ac:dyDescent="0.25">
      <c r="A2" s="16">
        <v>42588</v>
      </c>
      <c r="B2" s="1">
        <v>1</v>
      </c>
      <c r="C2" s="21">
        <f>B2</f>
        <v>1</v>
      </c>
    </row>
    <row r="3" spans="1:9" x14ac:dyDescent="0.25">
      <c r="A3" s="16">
        <v>42589</v>
      </c>
      <c r="B3" s="27">
        <v>2</v>
      </c>
      <c r="C3" s="28">
        <f>C2+B3</f>
        <v>3</v>
      </c>
    </row>
    <row r="4" spans="1:9" x14ac:dyDescent="0.25">
      <c r="A4" s="16">
        <v>42590</v>
      </c>
      <c r="B4" s="21">
        <v>3</v>
      </c>
      <c r="C4" s="28">
        <f>C3+B4</f>
        <v>6</v>
      </c>
    </row>
    <row r="5" spans="1:9" x14ac:dyDescent="0.25">
      <c r="A5" s="16">
        <v>42591</v>
      </c>
      <c r="B5" s="27">
        <v>4</v>
      </c>
      <c r="C5" s="28">
        <f>C4+B5</f>
        <v>10</v>
      </c>
    </row>
    <row r="6" spans="1:9" x14ac:dyDescent="0.25">
      <c r="A6" s="16">
        <v>42592</v>
      </c>
      <c r="B6" s="21">
        <v>5</v>
      </c>
      <c r="C6" s="28">
        <f t="shared" ref="C6:C19" si="0">C5+B6</f>
        <v>15</v>
      </c>
      <c r="I6" t="s">
        <v>124</v>
      </c>
    </row>
    <row r="7" spans="1:9" x14ac:dyDescent="0.25">
      <c r="A7" s="16">
        <v>42593</v>
      </c>
      <c r="B7" s="27">
        <v>6</v>
      </c>
      <c r="C7" s="28">
        <f t="shared" si="0"/>
        <v>21</v>
      </c>
      <c r="I7" t="s">
        <v>182</v>
      </c>
    </row>
    <row r="8" spans="1:9" x14ac:dyDescent="0.25">
      <c r="A8" s="16">
        <v>42594</v>
      </c>
      <c r="B8" s="21">
        <v>7</v>
      </c>
      <c r="C8" s="28">
        <f t="shared" si="0"/>
        <v>28</v>
      </c>
      <c r="I8" t="s">
        <v>215</v>
      </c>
    </row>
    <row r="9" spans="1:9" x14ac:dyDescent="0.25">
      <c r="A9" s="16">
        <v>42595</v>
      </c>
      <c r="B9" s="27">
        <v>8</v>
      </c>
      <c r="C9" s="28">
        <f t="shared" si="0"/>
        <v>36</v>
      </c>
    </row>
    <row r="10" spans="1:9" x14ac:dyDescent="0.25">
      <c r="A10" s="16">
        <v>42596</v>
      </c>
      <c r="B10" s="21">
        <v>9</v>
      </c>
      <c r="C10" s="28">
        <f t="shared" si="0"/>
        <v>45</v>
      </c>
    </row>
    <row r="11" spans="1:9" x14ac:dyDescent="0.25">
      <c r="A11" s="16">
        <v>42597</v>
      </c>
      <c r="B11" s="27">
        <v>10</v>
      </c>
      <c r="C11" s="28">
        <f t="shared" si="0"/>
        <v>55</v>
      </c>
    </row>
    <row r="12" spans="1:9" x14ac:dyDescent="0.25">
      <c r="A12" s="16">
        <v>42598</v>
      </c>
      <c r="B12" s="21">
        <v>11</v>
      </c>
      <c r="C12" s="28">
        <f t="shared" si="0"/>
        <v>66</v>
      </c>
    </row>
    <row r="13" spans="1:9" x14ac:dyDescent="0.25">
      <c r="A13" s="16">
        <v>42599</v>
      </c>
      <c r="B13" s="27">
        <v>12</v>
      </c>
      <c r="C13" s="28">
        <f t="shared" si="0"/>
        <v>78</v>
      </c>
    </row>
    <row r="14" spans="1:9" x14ac:dyDescent="0.25">
      <c r="A14" s="16">
        <v>42600</v>
      </c>
      <c r="B14" s="21">
        <v>13</v>
      </c>
      <c r="C14" s="28">
        <f t="shared" si="0"/>
        <v>91</v>
      </c>
    </row>
    <row r="15" spans="1:9" x14ac:dyDescent="0.25">
      <c r="A15" s="16">
        <v>42601</v>
      </c>
      <c r="B15" s="27">
        <v>14</v>
      </c>
      <c r="C15" s="28">
        <f t="shared" si="0"/>
        <v>105</v>
      </c>
    </row>
    <row r="16" spans="1:9" x14ac:dyDescent="0.25">
      <c r="A16" s="16">
        <v>42602</v>
      </c>
      <c r="B16" s="21">
        <v>15</v>
      </c>
      <c r="C16" s="28">
        <f t="shared" si="0"/>
        <v>120</v>
      </c>
    </row>
    <row r="17" spans="1:3" x14ac:dyDescent="0.25">
      <c r="A17" s="16">
        <v>42603</v>
      </c>
      <c r="B17" s="27">
        <v>16</v>
      </c>
      <c r="C17" s="28">
        <f t="shared" si="0"/>
        <v>136</v>
      </c>
    </row>
    <row r="18" spans="1:3" x14ac:dyDescent="0.25">
      <c r="A18" s="16">
        <v>42604</v>
      </c>
      <c r="B18" s="21">
        <v>17</v>
      </c>
      <c r="C18" s="28">
        <f t="shared" si="0"/>
        <v>153</v>
      </c>
    </row>
    <row r="19" spans="1:3" x14ac:dyDescent="0.25">
      <c r="A19" s="16">
        <v>42605</v>
      </c>
      <c r="B19" s="27">
        <v>18</v>
      </c>
      <c r="C19" s="28">
        <f t="shared" si="0"/>
        <v>171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"/>
  <sheetViews>
    <sheetView zoomScale="170" zoomScaleNormal="170" workbookViewId="0">
      <selection activeCell="B2" sqref="B2:B6"/>
    </sheetView>
  </sheetViews>
  <sheetFormatPr defaultRowHeight="15" x14ac:dyDescent="0.25"/>
  <cols>
    <col min="1" max="1" width="17.28515625" customWidth="1"/>
    <col min="2" max="2" width="14" customWidth="1"/>
    <col min="3" max="3" width="13.7109375" bestFit="1" customWidth="1"/>
    <col min="4" max="4" width="13" customWidth="1"/>
  </cols>
  <sheetData>
    <row r="1" spans="1:5" x14ac:dyDescent="0.25">
      <c r="A1" s="35" t="s">
        <v>135</v>
      </c>
      <c r="B1" s="35" t="s">
        <v>136</v>
      </c>
    </row>
    <row r="2" spans="1:5" x14ac:dyDescent="0.25">
      <c r="A2" s="1" t="s">
        <v>149</v>
      </c>
      <c r="B2" s="1">
        <f>Gunjan</f>
        <v>2</v>
      </c>
      <c r="E2" t="s">
        <v>186</v>
      </c>
    </row>
    <row r="3" spans="1:5" x14ac:dyDescent="0.25">
      <c r="A3" s="1" t="s">
        <v>137</v>
      </c>
      <c r="B3" s="21">
        <f>Gunjan</f>
        <v>1550</v>
      </c>
      <c r="E3" t="s">
        <v>187</v>
      </c>
    </row>
    <row r="4" spans="1:5" x14ac:dyDescent="0.25">
      <c r="A4" s="1" t="s">
        <v>138</v>
      </c>
      <c r="B4" s="21">
        <f>Gunjan</f>
        <v>26.6</v>
      </c>
      <c r="E4" t="s">
        <v>188</v>
      </c>
    </row>
    <row r="5" spans="1:5" x14ac:dyDescent="0.25">
      <c r="A5" s="1" t="s">
        <v>139</v>
      </c>
      <c r="B5" s="21">
        <f>Gunjan</f>
        <v>475</v>
      </c>
      <c r="E5" t="s">
        <v>189</v>
      </c>
    </row>
    <row r="6" spans="1:5" x14ac:dyDescent="0.25">
      <c r="A6" s="1" t="s">
        <v>140</v>
      </c>
      <c r="B6" s="21">
        <f>Gunjan</f>
        <v>13.521739130434783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J21"/>
  <sheetViews>
    <sheetView zoomScale="110" zoomScaleNormal="110" workbookViewId="0">
      <selection activeCell="B7" sqref="B7 B11 B17 B21"/>
    </sheetView>
  </sheetViews>
  <sheetFormatPr defaultRowHeight="15" x14ac:dyDescent="0.25"/>
  <cols>
    <col min="2" max="7" width="11.28515625" customWidth="1"/>
    <col min="9" max="9" width="11.140625" customWidth="1"/>
    <col min="10" max="10" width="27.42578125" bestFit="1" customWidth="1"/>
  </cols>
  <sheetData>
    <row r="3" spans="2:10" x14ac:dyDescent="0.25">
      <c r="B3" s="2">
        <v>11</v>
      </c>
    </row>
    <row r="4" spans="2:10" x14ac:dyDescent="0.25">
      <c r="B4" s="2">
        <v>14</v>
      </c>
    </row>
    <row r="5" spans="2:10" x14ac:dyDescent="0.25">
      <c r="B5" s="2">
        <v>10</v>
      </c>
      <c r="I5" s="1" t="s">
        <v>22</v>
      </c>
      <c r="J5" s="1" t="s">
        <v>183</v>
      </c>
    </row>
    <row r="6" spans="2:10" x14ac:dyDescent="0.25">
      <c r="B6" s="2">
        <v>15</v>
      </c>
      <c r="I6" s="1" t="s">
        <v>23</v>
      </c>
      <c r="J6" s="1" t="s">
        <v>198</v>
      </c>
    </row>
    <row r="7" spans="2:10" x14ac:dyDescent="0.25">
      <c r="B7" s="22">
        <f>SUM(B3:B6)</f>
        <v>50</v>
      </c>
      <c r="I7" s="21" t="s">
        <v>141</v>
      </c>
      <c r="J7" t="s">
        <v>213</v>
      </c>
    </row>
    <row r="8" spans="2:10" x14ac:dyDescent="0.25">
      <c r="B8" s="2">
        <v>12</v>
      </c>
      <c r="I8" s="1" t="s">
        <v>142</v>
      </c>
      <c r="J8" s="1" t="s">
        <v>214</v>
      </c>
    </row>
    <row r="9" spans="2:10" x14ac:dyDescent="0.25">
      <c r="B9" s="2">
        <v>18</v>
      </c>
      <c r="I9" s="21" t="s">
        <v>196</v>
      </c>
      <c r="J9" s="21" t="s">
        <v>194</v>
      </c>
    </row>
    <row r="10" spans="2:10" x14ac:dyDescent="0.25">
      <c r="B10" s="2">
        <v>11</v>
      </c>
      <c r="I10" s="1" t="s">
        <v>197</v>
      </c>
      <c r="J10" s="1" t="s">
        <v>195</v>
      </c>
    </row>
    <row r="11" spans="2:10" x14ac:dyDescent="0.25">
      <c r="B11" s="22">
        <f>SUM(B8:B10)</f>
        <v>41</v>
      </c>
    </row>
    <row r="12" spans="2:10" x14ac:dyDescent="0.25">
      <c r="B12" s="2">
        <v>19</v>
      </c>
    </row>
    <row r="13" spans="2:10" x14ac:dyDescent="0.25">
      <c r="B13" s="2">
        <v>16</v>
      </c>
    </row>
    <row r="14" spans="2:10" x14ac:dyDescent="0.25">
      <c r="B14" s="2">
        <v>10</v>
      </c>
    </row>
    <row r="15" spans="2:10" x14ac:dyDescent="0.25">
      <c r="B15" s="2">
        <v>15</v>
      </c>
    </row>
    <row r="16" spans="2:10" x14ac:dyDescent="0.25">
      <c r="B16" s="2">
        <v>15</v>
      </c>
    </row>
    <row r="17" spans="2:2" x14ac:dyDescent="0.25">
      <c r="B17" s="22">
        <f>SUM(B12:B16)</f>
        <v>75</v>
      </c>
    </row>
    <row r="18" spans="2:2" x14ac:dyDescent="0.25">
      <c r="B18" s="2">
        <v>12</v>
      </c>
    </row>
    <row r="19" spans="2:2" x14ac:dyDescent="0.25">
      <c r="B19" s="2">
        <v>12</v>
      </c>
    </row>
    <row r="20" spans="2:2" x14ac:dyDescent="0.25">
      <c r="B20" s="2">
        <v>13</v>
      </c>
    </row>
    <row r="21" spans="2:2" x14ac:dyDescent="0.25">
      <c r="B21" s="22">
        <f>SUM(B18:B20)</f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D4:I10"/>
  <sheetViews>
    <sheetView zoomScale="160" zoomScaleNormal="160" workbookViewId="0">
      <selection activeCell="G7" sqref="G7"/>
    </sheetView>
  </sheetViews>
  <sheetFormatPr defaultRowHeight="15" x14ac:dyDescent="0.25"/>
  <sheetData>
    <row r="4" spans="4:9" x14ac:dyDescent="0.25">
      <c r="D4" s="1">
        <v>49</v>
      </c>
      <c r="E4" s="1">
        <v>81</v>
      </c>
      <c r="F4" s="1">
        <v>32</v>
      </c>
      <c r="G4" s="1">
        <v>40</v>
      </c>
      <c r="H4" s="1">
        <v>48</v>
      </c>
      <c r="I4" s="1">
        <v>62</v>
      </c>
    </row>
    <row r="5" spans="4:9" x14ac:dyDescent="0.25">
      <c r="D5" s="1">
        <v>17</v>
      </c>
      <c r="E5" s="1">
        <v>17</v>
      </c>
      <c r="F5" s="1">
        <v>49</v>
      </c>
      <c r="G5" s="1">
        <v>57</v>
      </c>
      <c r="H5" s="1">
        <v>42</v>
      </c>
      <c r="I5" s="1">
        <v>35</v>
      </c>
    </row>
    <row r="6" spans="4:9" x14ac:dyDescent="0.25">
      <c r="D6" s="1">
        <v>54</v>
      </c>
      <c r="E6" s="1">
        <v>46</v>
      </c>
      <c r="F6" s="1">
        <v>45</v>
      </c>
      <c r="G6" s="1">
        <v>66</v>
      </c>
      <c r="H6" s="1">
        <v>69</v>
      </c>
      <c r="I6" s="1">
        <v>24</v>
      </c>
    </row>
    <row r="7" spans="4:9" x14ac:dyDescent="0.25">
      <c r="D7" s="1">
        <v>72</v>
      </c>
      <c r="E7" s="1">
        <v>52</v>
      </c>
      <c r="F7" s="1">
        <v>55</v>
      </c>
      <c r="G7" s="19">
        <f ca="1">SUM(D4:I10)</f>
        <v>2220</v>
      </c>
      <c r="H7" s="1">
        <v>22</v>
      </c>
      <c r="I7" s="1">
        <v>64</v>
      </c>
    </row>
    <row r="8" spans="4:9" x14ac:dyDescent="0.25">
      <c r="D8" s="1">
        <v>16</v>
      </c>
      <c r="E8" s="1">
        <v>28</v>
      </c>
      <c r="F8" s="1">
        <v>45</v>
      </c>
      <c r="G8" s="1">
        <v>27</v>
      </c>
      <c r="H8" s="1">
        <v>95</v>
      </c>
      <c r="I8" s="1">
        <v>97</v>
      </c>
    </row>
    <row r="9" spans="4:9" x14ac:dyDescent="0.25">
      <c r="D9" s="1">
        <v>88</v>
      </c>
      <c r="E9" s="1">
        <v>48</v>
      </c>
      <c r="F9" s="1">
        <v>81</v>
      </c>
      <c r="G9" s="1">
        <v>75</v>
      </c>
      <c r="H9" s="1">
        <v>55</v>
      </c>
      <c r="I9" s="1">
        <v>61</v>
      </c>
    </row>
    <row r="10" spans="4:9" x14ac:dyDescent="0.25">
      <c r="D10" s="1">
        <v>42</v>
      </c>
      <c r="E10" s="1">
        <v>95</v>
      </c>
      <c r="F10" s="1">
        <v>96</v>
      </c>
      <c r="G10" s="1">
        <v>42</v>
      </c>
      <c r="H10" s="1">
        <v>85</v>
      </c>
      <c r="I10" s="1">
        <v>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I12"/>
  <sheetViews>
    <sheetView zoomScale="160" zoomScaleNormal="160" workbookViewId="0">
      <selection activeCell="I10" sqref="I10"/>
    </sheetView>
  </sheetViews>
  <sheetFormatPr defaultRowHeight="15" x14ac:dyDescent="0.25"/>
  <cols>
    <col min="7" max="7" width="11.85546875" customWidth="1"/>
    <col min="9" max="9" width="13.28515625" customWidth="1"/>
  </cols>
  <sheetData>
    <row r="3" spans="3:9" x14ac:dyDescent="0.25">
      <c r="C3">
        <v>10</v>
      </c>
      <c r="E3">
        <v>10</v>
      </c>
      <c r="G3">
        <v>10</v>
      </c>
      <c r="I3">
        <v>10</v>
      </c>
    </row>
    <row r="4" spans="3:9" x14ac:dyDescent="0.25">
      <c r="C4">
        <v>-20</v>
      </c>
      <c r="E4">
        <v>-20</v>
      </c>
      <c r="G4">
        <v>-20</v>
      </c>
      <c r="I4">
        <v>-20</v>
      </c>
    </row>
    <row r="5" spans="3:9" x14ac:dyDescent="0.25">
      <c r="C5">
        <v>30</v>
      </c>
      <c r="E5">
        <v>30</v>
      </c>
      <c r="G5">
        <v>30</v>
      </c>
      <c r="I5">
        <v>30</v>
      </c>
    </row>
    <row r="6" spans="3:9" x14ac:dyDescent="0.25">
      <c r="C6">
        <v>-10</v>
      </c>
      <c r="E6">
        <v>-10</v>
      </c>
      <c r="G6">
        <v>-10</v>
      </c>
      <c r="I6">
        <v>-10</v>
      </c>
    </row>
    <row r="7" spans="3:9" x14ac:dyDescent="0.25">
      <c r="C7">
        <v>20</v>
      </c>
      <c r="E7">
        <v>20</v>
      </c>
      <c r="G7">
        <v>20</v>
      </c>
      <c r="I7">
        <v>20</v>
      </c>
    </row>
    <row r="9" spans="3:9" x14ac:dyDescent="0.25">
      <c r="C9" s="20">
        <f>SUM(C3:C7)</f>
        <v>30</v>
      </c>
      <c r="E9" s="20">
        <f t="array" ref="E9">SUM(ABS(E3:E7))</f>
        <v>90</v>
      </c>
      <c r="G9" s="20">
        <f>SUMIF(G3:G7,"&gt;0")</f>
        <v>60</v>
      </c>
      <c r="I9" s="20">
        <f>SUMIF(I3:I7,"&lt;0")</f>
        <v>-30</v>
      </c>
    </row>
    <row r="10" spans="3:9" x14ac:dyDescent="0.25">
      <c r="C10" t="s">
        <v>184</v>
      </c>
      <c r="E10" t="s">
        <v>147</v>
      </c>
      <c r="G10" t="s">
        <v>199</v>
      </c>
      <c r="I10" t="s">
        <v>200</v>
      </c>
    </row>
    <row r="12" spans="3:9" x14ac:dyDescent="0.25">
      <c r="E12" t="s">
        <v>185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H17"/>
  <sheetViews>
    <sheetView zoomScale="140" zoomScaleNormal="140" workbookViewId="0">
      <selection activeCell="G12" sqref="G12"/>
    </sheetView>
  </sheetViews>
  <sheetFormatPr defaultRowHeight="15" x14ac:dyDescent="0.25"/>
  <sheetData>
    <row r="2" spans="4:8" x14ac:dyDescent="0.25">
      <c r="D2" s="2">
        <v>43</v>
      </c>
    </row>
    <row r="3" spans="4:8" x14ac:dyDescent="0.25">
      <c r="D3" s="2">
        <v>35</v>
      </c>
    </row>
    <row r="4" spans="4:8" x14ac:dyDescent="0.25">
      <c r="D4" s="2">
        <v>345</v>
      </c>
    </row>
    <row r="5" spans="4:8" x14ac:dyDescent="0.25">
      <c r="D5" s="2">
        <v>345</v>
      </c>
    </row>
    <row r="6" spans="4:8" x14ac:dyDescent="0.25">
      <c r="D6" s="2" t="e">
        <v>#N/A</v>
      </c>
    </row>
    <row r="7" spans="4:8" x14ac:dyDescent="0.25">
      <c r="D7" s="2">
        <v>345</v>
      </c>
    </row>
    <row r="8" spans="4:8" x14ac:dyDescent="0.25">
      <c r="D8" s="2">
        <v>345</v>
      </c>
    </row>
    <row r="9" spans="4:8" x14ac:dyDescent="0.25">
      <c r="D9" s="2" t="e">
        <v>#REF!</v>
      </c>
      <c r="H9" t="e">
        <f>SUM(D2:D17)</f>
        <v>#N/A</v>
      </c>
    </row>
    <row r="10" spans="4:8" x14ac:dyDescent="0.25">
      <c r="D10" s="2" t="e">
        <v>#VALUE!</v>
      </c>
    </row>
    <row r="11" spans="4:8" x14ac:dyDescent="0.25">
      <c r="D11" s="2" t="e">
        <v>#NAME?</v>
      </c>
      <c r="G11">
        <f>SUMIF(D2:D17,"&gt;0")</f>
        <v>2838</v>
      </c>
    </row>
    <row r="12" spans="4:8" x14ac:dyDescent="0.25">
      <c r="D12" s="2" t="e">
        <v>#DIV/0!</v>
      </c>
    </row>
    <row r="13" spans="4:8" x14ac:dyDescent="0.25">
      <c r="D13" s="2">
        <v>345</v>
      </c>
    </row>
    <row r="14" spans="4:8" x14ac:dyDescent="0.25">
      <c r="D14" s="2">
        <v>345</v>
      </c>
    </row>
    <row r="15" spans="4:8" x14ac:dyDescent="0.25">
      <c r="D15" s="2">
        <v>345</v>
      </c>
    </row>
    <row r="16" spans="4:8" x14ac:dyDescent="0.25">
      <c r="D16" s="2">
        <v>345</v>
      </c>
    </row>
    <row r="17" spans="4:4" x14ac:dyDescent="0.25">
      <c r="D17" s="2" t="e">
        <v>#VALUE!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3:K9"/>
  <sheetViews>
    <sheetView zoomScale="150" zoomScaleNormal="150" workbookViewId="0">
      <selection activeCell="C4" sqref="C4:C9"/>
    </sheetView>
  </sheetViews>
  <sheetFormatPr defaultRowHeight="15" x14ac:dyDescent="0.25"/>
  <cols>
    <col min="1" max="1" width="11" customWidth="1"/>
    <col min="2" max="2" width="11.5703125" customWidth="1"/>
    <col min="3" max="3" width="12.42578125" bestFit="1" customWidth="1"/>
  </cols>
  <sheetData>
    <row r="3" spans="1:11" x14ac:dyDescent="0.25">
      <c r="A3" s="29" t="s">
        <v>150</v>
      </c>
      <c r="B3" s="29" t="s">
        <v>151</v>
      </c>
      <c r="C3" s="30" t="s">
        <v>152</v>
      </c>
    </row>
    <row r="4" spans="1:11" x14ac:dyDescent="0.25">
      <c r="A4" s="2">
        <v>2</v>
      </c>
      <c r="B4" s="2">
        <v>3</v>
      </c>
      <c r="C4" s="21">
        <f>SUMSQ(A4,B4)</f>
        <v>13</v>
      </c>
      <c r="K4" s="26" t="s">
        <v>153</v>
      </c>
    </row>
    <row r="5" spans="1:11" x14ac:dyDescent="0.25">
      <c r="A5" s="2">
        <v>3</v>
      </c>
      <c r="B5" s="2">
        <v>4</v>
      </c>
      <c r="C5" s="21">
        <f t="shared" ref="C5:C9" si="0">SUMSQ(A5,B5)</f>
        <v>25</v>
      </c>
    </row>
    <row r="6" spans="1:11" x14ac:dyDescent="0.25">
      <c r="A6" s="2">
        <v>4</v>
      </c>
      <c r="B6" s="2">
        <v>2</v>
      </c>
      <c r="C6" s="21">
        <f t="shared" si="0"/>
        <v>20</v>
      </c>
    </row>
    <row r="7" spans="1:11" x14ac:dyDescent="0.25">
      <c r="A7" s="2">
        <v>5</v>
      </c>
      <c r="B7" s="2">
        <v>9</v>
      </c>
      <c r="C7" s="21">
        <f t="shared" si="0"/>
        <v>106</v>
      </c>
    </row>
    <row r="8" spans="1:11" x14ac:dyDescent="0.25">
      <c r="A8" s="2">
        <v>6</v>
      </c>
      <c r="B8" s="2">
        <v>4</v>
      </c>
      <c r="C8" s="21">
        <f t="shared" si="0"/>
        <v>52</v>
      </c>
    </row>
    <row r="9" spans="1:11" x14ac:dyDescent="0.25">
      <c r="A9" s="2">
        <v>7</v>
      </c>
      <c r="B9" s="2">
        <v>8</v>
      </c>
      <c r="C9" s="21">
        <f t="shared" si="0"/>
        <v>113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3:I9"/>
  <sheetViews>
    <sheetView zoomScale="150" zoomScaleNormal="150" workbookViewId="0">
      <selection activeCell="F7" sqref="F7"/>
    </sheetView>
  </sheetViews>
  <sheetFormatPr defaultRowHeight="15" x14ac:dyDescent="0.25"/>
  <cols>
    <col min="1" max="2" width="10.28515625" customWidth="1"/>
    <col min="3" max="3" width="15.7109375" customWidth="1"/>
  </cols>
  <sheetData>
    <row r="3" spans="1:9" x14ac:dyDescent="0.25">
      <c r="A3" s="29" t="s">
        <v>150</v>
      </c>
      <c r="B3" s="29" t="s">
        <v>151</v>
      </c>
      <c r="C3" s="30" t="s">
        <v>154</v>
      </c>
    </row>
    <row r="4" spans="1:9" x14ac:dyDescent="0.25">
      <c r="A4" s="2">
        <v>2</v>
      </c>
      <c r="B4" s="2">
        <v>3</v>
      </c>
      <c r="C4" s="21">
        <f>SUMX2MY2(A4,B4)</f>
        <v>-5</v>
      </c>
      <c r="F4" t="s">
        <v>216</v>
      </c>
      <c r="I4" s="26" t="s">
        <v>155</v>
      </c>
    </row>
    <row r="5" spans="1:9" x14ac:dyDescent="0.25">
      <c r="A5" s="2">
        <v>3</v>
      </c>
      <c r="B5" s="2">
        <v>4</v>
      </c>
      <c r="C5" s="21">
        <f t="shared" ref="C5:C9" si="0">SUMX2MY2(A5,B5)</f>
        <v>-7</v>
      </c>
      <c r="F5" t="s">
        <v>217</v>
      </c>
    </row>
    <row r="6" spans="1:9" x14ac:dyDescent="0.25">
      <c r="A6" s="2">
        <v>4</v>
      </c>
      <c r="B6" s="2">
        <v>2</v>
      </c>
      <c r="C6" s="21">
        <f t="shared" si="0"/>
        <v>12</v>
      </c>
      <c r="F6" t="s">
        <v>218</v>
      </c>
    </row>
    <row r="7" spans="1:9" x14ac:dyDescent="0.25">
      <c r="A7" s="2">
        <v>5</v>
      </c>
      <c r="B7" s="2">
        <v>9</v>
      </c>
      <c r="C7" s="21">
        <f t="shared" si="0"/>
        <v>-56</v>
      </c>
    </row>
    <row r="8" spans="1:9" x14ac:dyDescent="0.25">
      <c r="A8" s="2">
        <v>6</v>
      </c>
      <c r="B8" s="2">
        <v>4</v>
      </c>
      <c r="C8" s="21">
        <f t="shared" si="0"/>
        <v>20</v>
      </c>
    </row>
    <row r="9" spans="1:9" x14ac:dyDescent="0.25">
      <c r="A9" s="2">
        <v>7</v>
      </c>
      <c r="B9" s="2">
        <v>8</v>
      </c>
      <c r="C9" s="21">
        <f t="shared" si="0"/>
        <v>-15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3:G9"/>
  <sheetViews>
    <sheetView zoomScale="160" zoomScaleNormal="160" workbookViewId="0">
      <selection activeCell="C4" sqref="C4:C9"/>
    </sheetView>
  </sheetViews>
  <sheetFormatPr defaultRowHeight="15" x14ac:dyDescent="0.25"/>
  <cols>
    <col min="3" max="3" width="11.42578125" bestFit="1" customWidth="1"/>
  </cols>
  <sheetData>
    <row r="3" spans="1:7" x14ac:dyDescent="0.25">
      <c r="A3" s="29" t="s">
        <v>150</v>
      </c>
      <c r="B3" s="29" t="s">
        <v>151</v>
      </c>
      <c r="C3" s="30" t="s">
        <v>156</v>
      </c>
    </row>
    <row r="4" spans="1:7" x14ac:dyDescent="0.25">
      <c r="A4" s="2">
        <v>2</v>
      </c>
      <c r="B4" s="2">
        <v>3</v>
      </c>
      <c r="C4" s="21">
        <f>SUMX2PY2(A4,B4)</f>
        <v>13</v>
      </c>
      <c r="G4" s="26" t="s">
        <v>158</v>
      </c>
    </row>
    <row r="5" spans="1:7" x14ac:dyDescent="0.25">
      <c r="A5" s="2">
        <v>3</v>
      </c>
      <c r="B5" s="2">
        <v>4</v>
      </c>
      <c r="C5" s="21">
        <f t="shared" ref="C5:C9" si="0">SUMX2PY2(A5,B5)</f>
        <v>25</v>
      </c>
    </row>
    <row r="6" spans="1:7" x14ac:dyDescent="0.25">
      <c r="A6" s="2">
        <v>4</v>
      </c>
      <c r="B6" s="2">
        <v>2</v>
      </c>
      <c r="C6" s="21">
        <f t="shared" si="0"/>
        <v>20</v>
      </c>
    </row>
    <row r="7" spans="1:7" x14ac:dyDescent="0.25">
      <c r="A7" s="2">
        <v>5</v>
      </c>
      <c r="B7" s="2">
        <v>9</v>
      </c>
      <c r="C7" s="21">
        <f t="shared" si="0"/>
        <v>106</v>
      </c>
    </row>
    <row r="8" spans="1:7" x14ac:dyDescent="0.25">
      <c r="A8" s="2">
        <v>6</v>
      </c>
      <c r="B8" s="2">
        <v>4</v>
      </c>
      <c r="C8" s="21">
        <f t="shared" si="0"/>
        <v>52</v>
      </c>
    </row>
    <row r="9" spans="1:7" x14ac:dyDescent="0.25">
      <c r="A9" s="2">
        <v>7</v>
      </c>
      <c r="B9" s="2">
        <v>8</v>
      </c>
      <c r="C9" s="21">
        <f t="shared" si="0"/>
        <v>113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3:S12"/>
  <sheetViews>
    <sheetView zoomScale="145" zoomScaleNormal="145" workbookViewId="0">
      <selection activeCell="E4" sqref="E4:E9"/>
    </sheetView>
  </sheetViews>
  <sheetFormatPr defaultRowHeight="15" x14ac:dyDescent="0.25"/>
  <cols>
    <col min="5" max="5" width="10.85546875" customWidth="1"/>
  </cols>
  <sheetData>
    <row r="3" spans="1:19" x14ac:dyDescent="0.25">
      <c r="A3" s="54" t="s">
        <v>150</v>
      </c>
      <c r="B3" s="55"/>
      <c r="C3" s="54" t="s">
        <v>151</v>
      </c>
      <c r="D3" s="55"/>
      <c r="E3" s="30" t="s">
        <v>157</v>
      </c>
    </row>
    <row r="4" spans="1:19" x14ac:dyDescent="0.25">
      <c r="A4" s="31">
        <v>2</v>
      </c>
      <c r="B4" s="31">
        <v>3</v>
      </c>
      <c r="C4" s="32">
        <v>3</v>
      </c>
      <c r="D4" s="32">
        <v>7</v>
      </c>
      <c r="E4" s="21">
        <f>SUMXMY2(A4:B4,C4:D4)</f>
        <v>17</v>
      </c>
      <c r="H4" s="31">
        <v>2</v>
      </c>
      <c r="I4" s="31">
        <v>3</v>
      </c>
      <c r="J4" s="32">
        <v>3</v>
      </c>
      <c r="K4" s="32">
        <v>7</v>
      </c>
      <c r="P4" s="33">
        <v>2</v>
      </c>
      <c r="Q4" s="33">
        <v>3</v>
      </c>
      <c r="R4" s="34">
        <v>3</v>
      </c>
      <c r="S4" s="34">
        <v>7</v>
      </c>
    </row>
    <row r="5" spans="1:19" x14ac:dyDescent="0.25">
      <c r="A5" s="31">
        <v>3</v>
      </c>
      <c r="B5" s="31">
        <v>7</v>
      </c>
      <c r="C5" s="32">
        <v>4</v>
      </c>
      <c r="D5" s="32">
        <v>8</v>
      </c>
      <c r="E5" s="21">
        <f t="shared" ref="E5:E9" si="0">SUMXMY2(A5:B5,C5:D5)</f>
        <v>2</v>
      </c>
    </row>
    <row r="6" spans="1:19" x14ac:dyDescent="0.25">
      <c r="A6" s="31">
        <v>4</v>
      </c>
      <c r="B6" s="31">
        <v>5</v>
      </c>
      <c r="C6" s="32">
        <v>2</v>
      </c>
      <c r="D6" s="32">
        <v>5</v>
      </c>
      <c r="E6" s="21">
        <f t="shared" si="0"/>
        <v>4</v>
      </c>
      <c r="H6" s="31">
        <v>2</v>
      </c>
      <c r="I6" s="32">
        <v>3</v>
      </c>
      <c r="J6" s="31">
        <v>3</v>
      </c>
      <c r="K6" s="32">
        <v>7</v>
      </c>
      <c r="P6" s="33">
        <v>2</v>
      </c>
      <c r="Q6" s="34">
        <v>3</v>
      </c>
      <c r="R6" s="33">
        <v>3</v>
      </c>
      <c r="S6" s="34">
        <v>7</v>
      </c>
    </row>
    <row r="7" spans="1:19" x14ac:dyDescent="0.25">
      <c r="A7" s="31">
        <v>5</v>
      </c>
      <c r="B7" s="31">
        <v>2</v>
      </c>
      <c r="C7" s="32">
        <v>9</v>
      </c>
      <c r="D7" s="32">
        <v>3</v>
      </c>
      <c r="E7" s="21">
        <f t="shared" si="0"/>
        <v>17</v>
      </c>
    </row>
    <row r="8" spans="1:19" x14ac:dyDescent="0.25">
      <c r="A8" s="31">
        <v>6</v>
      </c>
      <c r="B8" s="31">
        <v>1</v>
      </c>
      <c r="C8" s="32">
        <v>4</v>
      </c>
      <c r="D8" s="32">
        <v>2</v>
      </c>
      <c r="E8" s="21">
        <f t="shared" si="0"/>
        <v>5</v>
      </c>
      <c r="H8" t="s">
        <v>190</v>
      </c>
      <c r="J8" t="s">
        <v>178</v>
      </c>
      <c r="P8" s="14" t="s">
        <v>163</v>
      </c>
      <c r="S8" s="14" t="s">
        <v>162</v>
      </c>
    </row>
    <row r="9" spans="1:19" x14ac:dyDescent="0.25">
      <c r="A9" s="31">
        <v>7</v>
      </c>
      <c r="B9" s="31">
        <v>6</v>
      </c>
      <c r="C9" s="32">
        <v>8</v>
      </c>
      <c r="D9" s="32">
        <v>1</v>
      </c>
      <c r="E9" s="21">
        <f t="shared" si="0"/>
        <v>26</v>
      </c>
      <c r="Q9" t="s">
        <v>160</v>
      </c>
      <c r="R9" t="s">
        <v>161</v>
      </c>
    </row>
    <row r="10" spans="1:19" x14ac:dyDescent="0.25">
      <c r="H10" t="s">
        <v>170</v>
      </c>
      <c r="J10" t="s">
        <v>169</v>
      </c>
    </row>
    <row r="11" spans="1:19" x14ac:dyDescent="0.25">
      <c r="Q11" s="56" t="s">
        <v>159</v>
      </c>
      <c r="R11" s="56"/>
    </row>
    <row r="12" spans="1:19" x14ac:dyDescent="0.25">
      <c r="I12" t="s">
        <v>171</v>
      </c>
    </row>
  </sheetData>
  <mergeCells count="3">
    <mergeCell ref="A3:B3"/>
    <mergeCell ref="C3:D3"/>
    <mergeCell ref="Q11:R11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97"/>
  <sheetViews>
    <sheetView tabSelected="1" zoomScale="130" zoomScaleNormal="130" workbookViewId="0">
      <selection activeCell="G2" sqref="G2:M7"/>
    </sheetView>
  </sheetViews>
  <sheetFormatPr defaultRowHeight="15" x14ac:dyDescent="0.25"/>
  <cols>
    <col min="1" max="4" width="11.85546875" style="38" customWidth="1"/>
    <col min="6" max="6" width="11.85546875" style="38" customWidth="1"/>
    <col min="10" max="10" width="11.85546875" style="38" customWidth="1"/>
  </cols>
  <sheetData>
    <row r="1" spans="1:13" x14ac:dyDescent="0.25">
      <c r="A1" s="36" t="s">
        <v>206</v>
      </c>
      <c r="B1" s="36" t="s">
        <v>109</v>
      </c>
      <c r="C1" s="36" t="s">
        <v>0</v>
      </c>
      <c r="D1" s="36" t="s">
        <v>111</v>
      </c>
      <c r="F1" s="36" t="s">
        <v>206</v>
      </c>
      <c r="G1" s="36" t="s">
        <v>173</v>
      </c>
      <c r="H1" s="36" t="s">
        <v>177</v>
      </c>
      <c r="I1" s="36" t="s">
        <v>126</v>
      </c>
      <c r="J1" s="36" t="s">
        <v>175</v>
      </c>
      <c r="K1" s="36" t="s">
        <v>176</v>
      </c>
      <c r="L1" s="36" t="s">
        <v>133</v>
      </c>
      <c r="M1" s="36" t="s">
        <v>174</v>
      </c>
    </row>
    <row r="2" spans="1:13" x14ac:dyDescent="0.25">
      <c r="A2" s="37" t="s">
        <v>207</v>
      </c>
      <c r="B2" s="37" t="s">
        <v>173</v>
      </c>
      <c r="C2" s="37" t="s">
        <v>201</v>
      </c>
      <c r="D2" s="37">
        <v>9209</v>
      </c>
      <c r="F2" s="37" t="s">
        <v>207</v>
      </c>
      <c r="G2" s="43">
        <f>SUMIFS($D:$D,$A:$A,$F2,$B:$B,G$1,$C:$C,"Car")</f>
        <v>16403</v>
      </c>
      <c r="H2" s="43">
        <f t="shared" ref="H2:M2" si="0">SUMIFS($D:$D,$A:$A,$F2,$B:$B,H$1,$C:$C,"Car")</f>
        <v>23589</v>
      </c>
      <c r="I2" s="43">
        <f t="shared" si="0"/>
        <v>0</v>
      </c>
      <c r="J2" s="43">
        <f t="shared" si="0"/>
        <v>0</v>
      </c>
      <c r="K2" s="43">
        <f t="shared" si="0"/>
        <v>0</v>
      </c>
      <c r="L2" s="43">
        <f t="shared" si="0"/>
        <v>26480</v>
      </c>
      <c r="M2" s="43">
        <f t="shared" si="0"/>
        <v>85086</v>
      </c>
    </row>
    <row r="3" spans="1:13" x14ac:dyDescent="0.25">
      <c r="A3" s="37" t="s">
        <v>207</v>
      </c>
      <c r="B3" s="37" t="s">
        <v>173</v>
      </c>
      <c r="C3" s="37" t="s">
        <v>202</v>
      </c>
      <c r="D3" s="37">
        <v>3079</v>
      </c>
      <c r="F3" s="37" t="s">
        <v>211</v>
      </c>
      <c r="G3" s="43">
        <f t="shared" ref="G3:M7" si="1">SUMIFS($D:$D,$A:$A,$F3,$B:$B,G$1,$C:$C,"Car")</f>
        <v>2359</v>
      </c>
      <c r="H3" s="43">
        <f t="shared" si="1"/>
        <v>12241</v>
      </c>
      <c r="I3" s="43">
        <f t="shared" si="1"/>
        <v>0</v>
      </c>
      <c r="J3" s="43">
        <f t="shared" si="1"/>
        <v>20877</v>
      </c>
      <c r="K3" s="43">
        <f t="shared" si="1"/>
        <v>9342</v>
      </c>
      <c r="L3" s="43">
        <f t="shared" si="1"/>
        <v>33550</v>
      </c>
      <c r="M3" s="43">
        <f t="shared" si="1"/>
        <v>113928</v>
      </c>
    </row>
    <row r="4" spans="1:13" x14ac:dyDescent="0.25">
      <c r="A4" s="37" t="s">
        <v>207</v>
      </c>
      <c r="B4" s="37" t="s">
        <v>173</v>
      </c>
      <c r="C4" s="37" t="s">
        <v>203</v>
      </c>
      <c r="D4" s="37">
        <v>2298</v>
      </c>
      <c r="F4" s="37" t="s">
        <v>208</v>
      </c>
      <c r="G4" s="43">
        <f t="shared" si="1"/>
        <v>0</v>
      </c>
      <c r="H4" s="43">
        <f t="shared" si="1"/>
        <v>20977</v>
      </c>
      <c r="I4" s="43">
        <f t="shared" si="1"/>
        <v>0</v>
      </c>
      <c r="J4" s="43">
        <f t="shared" si="1"/>
        <v>0</v>
      </c>
      <c r="K4" s="43">
        <f t="shared" si="1"/>
        <v>9464</v>
      </c>
      <c r="L4" s="43">
        <f t="shared" si="1"/>
        <v>16683</v>
      </c>
      <c r="M4" s="43">
        <f t="shared" si="1"/>
        <v>111048</v>
      </c>
    </row>
    <row r="5" spans="1:13" x14ac:dyDescent="0.25">
      <c r="A5" s="37" t="s">
        <v>207</v>
      </c>
      <c r="B5" s="37" t="s">
        <v>177</v>
      </c>
      <c r="C5" s="37" t="s">
        <v>204</v>
      </c>
      <c r="D5" s="37">
        <v>5320</v>
      </c>
      <c r="F5" s="37" t="s">
        <v>209</v>
      </c>
      <c r="G5" s="43">
        <f t="shared" si="1"/>
        <v>0</v>
      </c>
      <c r="H5" s="43">
        <f t="shared" si="1"/>
        <v>20853</v>
      </c>
      <c r="I5" s="43">
        <f t="shared" si="1"/>
        <v>0</v>
      </c>
      <c r="J5" s="43">
        <f t="shared" si="1"/>
        <v>0</v>
      </c>
      <c r="K5" s="43">
        <f t="shared" si="1"/>
        <v>31600</v>
      </c>
      <c r="L5" s="43">
        <f t="shared" si="1"/>
        <v>37884</v>
      </c>
      <c r="M5" s="43">
        <f t="shared" si="1"/>
        <v>97159</v>
      </c>
    </row>
    <row r="6" spans="1:13" x14ac:dyDescent="0.25">
      <c r="A6" s="37" t="s">
        <v>207</v>
      </c>
      <c r="B6" s="37" t="s">
        <v>177</v>
      </c>
      <c r="C6" s="37" t="s">
        <v>205</v>
      </c>
      <c r="D6" s="37">
        <v>9971</v>
      </c>
      <c r="F6" s="37" t="s">
        <v>210</v>
      </c>
      <c r="G6" s="43">
        <f t="shared" si="1"/>
        <v>0</v>
      </c>
      <c r="H6" s="43">
        <f t="shared" si="1"/>
        <v>13805</v>
      </c>
      <c r="I6" s="43">
        <f t="shared" si="1"/>
        <v>0</v>
      </c>
      <c r="J6" s="43">
        <f t="shared" si="1"/>
        <v>0</v>
      </c>
      <c r="K6" s="43">
        <f t="shared" si="1"/>
        <v>0</v>
      </c>
      <c r="L6" s="43">
        <f t="shared" si="1"/>
        <v>25521</v>
      </c>
      <c r="M6" s="43">
        <f t="shared" si="1"/>
        <v>89424</v>
      </c>
    </row>
    <row r="7" spans="1:13" x14ac:dyDescent="0.25">
      <c r="A7" s="37" t="s">
        <v>207</v>
      </c>
      <c r="B7" s="37" t="s">
        <v>173</v>
      </c>
      <c r="C7" s="37" t="s">
        <v>201</v>
      </c>
      <c r="D7" s="37">
        <v>5118</v>
      </c>
      <c r="F7" s="37" t="s">
        <v>212</v>
      </c>
      <c r="G7" s="43">
        <f t="shared" si="1"/>
        <v>0</v>
      </c>
      <c r="H7" s="43">
        <f t="shared" si="1"/>
        <v>122206</v>
      </c>
      <c r="I7" s="43">
        <f t="shared" si="1"/>
        <v>0</v>
      </c>
      <c r="J7" s="43">
        <f t="shared" si="1"/>
        <v>0</v>
      </c>
      <c r="K7" s="43">
        <f t="shared" si="1"/>
        <v>0</v>
      </c>
      <c r="L7" s="43">
        <f t="shared" si="1"/>
        <v>0</v>
      </c>
      <c r="M7" s="43">
        <f t="shared" si="1"/>
        <v>14755</v>
      </c>
    </row>
    <row r="8" spans="1:13" x14ac:dyDescent="0.25">
      <c r="A8" s="37" t="s">
        <v>207</v>
      </c>
      <c r="B8" s="37" t="s">
        <v>173</v>
      </c>
      <c r="C8" s="37" t="s">
        <v>202</v>
      </c>
      <c r="D8" s="37">
        <v>2082</v>
      </c>
      <c r="F8"/>
      <c r="J8"/>
    </row>
    <row r="9" spans="1:13" x14ac:dyDescent="0.25">
      <c r="A9" s="37" t="s">
        <v>207</v>
      </c>
      <c r="B9" s="37" t="s">
        <v>173</v>
      </c>
      <c r="C9" s="37" t="s">
        <v>203</v>
      </c>
      <c r="D9" s="37">
        <v>2743</v>
      </c>
      <c r="F9"/>
      <c r="J9"/>
    </row>
    <row r="10" spans="1:13" x14ac:dyDescent="0.25">
      <c r="A10" s="37" t="s">
        <v>207</v>
      </c>
      <c r="B10" s="37" t="s">
        <v>173</v>
      </c>
      <c r="C10" s="37" t="s">
        <v>204</v>
      </c>
      <c r="D10" s="37">
        <v>5062</v>
      </c>
      <c r="F10"/>
      <c r="J10"/>
    </row>
    <row r="11" spans="1:13" x14ac:dyDescent="0.25">
      <c r="A11" s="37" t="s">
        <v>207</v>
      </c>
      <c r="B11" s="37" t="s">
        <v>173</v>
      </c>
      <c r="C11" s="37" t="s">
        <v>201</v>
      </c>
      <c r="D11" s="37">
        <v>5654</v>
      </c>
      <c r="F11"/>
      <c r="G11" s="57"/>
      <c r="H11" s="57" t="s">
        <v>220</v>
      </c>
      <c r="I11" s="57"/>
      <c r="J11" s="57"/>
      <c r="K11" s="57"/>
      <c r="L11" s="57"/>
    </row>
    <row r="12" spans="1:13" x14ac:dyDescent="0.25">
      <c r="A12" s="37" t="s">
        <v>207</v>
      </c>
      <c r="B12" s="37" t="s">
        <v>173</v>
      </c>
      <c r="C12" s="37" t="s">
        <v>202</v>
      </c>
      <c r="D12" s="37">
        <v>6116</v>
      </c>
      <c r="F12" s="57" t="s">
        <v>219</v>
      </c>
      <c r="J12"/>
    </row>
    <row r="13" spans="1:13" x14ac:dyDescent="0.25">
      <c r="A13" s="37" t="s">
        <v>207</v>
      </c>
      <c r="B13" s="37" t="s">
        <v>173</v>
      </c>
      <c r="C13" s="37" t="s">
        <v>203</v>
      </c>
      <c r="D13" s="37">
        <v>8854</v>
      </c>
      <c r="F13" s="57"/>
      <c r="H13" s="57"/>
      <c r="I13" s="57"/>
      <c r="J13" s="57"/>
      <c r="K13" s="57"/>
    </row>
    <row r="14" spans="1:13" x14ac:dyDescent="0.25">
      <c r="A14" s="37" t="s">
        <v>207</v>
      </c>
      <c r="B14" s="37" t="s">
        <v>177</v>
      </c>
      <c r="C14" s="37" t="s">
        <v>204</v>
      </c>
      <c r="D14" s="37">
        <v>2488</v>
      </c>
      <c r="F14" s="57"/>
      <c r="H14" s="57"/>
      <c r="I14" s="57"/>
      <c r="J14" s="57"/>
      <c r="K14" s="57"/>
    </row>
    <row r="15" spans="1:13" x14ac:dyDescent="0.25">
      <c r="A15" s="37" t="s">
        <v>207</v>
      </c>
      <c r="B15" s="37" t="s">
        <v>177</v>
      </c>
      <c r="C15" s="37" t="s">
        <v>201</v>
      </c>
      <c r="D15" s="37">
        <v>1490</v>
      </c>
      <c r="F15" s="57"/>
      <c r="H15" s="57"/>
      <c r="I15" s="57" t="s">
        <v>221</v>
      </c>
      <c r="J15" s="57"/>
      <c r="K15" s="57"/>
    </row>
    <row r="16" spans="1:13" x14ac:dyDescent="0.25">
      <c r="A16" s="37" t="s">
        <v>207</v>
      </c>
      <c r="B16" s="37" t="s">
        <v>173</v>
      </c>
      <c r="C16" s="37" t="s">
        <v>202</v>
      </c>
      <c r="D16" s="37">
        <v>1165</v>
      </c>
      <c r="F16" s="57"/>
      <c r="H16" s="57"/>
      <c r="I16" s="57"/>
      <c r="J16" s="57"/>
      <c r="K16" s="57"/>
    </row>
    <row r="17" spans="1:11" x14ac:dyDescent="0.25">
      <c r="A17" s="37" t="s">
        <v>207</v>
      </c>
      <c r="B17" s="37" t="s">
        <v>173</v>
      </c>
      <c r="C17" s="37" t="s">
        <v>203</v>
      </c>
      <c r="D17" s="37">
        <v>9348</v>
      </c>
      <c r="F17" s="57"/>
      <c r="H17" s="57"/>
      <c r="I17" s="57"/>
      <c r="J17" s="57"/>
      <c r="K17" s="57"/>
    </row>
    <row r="18" spans="1:11" x14ac:dyDescent="0.25">
      <c r="A18" s="37" t="s">
        <v>207</v>
      </c>
      <c r="B18" s="37" t="s">
        <v>173</v>
      </c>
      <c r="C18" s="37" t="s">
        <v>204</v>
      </c>
      <c r="D18" s="37">
        <v>7670</v>
      </c>
      <c r="F18"/>
      <c r="H18" s="57"/>
      <c r="I18" s="57"/>
      <c r="J18" s="57"/>
      <c r="K18" s="57"/>
    </row>
    <row r="19" spans="1:11" x14ac:dyDescent="0.25">
      <c r="A19" s="37" t="s">
        <v>207</v>
      </c>
      <c r="B19" s="37" t="s">
        <v>173</v>
      </c>
      <c r="C19" s="37" t="s">
        <v>201</v>
      </c>
      <c r="D19" s="37">
        <v>9211</v>
      </c>
      <c r="F19"/>
      <c r="J19"/>
    </row>
    <row r="20" spans="1:11" x14ac:dyDescent="0.25">
      <c r="A20" s="37" t="s">
        <v>207</v>
      </c>
      <c r="B20" s="37" t="s">
        <v>173</v>
      </c>
      <c r="C20" s="37" t="s">
        <v>202</v>
      </c>
      <c r="D20" s="37">
        <v>3961</v>
      </c>
      <c r="F20"/>
      <c r="J20"/>
    </row>
    <row r="21" spans="1:11" x14ac:dyDescent="0.25">
      <c r="A21" s="37" t="s">
        <v>207</v>
      </c>
      <c r="B21" s="37" t="s">
        <v>173</v>
      </c>
      <c r="C21" s="37" t="s">
        <v>203</v>
      </c>
      <c r="D21" s="37">
        <v>1103</v>
      </c>
      <c r="F21"/>
      <c r="J21"/>
    </row>
    <row r="22" spans="1:11" x14ac:dyDescent="0.25">
      <c r="A22" s="37" t="s">
        <v>211</v>
      </c>
      <c r="B22" s="37" t="s">
        <v>173</v>
      </c>
      <c r="C22" s="37" t="s">
        <v>204</v>
      </c>
      <c r="D22" s="37">
        <v>9311</v>
      </c>
      <c r="F22"/>
      <c r="J22"/>
    </row>
    <row r="23" spans="1:11" x14ac:dyDescent="0.25">
      <c r="A23" s="37" t="s">
        <v>211</v>
      </c>
      <c r="B23" s="37" t="s">
        <v>173</v>
      </c>
      <c r="C23" s="37" t="s">
        <v>201</v>
      </c>
      <c r="D23" s="37">
        <v>7558</v>
      </c>
      <c r="F23"/>
      <c r="J23"/>
    </row>
    <row r="24" spans="1:11" x14ac:dyDescent="0.25">
      <c r="A24" s="37" t="s">
        <v>211</v>
      </c>
      <c r="B24" s="37" t="s">
        <v>173</v>
      </c>
      <c r="C24" s="37" t="s">
        <v>202</v>
      </c>
      <c r="D24" s="37">
        <v>2359</v>
      </c>
      <c r="F24"/>
      <c r="J24"/>
    </row>
    <row r="25" spans="1:11" x14ac:dyDescent="0.25">
      <c r="A25" s="37" t="s">
        <v>211</v>
      </c>
      <c r="B25" s="37" t="s">
        <v>126</v>
      </c>
      <c r="C25" s="37" t="s">
        <v>203</v>
      </c>
      <c r="D25" s="37">
        <v>6306</v>
      </c>
      <c r="F25"/>
      <c r="J25"/>
    </row>
    <row r="26" spans="1:11" x14ac:dyDescent="0.25">
      <c r="A26" s="37" t="s">
        <v>211</v>
      </c>
      <c r="B26" s="37" t="s">
        <v>126</v>
      </c>
      <c r="C26" s="37" t="s">
        <v>204</v>
      </c>
      <c r="D26" s="37">
        <v>4473</v>
      </c>
      <c r="F26"/>
      <c r="J26"/>
    </row>
    <row r="27" spans="1:11" x14ac:dyDescent="0.25">
      <c r="A27" s="37" t="s">
        <v>211</v>
      </c>
      <c r="B27" s="37" t="s">
        <v>126</v>
      </c>
      <c r="C27" s="37" t="s">
        <v>201</v>
      </c>
      <c r="D27" s="37">
        <v>1723</v>
      </c>
      <c r="F27"/>
      <c r="J27"/>
    </row>
    <row r="28" spans="1:11" x14ac:dyDescent="0.25">
      <c r="A28" s="37" t="s">
        <v>211</v>
      </c>
      <c r="B28" s="37" t="s">
        <v>175</v>
      </c>
      <c r="C28" s="37" t="s">
        <v>202</v>
      </c>
      <c r="D28" s="37">
        <v>5022</v>
      </c>
      <c r="F28"/>
      <c r="J28"/>
    </row>
    <row r="29" spans="1:11" x14ac:dyDescent="0.25">
      <c r="A29" s="37" t="s">
        <v>211</v>
      </c>
      <c r="B29" s="37" t="s">
        <v>175</v>
      </c>
      <c r="C29" s="37" t="s">
        <v>203</v>
      </c>
      <c r="D29" s="37">
        <v>4695</v>
      </c>
      <c r="F29"/>
      <c r="J29"/>
    </row>
    <row r="30" spans="1:11" x14ac:dyDescent="0.25">
      <c r="A30" s="37" t="s">
        <v>211</v>
      </c>
      <c r="B30" s="37" t="s">
        <v>175</v>
      </c>
      <c r="C30" s="37" t="s">
        <v>204</v>
      </c>
      <c r="D30" s="37">
        <v>1322</v>
      </c>
      <c r="F30"/>
      <c r="J30"/>
    </row>
    <row r="31" spans="1:11" x14ac:dyDescent="0.25">
      <c r="A31" s="37" t="s">
        <v>211</v>
      </c>
      <c r="B31" s="37" t="s">
        <v>175</v>
      </c>
      <c r="C31" s="37" t="s">
        <v>201</v>
      </c>
      <c r="D31" s="37">
        <v>3327</v>
      </c>
      <c r="F31"/>
      <c r="J31"/>
    </row>
    <row r="32" spans="1:11" x14ac:dyDescent="0.25">
      <c r="A32" s="37" t="s">
        <v>211</v>
      </c>
      <c r="B32" s="37" t="s">
        <v>175</v>
      </c>
      <c r="C32" s="37" t="s">
        <v>202</v>
      </c>
      <c r="D32" s="37">
        <v>8980</v>
      </c>
      <c r="F32"/>
      <c r="J32"/>
    </row>
    <row r="33" spans="1:10" x14ac:dyDescent="0.25">
      <c r="A33" s="37" t="s">
        <v>211</v>
      </c>
      <c r="B33" s="37" t="s">
        <v>175</v>
      </c>
      <c r="C33" s="37" t="s">
        <v>203</v>
      </c>
      <c r="D33" s="37">
        <v>4628</v>
      </c>
      <c r="F33"/>
      <c r="J33"/>
    </row>
    <row r="34" spans="1:10" x14ac:dyDescent="0.25">
      <c r="A34" s="37" t="s">
        <v>211</v>
      </c>
      <c r="B34" s="37" t="s">
        <v>175</v>
      </c>
      <c r="C34" s="37" t="s">
        <v>204</v>
      </c>
      <c r="D34" s="37">
        <v>4364</v>
      </c>
      <c r="F34"/>
      <c r="J34"/>
    </row>
    <row r="35" spans="1:10" x14ac:dyDescent="0.25">
      <c r="A35" s="37" t="s">
        <v>211</v>
      </c>
      <c r="B35" s="37" t="s">
        <v>175</v>
      </c>
      <c r="C35" s="37" t="s">
        <v>201</v>
      </c>
      <c r="D35" s="37">
        <v>4190</v>
      </c>
      <c r="F35"/>
      <c r="J35"/>
    </row>
    <row r="36" spans="1:10" x14ac:dyDescent="0.25">
      <c r="A36" s="37" t="s">
        <v>211</v>
      </c>
      <c r="B36" s="37" t="s">
        <v>175</v>
      </c>
      <c r="C36" s="37" t="s">
        <v>202</v>
      </c>
      <c r="D36" s="37">
        <v>6875</v>
      </c>
      <c r="F36"/>
      <c r="J36"/>
    </row>
    <row r="37" spans="1:10" x14ac:dyDescent="0.25">
      <c r="A37" s="37" t="s">
        <v>211</v>
      </c>
      <c r="B37" s="37" t="s">
        <v>175</v>
      </c>
      <c r="C37" s="37" t="s">
        <v>203</v>
      </c>
      <c r="D37" s="37">
        <v>5176</v>
      </c>
      <c r="F37"/>
      <c r="J37"/>
    </row>
    <row r="38" spans="1:10" x14ac:dyDescent="0.25">
      <c r="A38" s="37" t="s">
        <v>211</v>
      </c>
      <c r="B38" s="37" t="s">
        <v>176</v>
      </c>
      <c r="C38" s="37" t="s">
        <v>204</v>
      </c>
      <c r="D38" s="37">
        <v>1172</v>
      </c>
      <c r="F38"/>
      <c r="J38"/>
    </row>
    <row r="39" spans="1:10" x14ac:dyDescent="0.25">
      <c r="A39" s="37" t="s">
        <v>211</v>
      </c>
      <c r="B39" s="37" t="s">
        <v>176</v>
      </c>
      <c r="C39" s="37" t="s">
        <v>201</v>
      </c>
      <c r="D39" s="37">
        <v>2341</v>
      </c>
      <c r="F39"/>
      <c r="J39"/>
    </row>
    <row r="40" spans="1:10" x14ac:dyDescent="0.25">
      <c r="A40" s="37" t="s">
        <v>211</v>
      </c>
      <c r="B40" s="37" t="s">
        <v>176</v>
      </c>
      <c r="C40" s="37" t="s">
        <v>202</v>
      </c>
      <c r="D40" s="37">
        <v>9342</v>
      </c>
      <c r="F40"/>
      <c r="J40"/>
    </row>
    <row r="41" spans="1:10" x14ac:dyDescent="0.25">
      <c r="A41" s="37" t="s">
        <v>211</v>
      </c>
      <c r="B41" s="37" t="s">
        <v>176</v>
      </c>
      <c r="C41" s="37" t="s">
        <v>203</v>
      </c>
      <c r="D41" s="37">
        <v>2406</v>
      </c>
      <c r="F41"/>
      <c r="J41"/>
    </row>
    <row r="42" spans="1:10" x14ac:dyDescent="0.25">
      <c r="A42" s="37" t="s">
        <v>211</v>
      </c>
      <c r="B42" s="37" t="s">
        <v>176</v>
      </c>
      <c r="C42" s="37" t="s">
        <v>204</v>
      </c>
      <c r="D42" s="37">
        <v>9865</v>
      </c>
      <c r="F42"/>
      <c r="J42"/>
    </row>
    <row r="43" spans="1:10" x14ac:dyDescent="0.25">
      <c r="A43" s="37" t="s">
        <v>207</v>
      </c>
      <c r="B43" s="37" t="s">
        <v>176</v>
      </c>
      <c r="C43" s="37" t="s">
        <v>201</v>
      </c>
      <c r="D43" s="37">
        <v>1154</v>
      </c>
      <c r="F43"/>
      <c r="J43"/>
    </row>
    <row r="44" spans="1:10" x14ac:dyDescent="0.25">
      <c r="A44" s="37" t="s">
        <v>208</v>
      </c>
      <c r="B44" s="37" t="s">
        <v>176</v>
      </c>
      <c r="C44" s="37" t="s">
        <v>202</v>
      </c>
      <c r="D44" s="37">
        <v>9464</v>
      </c>
      <c r="F44"/>
      <c r="J44"/>
    </row>
    <row r="45" spans="1:10" x14ac:dyDescent="0.25">
      <c r="A45" s="37" t="s">
        <v>209</v>
      </c>
      <c r="B45" s="37" t="s">
        <v>176</v>
      </c>
      <c r="C45" s="37" t="s">
        <v>203</v>
      </c>
      <c r="D45" s="37">
        <v>4555</v>
      </c>
      <c r="F45"/>
      <c r="J45"/>
    </row>
    <row r="46" spans="1:10" x14ac:dyDescent="0.25">
      <c r="A46" s="37" t="s">
        <v>209</v>
      </c>
      <c r="B46" s="37" t="s">
        <v>177</v>
      </c>
      <c r="C46" s="37" t="s">
        <v>204</v>
      </c>
      <c r="D46" s="37">
        <v>1331</v>
      </c>
      <c r="F46"/>
      <c r="J46"/>
    </row>
    <row r="47" spans="1:10" x14ac:dyDescent="0.25">
      <c r="A47" s="37" t="s">
        <v>209</v>
      </c>
      <c r="B47" s="37" t="s">
        <v>177</v>
      </c>
      <c r="C47" s="37" t="s">
        <v>201</v>
      </c>
      <c r="D47" s="37">
        <v>9544</v>
      </c>
      <c r="F47"/>
      <c r="J47"/>
    </row>
    <row r="48" spans="1:10" x14ac:dyDescent="0.25">
      <c r="A48" s="37" t="s">
        <v>209</v>
      </c>
      <c r="B48" s="37" t="s">
        <v>176</v>
      </c>
      <c r="C48" s="37" t="s">
        <v>202</v>
      </c>
      <c r="D48" s="37">
        <v>8449</v>
      </c>
      <c r="F48"/>
      <c r="J48"/>
    </row>
    <row r="49" spans="1:10" x14ac:dyDescent="0.25">
      <c r="A49" s="37" t="s">
        <v>209</v>
      </c>
      <c r="B49" s="37" t="s">
        <v>176</v>
      </c>
      <c r="C49" s="37" t="s">
        <v>203</v>
      </c>
      <c r="D49" s="37">
        <v>4109</v>
      </c>
      <c r="F49"/>
      <c r="J49"/>
    </row>
    <row r="50" spans="1:10" x14ac:dyDescent="0.25">
      <c r="A50" s="37" t="s">
        <v>209</v>
      </c>
      <c r="B50" s="37" t="s">
        <v>176</v>
      </c>
      <c r="C50" s="37" t="s">
        <v>204</v>
      </c>
      <c r="D50" s="37">
        <v>1617</v>
      </c>
      <c r="F50"/>
      <c r="J50"/>
    </row>
    <row r="51" spans="1:10" x14ac:dyDescent="0.25">
      <c r="A51" s="37" t="s">
        <v>209</v>
      </c>
      <c r="B51" s="37" t="s">
        <v>176</v>
      </c>
      <c r="C51" s="37" t="s">
        <v>201</v>
      </c>
      <c r="D51" s="37">
        <v>2219</v>
      </c>
      <c r="F51"/>
      <c r="J51"/>
    </row>
    <row r="52" spans="1:10" x14ac:dyDescent="0.25">
      <c r="A52" s="37" t="s">
        <v>209</v>
      </c>
      <c r="B52" s="37" t="s">
        <v>176</v>
      </c>
      <c r="C52" s="37" t="s">
        <v>202</v>
      </c>
      <c r="D52" s="37">
        <v>4277</v>
      </c>
      <c r="F52"/>
      <c r="J52"/>
    </row>
    <row r="53" spans="1:10" x14ac:dyDescent="0.25">
      <c r="A53" s="37" t="s">
        <v>209</v>
      </c>
      <c r="B53" s="37" t="s">
        <v>176</v>
      </c>
      <c r="C53" s="37" t="s">
        <v>203</v>
      </c>
      <c r="D53" s="37">
        <v>6762</v>
      </c>
      <c r="F53"/>
      <c r="J53"/>
    </row>
    <row r="54" spans="1:10" x14ac:dyDescent="0.25">
      <c r="A54" s="37" t="s">
        <v>209</v>
      </c>
      <c r="B54" s="37" t="s">
        <v>176</v>
      </c>
      <c r="C54" s="37" t="s">
        <v>204</v>
      </c>
      <c r="D54" s="37">
        <v>7626</v>
      </c>
      <c r="F54"/>
      <c r="J54"/>
    </row>
    <row r="55" spans="1:10" x14ac:dyDescent="0.25">
      <c r="A55" s="37" t="s">
        <v>209</v>
      </c>
      <c r="B55" s="37" t="s">
        <v>176</v>
      </c>
      <c r="C55" s="37" t="s">
        <v>201</v>
      </c>
      <c r="D55" s="37">
        <v>6482</v>
      </c>
      <c r="F55"/>
      <c r="J55"/>
    </row>
    <row r="56" spans="1:10" x14ac:dyDescent="0.25">
      <c r="A56" s="37" t="s">
        <v>209</v>
      </c>
      <c r="B56" s="37" t="s">
        <v>176</v>
      </c>
      <c r="C56" s="37" t="s">
        <v>202</v>
      </c>
      <c r="D56" s="37">
        <v>5107</v>
      </c>
      <c r="F56"/>
      <c r="J56"/>
    </row>
    <row r="57" spans="1:10" x14ac:dyDescent="0.25">
      <c r="A57" s="37" t="s">
        <v>209</v>
      </c>
      <c r="B57" s="37" t="s">
        <v>176</v>
      </c>
      <c r="C57" s="37" t="s">
        <v>203</v>
      </c>
      <c r="D57" s="37">
        <v>4454</v>
      </c>
      <c r="F57"/>
      <c r="J57"/>
    </row>
    <row r="58" spans="1:10" x14ac:dyDescent="0.25">
      <c r="A58" s="37" t="s">
        <v>209</v>
      </c>
      <c r="B58" s="37" t="s">
        <v>176</v>
      </c>
      <c r="C58" s="37" t="s">
        <v>204</v>
      </c>
      <c r="D58" s="37">
        <v>9388</v>
      </c>
      <c r="F58"/>
      <c r="J58"/>
    </row>
    <row r="59" spans="1:10" x14ac:dyDescent="0.25">
      <c r="A59" s="37" t="s">
        <v>209</v>
      </c>
      <c r="B59" s="37" t="s">
        <v>176</v>
      </c>
      <c r="C59" s="37" t="s">
        <v>201</v>
      </c>
      <c r="D59" s="37">
        <v>3925</v>
      </c>
      <c r="F59"/>
      <c r="J59"/>
    </row>
    <row r="60" spans="1:10" x14ac:dyDescent="0.25">
      <c r="A60" s="37" t="s">
        <v>209</v>
      </c>
      <c r="B60" s="37" t="s">
        <v>176</v>
      </c>
      <c r="C60" s="37" t="s">
        <v>202</v>
      </c>
      <c r="D60" s="37">
        <v>5214</v>
      </c>
      <c r="F60"/>
      <c r="J60"/>
    </row>
    <row r="61" spans="1:10" x14ac:dyDescent="0.25">
      <c r="A61" s="37" t="s">
        <v>209</v>
      </c>
      <c r="B61" s="37" t="s">
        <v>177</v>
      </c>
      <c r="C61" s="37" t="s">
        <v>203</v>
      </c>
      <c r="D61" s="37">
        <v>4532</v>
      </c>
      <c r="F61"/>
      <c r="J61"/>
    </row>
    <row r="62" spans="1:10" x14ac:dyDescent="0.25">
      <c r="A62" s="37" t="s">
        <v>209</v>
      </c>
      <c r="B62" s="37" t="s">
        <v>177</v>
      </c>
      <c r="C62" s="37" t="s">
        <v>204</v>
      </c>
      <c r="D62" s="37">
        <v>4126</v>
      </c>
      <c r="F62"/>
      <c r="J62"/>
    </row>
    <row r="63" spans="1:10" x14ac:dyDescent="0.25">
      <c r="A63" s="37" t="s">
        <v>209</v>
      </c>
      <c r="B63" s="37" t="s">
        <v>176</v>
      </c>
      <c r="C63" s="37" t="s">
        <v>205</v>
      </c>
      <c r="D63" s="37">
        <v>1042</v>
      </c>
      <c r="F63"/>
      <c r="J63"/>
    </row>
    <row r="64" spans="1:10" x14ac:dyDescent="0.25">
      <c r="A64" s="37" t="s">
        <v>209</v>
      </c>
      <c r="B64" s="37" t="s">
        <v>176</v>
      </c>
      <c r="C64" s="37" t="s">
        <v>201</v>
      </c>
      <c r="D64" s="37">
        <v>4938</v>
      </c>
      <c r="F64"/>
      <c r="J64"/>
    </row>
    <row r="65" spans="1:10" x14ac:dyDescent="0.25">
      <c r="A65" s="37" t="s">
        <v>209</v>
      </c>
      <c r="B65" s="37" t="s">
        <v>176</v>
      </c>
      <c r="C65" s="37" t="s">
        <v>202</v>
      </c>
      <c r="D65" s="37">
        <v>8553</v>
      </c>
      <c r="F65"/>
      <c r="J65"/>
    </row>
    <row r="66" spans="1:10" x14ac:dyDescent="0.25">
      <c r="A66" s="37" t="s">
        <v>210</v>
      </c>
      <c r="B66" s="37" t="s">
        <v>176</v>
      </c>
      <c r="C66" s="37" t="s">
        <v>203</v>
      </c>
      <c r="D66" s="37">
        <v>1441</v>
      </c>
      <c r="F66"/>
      <c r="J66"/>
    </row>
    <row r="67" spans="1:10" x14ac:dyDescent="0.25">
      <c r="A67" s="37" t="s">
        <v>211</v>
      </c>
      <c r="B67" s="37" t="s">
        <v>176</v>
      </c>
      <c r="C67" s="37" t="s">
        <v>204</v>
      </c>
      <c r="D67" s="37">
        <v>2291</v>
      </c>
      <c r="F67"/>
      <c r="J67"/>
    </row>
    <row r="68" spans="1:10" x14ac:dyDescent="0.25">
      <c r="A68" s="37" t="s">
        <v>207</v>
      </c>
      <c r="B68" s="37" t="s">
        <v>176</v>
      </c>
      <c r="C68" s="37" t="s">
        <v>205</v>
      </c>
      <c r="D68" s="37">
        <v>4808</v>
      </c>
      <c r="F68"/>
      <c r="J68"/>
    </row>
    <row r="69" spans="1:10" x14ac:dyDescent="0.25">
      <c r="A69" s="37" t="s">
        <v>208</v>
      </c>
      <c r="B69" s="37" t="s">
        <v>133</v>
      </c>
      <c r="C69" s="37" t="s">
        <v>201</v>
      </c>
      <c r="D69" s="37">
        <v>4890</v>
      </c>
      <c r="F69"/>
      <c r="J69"/>
    </row>
    <row r="70" spans="1:10" x14ac:dyDescent="0.25">
      <c r="A70" s="37" t="s">
        <v>209</v>
      </c>
      <c r="B70" s="37" t="s">
        <v>133</v>
      </c>
      <c r="C70" s="37" t="s">
        <v>202</v>
      </c>
      <c r="D70" s="37">
        <v>6664</v>
      </c>
      <c r="F70"/>
      <c r="J70"/>
    </row>
    <row r="71" spans="1:10" x14ac:dyDescent="0.25">
      <c r="A71" s="37" t="s">
        <v>210</v>
      </c>
      <c r="B71" s="37" t="s">
        <v>133</v>
      </c>
      <c r="C71" s="37" t="s">
        <v>203</v>
      </c>
      <c r="D71" s="37">
        <v>7194</v>
      </c>
      <c r="F71"/>
      <c r="J71"/>
    </row>
    <row r="72" spans="1:10" x14ac:dyDescent="0.25">
      <c r="A72" s="37" t="s">
        <v>211</v>
      </c>
      <c r="B72" s="37" t="s">
        <v>133</v>
      </c>
      <c r="C72" s="37" t="s">
        <v>204</v>
      </c>
      <c r="D72" s="37">
        <v>2264</v>
      </c>
      <c r="F72"/>
      <c r="J72"/>
    </row>
    <row r="73" spans="1:10" x14ac:dyDescent="0.25">
      <c r="A73" s="37" t="s">
        <v>207</v>
      </c>
      <c r="B73" s="37" t="s">
        <v>177</v>
      </c>
      <c r="C73" s="37" t="s">
        <v>201</v>
      </c>
      <c r="D73" s="37">
        <v>2258</v>
      </c>
      <c r="F73"/>
      <c r="J73"/>
    </row>
    <row r="74" spans="1:10" x14ac:dyDescent="0.25">
      <c r="A74" s="37" t="s">
        <v>208</v>
      </c>
      <c r="B74" s="37" t="s">
        <v>177</v>
      </c>
      <c r="C74" s="37" t="s">
        <v>202</v>
      </c>
      <c r="D74" s="37">
        <v>6694</v>
      </c>
      <c r="F74"/>
      <c r="J74"/>
    </row>
    <row r="75" spans="1:10" x14ac:dyDescent="0.25">
      <c r="A75" s="37" t="s">
        <v>209</v>
      </c>
      <c r="B75" s="37" t="s">
        <v>133</v>
      </c>
      <c r="C75" s="37" t="s">
        <v>203</v>
      </c>
      <c r="D75" s="37">
        <v>9494</v>
      </c>
      <c r="F75"/>
      <c r="J75"/>
    </row>
    <row r="76" spans="1:10" x14ac:dyDescent="0.25">
      <c r="A76" s="37" t="s">
        <v>210</v>
      </c>
      <c r="B76" s="37" t="s">
        <v>133</v>
      </c>
      <c r="C76" s="37" t="s">
        <v>204</v>
      </c>
      <c r="D76" s="37">
        <v>3451</v>
      </c>
      <c r="F76"/>
      <c r="J76"/>
    </row>
    <row r="77" spans="1:10" x14ac:dyDescent="0.25">
      <c r="A77" s="37" t="s">
        <v>211</v>
      </c>
      <c r="B77" s="37" t="s">
        <v>133</v>
      </c>
      <c r="C77" s="37" t="s">
        <v>201</v>
      </c>
      <c r="D77" s="37">
        <v>6314</v>
      </c>
      <c r="F77"/>
      <c r="J77"/>
    </row>
    <row r="78" spans="1:10" x14ac:dyDescent="0.25">
      <c r="A78" s="37" t="s">
        <v>207</v>
      </c>
      <c r="B78" s="37" t="s">
        <v>133</v>
      </c>
      <c r="C78" s="37" t="s">
        <v>202</v>
      </c>
      <c r="D78" s="37">
        <v>3138</v>
      </c>
      <c r="F78"/>
      <c r="J78"/>
    </row>
    <row r="79" spans="1:10" x14ac:dyDescent="0.25">
      <c r="A79" s="37" t="s">
        <v>208</v>
      </c>
      <c r="B79" s="37" t="s">
        <v>133</v>
      </c>
      <c r="C79" s="37" t="s">
        <v>203</v>
      </c>
      <c r="D79" s="37">
        <v>4754</v>
      </c>
      <c r="F79"/>
      <c r="J79"/>
    </row>
    <row r="80" spans="1:10" x14ac:dyDescent="0.25">
      <c r="A80" s="37" t="s">
        <v>209</v>
      </c>
      <c r="B80" s="37" t="s">
        <v>133</v>
      </c>
      <c r="C80" s="37" t="s">
        <v>204</v>
      </c>
      <c r="D80" s="37">
        <v>5735</v>
      </c>
      <c r="F80"/>
      <c r="J80"/>
    </row>
    <row r="81" spans="1:10" x14ac:dyDescent="0.25">
      <c r="A81" s="37" t="s">
        <v>210</v>
      </c>
      <c r="B81" s="37" t="s">
        <v>133</v>
      </c>
      <c r="C81" s="37" t="s">
        <v>201</v>
      </c>
      <c r="D81" s="37">
        <v>2208</v>
      </c>
      <c r="F81"/>
      <c r="J81"/>
    </row>
    <row r="82" spans="1:10" x14ac:dyDescent="0.25">
      <c r="A82" s="37" t="s">
        <v>211</v>
      </c>
      <c r="B82" s="37" t="s">
        <v>133</v>
      </c>
      <c r="C82" s="37" t="s">
        <v>202</v>
      </c>
      <c r="D82" s="37">
        <v>3000</v>
      </c>
      <c r="F82"/>
      <c r="J82"/>
    </row>
    <row r="83" spans="1:10" x14ac:dyDescent="0.25">
      <c r="A83" s="37" t="s">
        <v>207</v>
      </c>
      <c r="B83" s="37" t="s">
        <v>133</v>
      </c>
      <c r="C83" s="37" t="s">
        <v>203</v>
      </c>
      <c r="D83" s="37">
        <v>1407</v>
      </c>
      <c r="F83"/>
      <c r="J83"/>
    </row>
    <row r="84" spans="1:10" x14ac:dyDescent="0.25">
      <c r="A84" s="37" t="s">
        <v>208</v>
      </c>
      <c r="B84" s="37" t="s">
        <v>133</v>
      </c>
      <c r="C84" s="37" t="s">
        <v>204</v>
      </c>
      <c r="D84" s="37">
        <v>1694</v>
      </c>
      <c r="F84"/>
      <c r="J84"/>
    </row>
    <row r="85" spans="1:10" x14ac:dyDescent="0.25">
      <c r="A85" s="37" t="s">
        <v>209</v>
      </c>
      <c r="B85" s="37" t="s">
        <v>133</v>
      </c>
      <c r="C85" s="37" t="s">
        <v>201</v>
      </c>
      <c r="D85" s="37">
        <v>8278</v>
      </c>
      <c r="F85"/>
      <c r="J85"/>
    </row>
    <row r="86" spans="1:10" x14ac:dyDescent="0.25">
      <c r="A86" s="37" t="s">
        <v>210</v>
      </c>
      <c r="B86" s="37" t="s">
        <v>133</v>
      </c>
      <c r="C86" s="37" t="s">
        <v>202</v>
      </c>
      <c r="D86" s="37">
        <v>5747</v>
      </c>
      <c r="F86"/>
      <c r="J86"/>
    </row>
    <row r="87" spans="1:10" x14ac:dyDescent="0.25">
      <c r="A87" s="37" t="s">
        <v>211</v>
      </c>
      <c r="B87" s="37" t="s">
        <v>133</v>
      </c>
      <c r="C87" s="37" t="s">
        <v>203</v>
      </c>
      <c r="D87" s="37">
        <v>4819</v>
      </c>
      <c r="F87"/>
      <c r="J87"/>
    </row>
    <row r="88" spans="1:10" x14ac:dyDescent="0.25">
      <c r="A88" s="37" t="s">
        <v>207</v>
      </c>
      <c r="B88" s="37" t="s">
        <v>133</v>
      </c>
      <c r="C88" s="37" t="s">
        <v>204</v>
      </c>
      <c r="D88" s="37">
        <v>6999</v>
      </c>
      <c r="F88"/>
      <c r="J88"/>
    </row>
    <row r="89" spans="1:10" x14ac:dyDescent="0.25">
      <c r="A89" s="37" t="s">
        <v>208</v>
      </c>
      <c r="B89" s="37" t="s">
        <v>133</v>
      </c>
      <c r="C89" s="37" t="s">
        <v>201</v>
      </c>
      <c r="D89" s="37">
        <v>4541</v>
      </c>
      <c r="F89"/>
      <c r="J89"/>
    </row>
    <row r="90" spans="1:10" x14ac:dyDescent="0.25">
      <c r="A90" s="37" t="s">
        <v>209</v>
      </c>
      <c r="B90" s="37" t="s">
        <v>133</v>
      </c>
      <c r="C90" s="37" t="s">
        <v>202</v>
      </c>
      <c r="D90" s="37">
        <v>5697</v>
      </c>
      <c r="F90"/>
      <c r="J90"/>
    </row>
    <row r="91" spans="1:10" x14ac:dyDescent="0.25">
      <c r="A91" s="37" t="s">
        <v>210</v>
      </c>
      <c r="B91" s="37" t="s">
        <v>133</v>
      </c>
      <c r="C91" s="37" t="s">
        <v>203</v>
      </c>
      <c r="D91" s="37">
        <v>2580</v>
      </c>
      <c r="F91"/>
      <c r="J91"/>
    </row>
    <row r="92" spans="1:10" x14ac:dyDescent="0.25">
      <c r="A92" s="37" t="s">
        <v>211</v>
      </c>
      <c r="B92" s="37" t="s">
        <v>177</v>
      </c>
      <c r="C92" s="37" t="s">
        <v>204</v>
      </c>
      <c r="D92" s="37">
        <v>1794</v>
      </c>
      <c r="F92"/>
      <c r="J92"/>
    </row>
    <row r="93" spans="1:10" x14ac:dyDescent="0.25">
      <c r="A93" s="37" t="s">
        <v>212</v>
      </c>
      <c r="B93" s="37" t="s">
        <v>177</v>
      </c>
      <c r="C93" s="37" t="s">
        <v>201</v>
      </c>
      <c r="D93" s="37">
        <v>5923</v>
      </c>
      <c r="F93"/>
      <c r="J93"/>
    </row>
    <row r="94" spans="1:10" x14ac:dyDescent="0.25">
      <c r="A94" s="37" t="s">
        <v>207</v>
      </c>
      <c r="B94" s="37" t="s">
        <v>133</v>
      </c>
      <c r="C94" s="37" t="s">
        <v>202</v>
      </c>
      <c r="D94" s="37">
        <v>2337</v>
      </c>
      <c r="F94"/>
      <c r="J94"/>
    </row>
    <row r="95" spans="1:10" x14ac:dyDescent="0.25">
      <c r="A95" s="37" t="s">
        <v>208</v>
      </c>
      <c r="B95" s="37" t="s">
        <v>133</v>
      </c>
      <c r="C95" s="37" t="s">
        <v>203</v>
      </c>
      <c r="D95" s="37">
        <v>4996</v>
      </c>
      <c r="F95"/>
      <c r="J95"/>
    </row>
    <row r="96" spans="1:10" x14ac:dyDescent="0.25">
      <c r="A96" s="37" t="s">
        <v>209</v>
      </c>
      <c r="B96" s="37" t="s">
        <v>133</v>
      </c>
      <c r="C96" s="37" t="s">
        <v>204</v>
      </c>
      <c r="D96" s="37">
        <v>3152</v>
      </c>
      <c r="F96"/>
      <c r="J96"/>
    </row>
    <row r="97" spans="1:10" x14ac:dyDescent="0.25">
      <c r="A97" s="37" t="s">
        <v>210</v>
      </c>
      <c r="B97" s="37" t="s">
        <v>133</v>
      </c>
      <c r="C97" s="37" t="s">
        <v>201</v>
      </c>
      <c r="D97" s="37">
        <v>4449</v>
      </c>
      <c r="F97"/>
      <c r="J97"/>
    </row>
    <row r="98" spans="1:10" x14ac:dyDescent="0.25">
      <c r="A98" s="37" t="s">
        <v>211</v>
      </c>
      <c r="B98" s="37" t="s">
        <v>133</v>
      </c>
      <c r="C98" s="37" t="s">
        <v>202</v>
      </c>
      <c r="D98" s="37">
        <v>7450</v>
      </c>
      <c r="F98"/>
      <c r="J98"/>
    </row>
    <row r="99" spans="1:10" x14ac:dyDescent="0.25">
      <c r="A99" s="37" t="s">
        <v>212</v>
      </c>
      <c r="B99" s="37" t="s">
        <v>133</v>
      </c>
      <c r="C99" s="37" t="s">
        <v>203</v>
      </c>
      <c r="D99" s="37">
        <v>3476</v>
      </c>
      <c r="F99"/>
      <c r="J99"/>
    </row>
    <row r="100" spans="1:10" x14ac:dyDescent="0.25">
      <c r="A100" s="37" t="s">
        <v>207</v>
      </c>
      <c r="B100" s="37" t="s">
        <v>133</v>
      </c>
      <c r="C100" s="37" t="s">
        <v>204</v>
      </c>
      <c r="D100" s="37">
        <v>2073</v>
      </c>
      <c r="F100"/>
      <c r="J100"/>
    </row>
    <row r="101" spans="1:10" x14ac:dyDescent="0.25">
      <c r="A101" s="37" t="s">
        <v>208</v>
      </c>
      <c r="B101" s="37" t="s">
        <v>133</v>
      </c>
      <c r="C101" s="37" t="s">
        <v>201</v>
      </c>
      <c r="D101" s="37">
        <v>7690</v>
      </c>
      <c r="F101"/>
      <c r="J101"/>
    </row>
    <row r="102" spans="1:10" x14ac:dyDescent="0.25">
      <c r="A102" s="37" t="s">
        <v>209</v>
      </c>
      <c r="B102" s="37" t="s">
        <v>133</v>
      </c>
      <c r="C102" s="37" t="s">
        <v>202</v>
      </c>
      <c r="D102" s="37">
        <v>3469</v>
      </c>
      <c r="F102"/>
      <c r="J102"/>
    </row>
    <row r="103" spans="1:10" x14ac:dyDescent="0.25">
      <c r="A103" s="37" t="s">
        <v>210</v>
      </c>
      <c r="B103" s="37" t="s">
        <v>133</v>
      </c>
      <c r="C103" s="37" t="s">
        <v>203</v>
      </c>
      <c r="D103" s="37">
        <v>8272</v>
      </c>
      <c r="F103"/>
      <c r="J103"/>
    </row>
    <row r="104" spans="1:10" x14ac:dyDescent="0.25">
      <c r="A104" s="37" t="s">
        <v>211</v>
      </c>
      <c r="B104" s="37" t="s">
        <v>133</v>
      </c>
      <c r="C104" s="37" t="s">
        <v>204</v>
      </c>
      <c r="D104" s="37">
        <v>2087</v>
      </c>
      <c r="F104"/>
      <c r="J104"/>
    </row>
    <row r="105" spans="1:10" x14ac:dyDescent="0.25">
      <c r="A105" s="37" t="s">
        <v>207</v>
      </c>
      <c r="B105" s="37" t="s">
        <v>133</v>
      </c>
      <c r="C105" s="37" t="s">
        <v>201</v>
      </c>
      <c r="D105" s="37">
        <v>6387</v>
      </c>
      <c r="F105"/>
      <c r="J105"/>
    </row>
    <row r="106" spans="1:10" x14ac:dyDescent="0.25">
      <c r="A106" s="37" t="s">
        <v>208</v>
      </c>
      <c r="B106" s="37" t="s">
        <v>133</v>
      </c>
      <c r="C106" s="37" t="s">
        <v>202</v>
      </c>
      <c r="D106" s="37">
        <v>1290</v>
      </c>
      <c r="F106"/>
      <c r="J106"/>
    </row>
    <row r="107" spans="1:10" x14ac:dyDescent="0.25">
      <c r="A107" s="37" t="s">
        <v>209</v>
      </c>
      <c r="B107" s="37" t="s">
        <v>133</v>
      </c>
      <c r="C107" s="37" t="s">
        <v>203</v>
      </c>
      <c r="D107" s="37">
        <v>6986</v>
      </c>
      <c r="F107"/>
      <c r="J107"/>
    </row>
    <row r="108" spans="1:10" x14ac:dyDescent="0.25">
      <c r="A108" s="37" t="s">
        <v>210</v>
      </c>
      <c r="B108" s="37" t="s">
        <v>177</v>
      </c>
      <c r="C108" s="37" t="s">
        <v>204</v>
      </c>
      <c r="D108" s="37">
        <v>4168</v>
      </c>
      <c r="F108"/>
      <c r="J108"/>
    </row>
    <row r="109" spans="1:10" x14ac:dyDescent="0.25">
      <c r="A109" s="37" t="s">
        <v>211</v>
      </c>
      <c r="B109" s="37" t="s">
        <v>177</v>
      </c>
      <c r="C109" s="37" t="s">
        <v>201</v>
      </c>
      <c r="D109" s="37">
        <v>4706</v>
      </c>
      <c r="F109"/>
      <c r="J109"/>
    </row>
    <row r="110" spans="1:10" x14ac:dyDescent="0.25">
      <c r="A110" s="37" t="s">
        <v>207</v>
      </c>
      <c r="B110" s="37" t="s">
        <v>133</v>
      </c>
      <c r="C110" s="37" t="s">
        <v>202</v>
      </c>
      <c r="D110" s="37">
        <v>7937</v>
      </c>
      <c r="F110"/>
      <c r="J110"/>
    </row>
    <row r="111" spans="1:10" x14ac:dyDescent="0.25">
      <c r="A111" s="37" t="s">
        <v>208</v>
      </c>
      <c r="B111" s="37" t="s">
        <v>133</v>
      </c>
      <c r="C111" s="37" t="s">
        <v>203</v>
      </c>
      <c r="D111" s="37">
        <v>7589</v>
      </c>
      <c r="F111"/>
      <c r="J111"/>
    </row>
    <row r="112" spans="1:10" x14ac:dyDescent="0.25">
      <c r="A112" s="37" t="s">
        <v>209</v>
      </c>
      <c r="B112" s="37" t="s">
        <v>133</v>
      </c>
      <c r="C112" s="37" t="s">
        <v>204</v>
      </c>
      <c r="D112" s="37">
        <v>5611</v>
      </c>
      <c r="F112"/>
      <c r="J112"/>
    </row>
    <row r="113" spans="1:10" x14ac:dyDescent="0.25">
      <c r="A113" s="37" t="s">
        <v>210</v>
      </c>
      <c r="B113" s="37" t="s">
        <v>133</v>
      </c>
      <c r="C113" s="37" t="s">
        <v>201</v>
      </c>
      <c r="D113" s="37">
        <v>4090</v>
      </c>
      <c r="F113"/>
      <c r="J113"/>
    </row>
    <row r="114" spans="1:10" x14ac:dyDescent="0.25">
      <c r="A114" s="37" t="s">
        <v>211</v>
      </c>
      <c r="B114" s="37" t="s">
        <v>133</v>
      </c>
      <c r="C114" s="37" t="s">
        <v>202</v>
      </c>
      <c r="D114" s="37">
        <v>9888</v>
      </c>
      <c r="F114"/>
      <c r="J114"/>
    </row>
    <row r="115" spans="1:10" x14ac:dyDescent="0.25">
      <c r="A115" s="37" t="s">
        <v>207</v>
      </c>
      <c r="B115" s="37" t="s">
        <v>133</v>
      </c>
      <c r="C115" s="37" t="s">
        <v>203</v>
      </c>
      <c r="D115" s="37">
        <v>7105</v>
      </c>
      <c r="F115"/>
      <c r="J115"/>
    </row>
    <row r="116" spans="1:10" x14ac:dyDescent="0.25">
      <c r="A116" s="37" t="s">
        <v>208</v>
      </c>
      <c r="B116" s="37" t="s">
        <v>133</v>
      </c>
      <c r="C116" s="37" t="s">
        <v>204</v>
      </c>
      <c r="D116" s="37">
        <v>1909</v>
      </c>
      <c r="F116"/>
      <c r="J116"/>
    </row>
    <row r="117" spans="1:10" x14ac:dyDescent="0.25">
      <c r="A117" s="37" t="s">
        <v>209</v>
      </c>
      <c r="B117" s="37" t="s">
        <v>133</v>
      </c>
      <c r="C117" s="37" t="s">
        <v>201</v>
      </c>
      <c r="D117" s="37">
        <v>5793</v>
      </c>
      <c r="F117"/>
      <c r="J117"/>
    </row>
    <row r="118" spans="1:10" x14ac:dyDescent="0.25">
      <c r="A118" s="37" t="s">
        <v>210</v>
      </c>
      <c r="B118" s="37" t="s">
        <v>133</v>
      </c>
      <c r="C118" s="37" t="s">
        <v>202</v>
      </c>
      <c r="D118" s="37">
        <v>9174</v>
      </c>
      <c r="F118"/>
      <c r="J118"/>
    </row>
    <row r="119" spans="1:10" x14ac:dyDescent="0.25">
      <c r="A119" s="37" t="s">
        <v>211</v>
      </c>
      <c r="B119" s="37" t="s">
        <v>133</v>
      </c>
      <c r="C119" s="37" t="s">
        <v>203</v>
      </c>
      <c r="D119" s="37">
        <v>5411</v>
      </c>
      <c r="F119"/>
      <c r="J119"/>
    </row>
    <row r="120" spans="1:10" x14ac:dyDescent="0.25">
      <c r="A120" s="37" t="s">
        <v>207</v>
      </c>
      <c r="B120" s="37" t="s">
        <v>133</v>
      </c>
      <c r="C120" s="37" t="s">
        <v>204</v>
      </c>
      <c r="D120" s="37">
        <v>9035</v>
      </c>
      <c r="F120"/>
      <c r="J120"/>
    </row>
    <row r="121" spans="1:10" x14ac:dyDescent="0.25">
      <c r="A121" s="37" t="s">
        <v>208</v>
      </c>
      <c r="B121" s="37" t="s">
        <v>133</v>
      </c>
      <c r="C121" s="37" t="s">
        <v>201</v>
      </c>
      <c r="D121" s="37">
        <v>4333</v>
      </c>
      <c r="F121"/>
      <c r="J121"/>
    </row>
    <row r="122" spans="1:10" x14ac:dyDescent="0.25">
      <c r="A122" s="37" t="s">
        <v>209</v>
      </c>
      <c r="B122" s="37" t="s">
        <v>133</v>
      </c>
      <c r="C122" s="37" t="s">
        <v>202</v>
      </c>
      <c r="D122" s="37">
        <v>8710</v>
      </c>
      <c r="F122"/>
      <c r="J122"/>
    </row>
    <row r="123" spans="1:10" x14ac:dyDescent="0.25">
      <c r="A123" s="37" t="s">
        <v>210</v>
      </c>
      <c r="B123" s="37" t="s">
        <v>133</v>
      </c>
      <c r="C123" s="37" t="s">
        <v>203</v>
      </c>
      <c r="D123" s="37">
        <v>4059</v>
      </c>
      <c r="F123"/>
      <c r="J123"/>
    </row>
    <row r="124" spans="1:10" x14ac:dyDescent="0.25">
      <c r="A124" s="37" t="s">
        <v>211</v>
      </c>
      <c r="B124" s="37" t="s">
        <v>133</v>
      </c>
      <c r="C124" s="37" t="s">
        <v>204</v>
      </c>
      <c r="D124" s="37">
        <v>6750</v>
      </c>
      <c r="F124"/>
      <c r="J124"/>
    </row>
    <row r="125" spans="1:10" x14ac:dyDescent="0.25">
      <c r="A125" s="37" t="s">
        <v>207</v>
      </c>
      <c r="B125" s="37" t="s">
        <v>133</v>
      </c>
      <c r="C125" s="37" t="s">
        <v>201</v>
      </c>
      <c r="D125" s="37">
        <v>6259</v>
      </c>
      <c r="F125"/>
      <c r="J125"/>
    </row>
    <row r="126" spans="1:10" x14ac:dyDescent="0.25">
      <c r="A126" s="37" t="s">
        <v>208</v>
      </c>
      <c r="B126" s="37" t="s">
        <v>133</v>
      </c>
      <c r="C126" s="37" t="s">
        <v>202</v>
      </c>
      <c r="D126" s="37">
        <v>2954</v>
      </c>
      <c r="F126"/>
      <c r="J126"/>
    </row>
    <row r="127" spans="1:10" x14ac:dyDescent="0.25">
      <c r="A127" s="37" t="s">
        <v>209</v>
      </c>
      <c r="B127" s="37" t="s">
        <v>133</v>
      </c>
      <c r="C127" s="37" t="s">
        <v>203</v>
      </c>
      <c r="D127" s="37">
        <v>6382</v>
      </c>
      <c r="F127"/>
      <c r="J127"/>
    </row>
    <row r="128" spans="1:10" x14ac:dyDescent="0.25">
      <c r="A128" s="37" t="s">
        <v>210</v>
      </c>
      <c r="B128" s="37" t="s">
        <v>133</v>
      </c>
      <c r="C128" s="37" t="s">
        <v>204</v>
      </c>
      <c r="D128" s="37">
        <v>4770</v>
      </c>
      <c r="F128"/>
      <c r="J128"/>
    </row>
    <row r="129" spans="1:10" x14ac:dyDescent="0.25">
      <c r="A129" s="37" t="s">
        <v>211</v>
      </c>
      <c r="B129" s="37" t="s">
        <v>133</v>
      </c>
      <c r="C129" s="37" t="s">
        <v>205</v>
      </c>
      <c r="D129" s="37">
        <v>7894</v>
      </c>
      <c r="F129"/>
      <c r="J129"/>
    </row>
    <row r="130" spans="1:10" x14ac:dyDescent="0.25">
      <c r="A130" s="37" t="s">
        <v>207</v>
      </c>
      <c r="B130" s="37" t="s">
        <v>133</v>
      </c>
      <c r="C130" s="37" t="s">
        <v>201</v>
      </c>
      <c r="D130" s="37">
        <v>9119</v>
      </c>
      <c r="F130"/>
      <c r="J130"/>
    </row>
    <row r="131" spans="1:10" x14ac:dyDescent="0.25">
      <c r="A131" s="37" t="s">
        <v>208</v>
      </c>
      <c r="B131" s="37" t="s">
        <v>133</v>
      </c>
      <c r="C131" s="37" t="s">
        <v>202</v>
      </c>
      <c r="D131" s="37">
        <v>1017</v>
      </c>
      <c r="F131"/>
      <c r="J131"/>
    </row>
    <row r="132" spans="1:10" x14ac:dyDescent="0.25">
      <c r="A132" s="37" t="s">
        <v>209</v>
      </c>
      <c r="B132" s="37" t="s">
        <v>133</v>
      </c>
      <c r="C132" s="37" t="s">
        <v>203</v>
      </c>
      <c r="D132" s="37">
        <v>5109</v>
      </c>
      <c r="F132"/>
      <c r="J132"/>
    </row>
    <row r="133" spans="1:10" x14ac:dyDescent="0.25">
      <c r="A133" s="37" t="s">
        <v>210</v>
      </c>
      <c r="B133" s="37" t="s">
        <v>133</v>
      </c>
      <c r="C133" s="37" t="s">
        <v>204</v>
      </c>
      <c r="D133" s="37">
        <v>8630</v>
      </c>
      <c r="F133"/>
      <c r="J133"/>
    </row>
    <row r="134" spans="1:10" x14ac:dyDescent="0.25">
      <c r="A134" s="37" t="s">
        <v>211</v>
      </c>
      <c r="B134" s="37" t="s">
        <v>133</v>
      </c>
      <c r="C134" s="37" t="s">
        <v>201</v>
      </c>
      <c r="D134" s="37">
        <v>6771</v>
      </c>
      <c r="F134"/>
      <c r="J134"/>
    </row>
    <row r="135" spans="1:10" x14ac:dyDescent="0.25">
      <c r="A135" s="37" t="s">
        <v>207</v>
      </c>
      <c r="B135" s="37" t="s">
        <v>133</v>
      </c>
      <c r="C135" s="37" t="s">
        <v>202</v>
      </c>
      <c r="D135" s="37">
        <v>1344</v>
      </c>
      <c r="F135"/>
      <c r="J135"/>
    </row>
    <row r="136" spans="1:10" x14ac:dyDescent="0.25">
      <c r="A136" s="37" t="s">
        <v>208</v>
      </c>
      <c r="B136" s="37" t="s">
        <v>133</v>
      </c>
      <c r="C136" s="37" t="s">
        <v>203</v>
      </c>
      <c r="D136" s="37">
        <v>9772</v>
      </c>
      <c r="F136"/>
      <c r="J136"/>
    </row>
    <row r="137" spans="1:10" x14ac:dyDescent="0.25">
      <c r="A137" s="37" t="s">
        <v>209</v>
      </c>
      <c r="B137" s="37" t="s">
        <v>133</v>
      </c>
      <c r="C137" s="37" t="s">
        <v>204</v>
      </c>
      <c r="D137" s="37">
        <v>1095</v>
      </c>
      <c r="F137"/>
      <c r="J137"/>
    </row>
    <row r="138" spans="1:10" x14ac:dyDescent="0.25">
      <c r="A138" s="37" t="s">
        <v>210</v>
      </c>
      <c r="B138" s="37" t="s">
        <v>133</v>
      </c>
      <c r="C138" s="37" t="s">
        <v>201</v>
      </c>
      <c r="D138" s="37">
        <v>1225</v>
      </c>
      <c r="F138"/>
      <c r="J138"/>
    </row>
    <row r="139" spans="1:10" x14ac:dyDescent="0.25">
      <c r="A139" s="37" t="s">
        <v>211</v>
      </c>
      <c r="B139" s="37" t="s">
        <v>133</v>
      </c>
      <c r="C139" s="37" t="s">
        <v>202</v>
      </c>
      <c r="D139" s="37">
        <v>2959</v>
      </c>
      <c r="F139"/>
      <c r="J139"/>
    </row>
    <row r="140" spans="1:10" x14ac:dyDescent="0.25">
      <c r="A140" s="37" t="s">
        <v>207</v>
      </c>
      <c r="B140" s="37" t="s">
        <v>133</v>
      </c>
      <c r="C140" s="37" t="s">
        <v>203</v>
      </c>
      <c r="D140" s="37">
        <v>7770</v>
      </c>
      <c r="F140"/>
      <c r="J140"/>
    </row>
    <row r="141" spans="1:10" x14ac:dyDescent="0.25">
      <c r="A141" s="37" t="s">
        <v>208</v>
      </c>
      <c r="B141" s="37" t="s">
        <v>133</v>
      </c>
      <c r="C141" s="37" t="s">
        <v>204</v>
      </c>
      <c r="D141" s="37">
        <v>6910</v>
      </c>
      <c r="F141"/>
      <c r="J141"/>
    </row>
    <row r="142" spans="1:10" x14ac:dyDescent="0.25">
      <c r="A142" s="37" t="s">
        <v>209</v>
      </c>
      <c r="B142" s="37" t="s">
        <v>133</v>
      </c>
      <c r="C142" s="37" t="s">
        <v>201</v>
      </c>
      <c r="D142" s="37">
        <v>6740</v>
      </c>
      <c r="F142"/>
      <c r="J142"/>
    </row>
    <row r="143" spans="1:10" x14ac:dyDescent="0.25">
      <c r="A143" s="37" t="s">
        <v>210</v>
      </c>
      <c r="B143" s="37" t="s">
        <v>133</v>
      </c>
      <c r="C143" s="37" t="s">
        <v>202</v>
      </c>
      <c r="D143" s="37">
        <v>8304</v>
      </c>
      <c r="F143"/>
      <c r="J143"/>
    </row>
    <row r="144" spans="1:10" x14ac:dyDescent="0.25">
      <c r="A144" s="37" t="s">
        <v>211</v>
      </c>
      <c r="B144" s="37" t="s">
        <v>133</v>
      </c>
      <c r="C144" s="37" t="s">
        <v>203</v>
      </c>
      <c r="D144" s="37">
        <v>6642</v>
      </c>
      <c r="F144"/>
      <c r="J144"/>
    </row>
    <row r="145" spans="1:10" x14ac:dyDescent="0.25">
      <c r="A145" s="37" t="s">
        <v>207</v>
      </c>
      <c r="B145" s="37" t="s">
        <v>133</v>
      </c>
      <c r="C145" s="37" t="s">
        <v>204</v>
      </c>
      <c r="D145" s="37">
        <v>2611</v>
      </c>
      <c r="F145"/>
      <c r="J145"/>
    </row>
    <row r="146" spans="1:10" x14ac:dyDescent="0.25">
      <c r="A146" s="37" t="s">
        <v>208</v>
      </c>
      <c r="B146" s="37" t="s">
        <v>133</v>
      </c>
      <c r="C146" s="37" t="s">
        <v>201</v>
      </c>
      <c r="D146" s="37">
        <v>2878</v>
      </c>
      <c r="F146"/>
      <c r="J146"/>
    </row>
    <row r="147" spans="1:10" x14ac:dyDescent="0.25">
      <c r="A147" s="37" t="s">
        <v>209</v>
      </c>
      <c r="B147" s="37" t="s">
        <v>133</v>
      </c>
      <c r="C147" s="37" t="s">
        <v>202</v>
      </c>
      <c r="D147" s="37">
        <v>5488</v>
      </c>
      <c r="F147"/>
      <c r="J147"/>
    </row>
    <row r="148" spans="1:10" x14ac:dyDescent="0.25">
      <c r="A148" s="37" t="s">
        <v>210</v>
      </c>
      <c r="B148" s="37" t="s">
        <v>133</v>
      </c>
      <c r="C148" s="37" t="s">
        <v>203</v>
      </c>
      <c r="D148" s="37">
        <v>9968</v>
      </c>
      <c r="F148"/>
      <c r="J148"/>
    </row>
    <row r="149" spans="1:10" x14ac:dyDescent="0.25">
      <c r="A149" s="37" t="s">
        <v>211</v>
      </c>
      <c r="B149" s="37" t="s">
        <v>133</v>
      </c>
      <c r="C149" s="37" t="s">
        <v>204</v>
      </c>
      <c r="D149" s="37">
        <v>1973</v>
      </c>
      <c r="F149"/>
      <c r="J149"/>
    </row>
    <row r="150" spans="1:10" x14ac:dyDescent="0.25">
      <c r="A150" s="37" t="s">
        <v>207</v>
      </c>
      <c r="B150" s="37" t="s">
        <v>133</v>
      </c>
      <c r="C150" s="37" t="s">
        <v>201</v>
      </c>
      <c r="D150" s="37">
        <v>2907</v>
      </c>
      <c r="F150"/>
      <c r="J150"/>
    </row>
    <row r="151" spans="1:10" x14ac:dyDescent="0.25">
      <c r="A151" s="37" t="s">
        <v>208</v>
      </c>
      <c r="B151" s="37" t="s">
        <v>133</v>
      </c>
      <c r="C151" s="37" t="s">
        <v>202</v>
      </c>
      <c r="D151" s="37">
        <v>2997</v>
      </c>
      <c r="F151"/>
      <c r="J151"/>
    </row>
    <row r="152" spans="1:10" x14ac:dyDescent="0.25">
      <c r="A152" s="37" t="s">
        <v>209</v>
      </c>
      <c r="B152" s="37" t="s">
        <v>133</v>
      </c>
      <c r="C152" s="37" t="s">
        <v>203</v>
      </c>
      <c r="D152" s="37">
        <v>3746</v>
      </c>
      <c r="F152"/>
      <c r="J152"/>
    </row>
    <row r="153" spans="1:10" x14ac:dyDescent="0.25">
      <c r="A153" s="37" t="s">
        <v>210</v>
      </c>
      <c r="B153" s="37" t="s">
        <v>133</v>
      </c>
      <c r="C153" s="37" t="s">
        <v>204</v>
      </c>
      <c r="D153" s="37">
        <v>7273</v>
      </c>
      <c r="F153"/>
      <c r="J153"/>
    </row>
    <row r="154" spans="1:10" x14ac:dyDescent="0.25">
      <c r="A154" s="37" t="s">
        <v>211</v>
      </c>
      <c r="B154" s="37" t="s">
        <v>133</v>
      </c>
      <c r="C154" s="37" t="s">
        <v>201</v>
      </c>
      <c r="D154" s="37">
        <v>5723</v>
      </c>
      <c r="F154"/>
      <c r="J154"/>
    </row>
    <row r="155" spans="1:10" x14ac:dyDescent="0.25">
      <c r="A155" s="37" t="s">
        <v>207</v>
      </c>
      <c r="B155" s="37" t="s">
        <v>133</v>
      </c>
      <c r="C155" s="37" t="s">
        <v>202</v>
      </c>
      <c r="D155" s="37">
        <v>2833</v>
      </c>
      <c r="F155"/>
      <c r="J155"/>
    </row>
    <row r="156" spans="1:10" x14ac:dyDescent="0.25">
      <c r="A156" s="37" t="s">
        <v>208</v>
      </c>
      <c r="B156" s="37" t="s">
        <v>133</v>
      </c>
      <c r="C156" s="37" t="s">
        <v>203</v>
      </c>
      <c r="D156" s="37">
        <v>8289</v>
      </c>
      <c r="F156"/>
      <c r="J156"/>
    </row>
    <row r="157" spans="1:10" x14ac:dyDescent="0.25">
      <c r="A157" s="37" t="s">
        <v>209</v>
      </c>
      <c r="B157" s="37" t="s">
        <v>133</v>
      </c>
      <c r="C157" s="37" t="s">
        <v>204</v>
      </c>
      <c r="D157" s="37">
        <v>5029</v>
      </c>
      <c r="F157"/>
      <c r="J157"/>
    </row>
    <row r="158" spans="1:10" x14ac:dyDescent="0.25">
      <c r="A158" s="37" t="s">
        <v>210</v>
      </c>
      <c r="B158" s="37" t="s">
        <v>133</v>
      </c>
      <c r="C158" s="37" t="s">
        <v>201</v>
      </c>
      <c r="D158" s="37">
        <v>7143</v>
      </c>
      <c r="F158"/>
      <c r="J158"/>
    </row>
    <row r="159" spans="1:10" x14ac:dyDescent="0.25">
      <c r="A159" s="37" t="s">
        <v>211</v>
      </c>
      <c r="B159" s="37" t="s">
        <v>133</v>
      </c>
      <c r="C159" s="37" t="s">
        <v>202</v>
      </c>
      <c r="D159" s="37">
        <v>1944</v>
      </c>
      <c r="F159"/>
      <c r="J159"/>
    </row>
    <row r="160" spans="1:10" x14ac:dyDescent="0.25">
      <c r="A160" s="37" t="s">
        <v>207</v>
      </c>
      <c r="B160" s="37" t="s">
        <v>133</v>
      </c>
      <c r="C160" s="37" t="s">
        <v>203</v>
      </c>
      <c r="D160" s="37">
        <v>7531</v>
      </c>
      <c r="F160"/>
      <c r="J160"/>
    </row>
    <row r="161" spans="1:10" x14ac:dyDescent="0.25">
      <c r="A161" s="37" t="s">
        <v>208</v>
      </c>
      <c r="B161" s="37" t="s">
        <v>133</v>
      </c>
      <c r="C161" s="37" t="s">
        <v>204</v>
      </c>
      <c r="D161" s="37">
        <v>7110</v>
      </c>
      <c r="F161"/>
      <c r="J161"/>
    </row>
    <row r="162" spans="1:10" x14ac:dyDescent="0.25">
      <c r="A162" s="37" t="s">
        <v>209</v>
      </c>
      <c r="B162" s="37" t="s">
        <v>133</v>
      </c>
      <c r="C162" s="37" t="s">
        <v>201</v>
      </c>
      <c r="D162" s="37">
        <v>2543</v>
      </c>
      <c r="F162"/>
      <c r="J162"/>
    </row>
    <row r="163" spans="1:10" x14ac:dyDescent="0.25">
      <c r="A163" s="37" t="s">
        <v>210</v>
      </c>
      <c r="B163" s="37" t="s">
        <v>133</v>
      </c>
      <c r="C163" s="37" t="s">
        <v>202</v>
      </c>
      <c r="D163" s="37">
        <v>2296</v>
      </c>
      <c r="F163"/>
      <c r="J163"/>
    </row>
    <row r="164" spans="1:10" x14ac:dyDescent="0.25">
      <c r="A164" s="37" t="s">
        <v>211</v>
      </c>
      <c r="B164" s="37" t="s">
        <v>133</v>
      </c>
      <c r="C164" s="37" t="s">
        <v>203</v>
      </c>
      <c r="D164" s="37">
        <v>1465</v>
      </c>
      <c r="F164"/>
      <c r="J164"/>
    </row>
    <row r="165" spans="1:10" x14ac:dyDescent="0.25">
      <c r="A165" s="37" t="s">
        <v>207</v>
      </c>
      <c r="B165" s="37" t="s">
        <v>133</v>
      </c>
      <c r="C165" s="37" t="s">
        <v>204</v>
      </c>
      <c r="D165" s="37">
        <v>4205</v>
      </c>
      <c r="F165"/>
      <c r="J165"/>
    </row>
    <row r="166" spans="1:10" x14ac:dyDescent="0.25">
      <c r="A166" s="37" t="s">
        <v>208</v>
      </c>
      <c r="B166" s="37" t="s">
        <v>133</v>
      </c>
      <c r="C166" s="37" t="s">
        <v>201</v>
      </c>
      <c r="D166" s="37">
        <v>3194</v>
      </c>
      <c r="F166"/>
      <c r="J166"/>
    </row>
    <row r="167" spans="1:10" x14ac:dyDescent="0.25">
      <c r="A167" s="37" t="s">
        <v>209</v>
      </c>
      <c r="B167" s="37" t="s">
        <v>133</v>
      </c>
      <c r="C167" s="37" t="s">
        <v>202</v>
      </c>
      <c r="D167" s="37">
        <v>7856</v>
      </c>
      <c r="F167"/>
      <c r="J167"/>
    </row>
    <row r="168" spans="1:10" x14ac:dyDescent="0.25">
      <c r="A168" s="37" t="s">
        <v>210</v>
      </c>
      <c r="B168" s="37" t="s">
        <v>133</v>
      </c>
      <c r="C168" s="37" t="s">
        <v>203</v>
      </c>
      <c r="D168" s="37">
        <v>1840</v>
      </c>
      <c r="F168"/>
      <c r="J168"/>
    </row>
    <row r="169" spans="1:10" x14ac:dyDescent="0.25">
      <c r="A169" s="37" t="s">
        <v>211</v>
      </c>
      <c r="B169" s="37" t="s">
        <v>133</v>
      </c>
      <c r="C169" s="37" t="s">
        <v>204</v>
      </c>
      <c r="D169" s="37">
        <v>4634</v>
      </c>
      <c r="F169"/>
      <c r="J169"/>
    </row>
    <row r="170" spans="1:10" x14ac:dyDescent="0.25">
      <c r="A170" s="37" t="s">
        <v>207</v>
      </c>
      <c r="B170" s="37" t="s">
        <v>133</v>
      </c>
      <c r="C170" s="37" t="s">
        <v>201</v>
      </c>
      <c r="D170" s="37">
        <v>5376</v>
      </c>
      <c r="F170"/>
      <c r="J170"/>
    </row>
    <row r="171" spans="1:10" x14ac:dyDescent="0.25">
      <c r="A171" s="37" t="s">
        <v>208</v>
      </c>
      <c r="B171" s="37" t="s">
        <v>133</v>
      </c>
      <c r="C171" s="37" t="s">
        <v>202</v>
      </c>
      <c r="D171" s="37">
        <v>8425</v>
      </c>
      <c r="F171"/>
      <c r="J171"/>
    </row>
    <row r="172" spans="1:10" x14ac:dyDescent="0.25">
      <c r="A172" s="37" t="s">
        <v>209</v>
      </c>
      <c r="B172" s="37" t="s">
        <v>133</v>
      </c>
      <c r="C172" s="37" t="s">
        <v>203</v>
      </c>
      <c r="D172" s="37">
        <v>8325</v>
      </c>
      <c r="F172"/>
      <c r="J172"/>
    </row>
    <row r="173" spans="1:10" x14ac:dyDescent="0.25">
      <c r="A173" s="37" t="s">
        <v>210</v>
      </c>
      <c r="B173" s="37" t="s">
        <v>133</v>
      </c>
      <c r="C173" s="37" t="s">
        <v>204</v>
      </c>
      <c r="D173" s="37">
        <v>5987</v>
      </c>
      <c r="F173"/>
      <c r="J173"/>
    </row>
    <row r="174" spans="1:10" x14ac:dyDescent="0.25">
      <c r="A174" s="37" t="s">
        <v>211</v>
      </c>
      <c r="B174" s="37" t="s">
        <v>133</v>
      </c>
      <c r="C174" s="37" t="s">
        <v>201</v>
      </c>
      <c r="D174" s="37">
        <v>9407</v>
      </c>
      <c r="F174"/>
      <c r="J174"/>
    </row>
    <row r="175" spans="1:10" x14ac:dyDescent="0.25">
      <c r="A175" s="37" t="s">
        <v>207</v>
      </c>
      <c r="B175" s="37" t="s">
        <v>133</v>
      </c>
      <c r="C175" s="37" t="s">
        <v>202</v>
      </c>
      <c r="D175" s="37">
        <v>8891</v>
      </c>
      <c r="F175"/>
      <c r="J175"/>
    </row>
    <row r="176" spans="1:10" x14ac:dyDescent="0.25">
      <c r="A176" s="37" t="s">
        <v>208</v>
      </c>
      <c r="B176" s="37" t="s">
        <v>133</v>
      </c>
      <c r="C176" s="37" t="s">
        <v>203</v>
      </c>
      <c r="D176" s="37">
        <v>3292</v>
      </c>
      <c r="F176"/>
      <c r="J176"/>
    </row>
    <row r="177" spans="1:10" x14ac:dyDescent="0.25">
      <c r="A177" s="37" t="s">
        <v>209</v>
      </c>
      <c r="B177" s="37" t="s">
        <v>133</v>
      </c>
      <c r="C177" s="37" t="s">
        <v>204</v>
      </c>
      <c r="D177" s="37">
        <v>1944</v>
      </c>
      <c r="F177"/>
      <c r="J177"/>
    </row>
    <row r="178" spans="1:10" x14ac:dyDescent="0.25">
      <c r="A178" s="37" t="s">
        <v>210</v>
      </c>
      <c r="B178" s="37" t="s">
        <v>133</v>
      </c>
      <c r="C178" s="37" t="s">
        <v>201</v>
      </c>
      <c r="D178" s="37">
        <v>8782</v>
      </c>
      <c r="F178"/>
      <c r="J178"/>
    </row>
    <row r="179" spans="1:10" x14ac:dyDescent="0.25">
      <c r="A179" s="37" t="s">
        <v>211</v>
      </c>
      <c r="B179" s="37" t="s">
        <v>133</v>
      </c>
      <c r="C179" s="37" t="s">
        <v>202</v>
      </c>
      <c r="D179" s="37">
        <v>8309</v>
      </c>
      <c r="F179"/>
      <c r="J179"/>
    </row>
    <row r="180" spans="1:10" x14ac:dyDescent="0.25">
      <c r="A180" s="37" t="s">
        <v>207</v>
      </c>
      <c r="B180" s="37" t="s">
        <v>174</v>
      </c>
      <c r="C180" s="37" t="s">
        <v>203</v>
      </c>
      <c r="D180" s="37">
        <v>8461</v>
      </c>
      <c r="F180"/>
      <c r="J180"/>
    </row>
    <row r="181" spans="1:10" x14ac:dyDescent="0.25">
      <c r="A181" s="37" t="s">
        <v>208</v>
      </c>
      <c r="B181" s="37" t="s">
        <v>174</v>
      </c>
      <c r="C181" s="37" t="s">
        <v>204</v>
      </c>
      <c r="D181" s="37">
        <v>5175</v>
      </c>
      <c r="F181"/>
      <c r="J181"/>
    </row>
    <row r="182" spans="1:10" x14ac:dyDescent="0.25">
      <c r="A182" s="37" t="s">
        <v>209</v>
      </c>
      <c r="B182" s="37" t="s">
        <v>174</v>
      </c>
      <c r="C182" s="37" t="s">
        <v>201</v>
      </c>
      <c r="D182" s="37">
        <v>6683</v>
      </c>
      <c r="F182"/>
      <c r="J182"/>
    </row>
    <row r="183" spans="1:10" x14ac:dyDescent="0.25">
      <c r="A183" s="37" t="s">
        <v>210</v>
      </c>
      <c r="B183" s="37" t="s">
        <v>174</v>
      </c>
      <c r="C183" s="37" t="s">
        <v>202</v>
      </c>
      <c r="D183" s="37">
        <v>5072</v>
      </c>
      <c r="F183"/>
      <c r="J183"/>
    </row>
    <row r="184" spans="1:10" x14ac:dyDescent="0.25">
      <c r="A184" s="37" t="s">
        <v>211</v>
      </c>
      <c r="B184" s="37" t="s">
        <v>174</v>
      </c>
      <c r="C184" s="37" t="s">
        <v>203</v>
      </c>
      <c r="D184" s="37">
        <v>8287</v>
      </c>
      <c r="F184"/>
      <c r="J184"/>
    </row>
    <row r="185" spans="1:10" x14ac:dyDescent="0.25">
      <c r="A185" s="37" t="s">
        <v>207</v>
      </c>
      <c r="B185" s="37" t="s">
        <v>174</v>
      </c>
      <c r="C185" s="37" t="s">
        <v>204</v>
      </c>
      <c r="D185" s="37">
        <v>2562</v>
      </c>
      <c r="F185"/>
      <c r="J185"/>
    </row>
    <row r="186" spans="1:10" x14ac:dyDescent="0.25">
      <c r="A186" s="37" t="s">
        <v>208</v>
      </c>
      <c r="B186" s="37" t="s">
        <v>174</v>
      </c>
      <c r="C186" s="37" t="s">
        <v>201</v>
      </c>
      <c r="D186" s="37">
        <v>6702</v>
      </c>
      <c r="F186"/>
      <c r="J186"/>
    </row>
    <row r="187" spans="1:10" x14ac:dyDescent="0.25">
      <c r="A187" s="37" t="s">
        <v>209</v>
      </c>
      <c r="B187" s="37" t="s">
        <v>174</v>
      </c>
      <c r="C187" s="37" t="s">
        <v>202</v>
      </c>
      <c r="D187" s="37">
        <v>3010</v>
      </c>
      <c r="F187"/>
      <c r="J187"/>
    </row>
    <row r="188" spans="1:10" x14ac:dyDescent="0.25">
      <c r="A188" s="37" t="s">
        <v>210</v>
      </c>
      <c r="B188" s="37" t="s">
        <v>174</v>
      </c>
      <c r="C188" s="37" t="s">
        <v>203</v>
      </c>
      <c r="D188" s="37">
        <v>7580</v>
      </c>
      <c r="F188"/>
      <c r="J188"/>
    </row>
    <row r="189" spans="1:10" x14ac:dyDescent="0.25">
      <c r="A189" s="37" t="s">
        <v>211</v>
      </c>
      <c r="B189" s="37" t="s">
        <v>174</v>
      </c>
      <c r="C189" s="37" t="s">
        <v>204</v>
      </c>
      <c r="D189" s="37">
        <v>4887</v>
      </c>
      <c r="F189"/>
      <c r="J189"/>
    </row>
    <row r="190" spans="1:10" x14ac:dyDescent="0.25">
      <c r="A190" s="37" t="s">
        <v>212</v>
      </c>
      <c r="B190" s="37" t="s">
        <v>174</v>
      </c>
      <c r="C190" s="37" t="s">
        <v>205</v>
      </c>
      <c r="D190" s="37">
        <v>2602</v>
      </c>
      <c r="F190"/>
      <c r="J190"/>
    </row>
    <row r="191" spans="1:10" x14ac:dyDescent="0.25">
      <c r="A191" s="37" t="s">
        <v>207</v>
      </c>
      <c r="B191" s="37" t="s">
        <v>174</v>
      </c>
      <c r="C191" s="37" t="s">
        <v>201</v>
      </c>
      <c r="D191" s="37">
        <v>6218</v>
      </c>
      <c r="F191"/>
      <c r="J191"/>
    </row>
    <row r="192" spans="1:10" x14ac:dyDescent="0.25">
      <c r="A192" s="37" t="s">
        <v>208</v>
      </c>
      <c r="B192" s="37" t="s">
        <v>174</v>
      </c>
      <c r="C192" s="37" t="s">
        <v>202</v>
      </c>
      <c r="D192" s="37">
        <v>8146</v>
      </c>
      <c r="F192"/>
      <c r="J192"/>
    </row>
    <row r="193" spans="1:10" x14ac:dyDescent="0.25">
      <c r="A193" s="37" t="s">
        <v>209</v>
      </c>
      <c r="B193" s="37" t="s">
        <v>174</v>
      </c>
      <c r="C193" s="37" t="s">
        <v>203</v>
      </c>
      <c r="D193" s="37">
        <v>2887</v>
      </c>
      <c r="F193"/>
      <c r="J193"/>
    </row>
    <row r="194" spans="1:10" x14ac:dyDescent="0.25">
      <c r="A194" s="37" t="s">
        <v>210</v>
      </c>
      <c r="B194" s="37" t="s">
        <v>174</v>
      </c>
      <c r="C194" s="37" t="s">
        <v>204</v>
      </c>
      <c r="D194" s="37">
        <v>1749</v>
      </c>
      <c r="F194"/>
      <c r="J194"/>
    </row>
    <row r="195" spans="1:10" x14ac:dyDescent="0.25">
      <c r="A195" s="37" t="s">
        <v>211</v>
      </c>
      <c r="B195" s="37" t="s">
        <v>174</v>
      </c>
      <c r="C195" s="37" t="s">
        <v>201</v>
      </c>
      <c r="D195" s="37">
        <v>4375</v>
      </c>
      <c r="F195"/>
      <c r="J195"/>
    </row>
    <row r="196" spans="1:10" x14ac:dyDescent="0.25">
      <c r="A196" s="37" t="s">
        <v>207</v>
      </c>
      <c r="B196" s="37" t="s">
        <v>174</v>
      </c>
      <c r="C196" s="37" t="s">
        <v>202</v>
      </c>
      <c r="D196" s="37">
        <v>4154</v>
      </c>
      <c r="F196"/>
      <c r="J196"/>
    </row>
    <row r="197" spans="1:10" x14ac:dyDescent="0.25">
      <c r="A197" s="37" t="s">
        <v>208</v>
      </c>
      <c r="B197" s="37" t="s">
        <v>174</v>
      </c>
      <c r="C197" s="37" t="s">
        <v>203</v>
      </c>
      <c r="D197" s="37">
        <v>5763</v>
      </c>
      <c r="F197"/>
      <c r="J197"/>
    </row>
    <row r="198" spans="1:10" x14ac:dyDescent="0.25">
      <c r="A198" s="37" t="s">
        <v>209</v>
      </c>
      <c r="B198" s="37" t="s">
        <v>174</v>
      </c>
      <c r="C198" s="37" t="s">
        <v>204</v>
      </c>
      <c r="D198" s="37">
        <v>5509</v>
      </c>
      <c r="F198"/>
      <c r="J198"/>
    </row>
    <row r="199" spans="1:10" x14ac:dyDescent="0.25">
      <c r="A199" s="37" t="s">
        <v>210</v>
      </c>
      <c r="B199" s="37" t="s">
        <v>174</v>
      </c>
      <c r="C199" s="37" t="s">
        <v>201</v>
      </c>
      <c r="D199" s="37">
        <v>8461</v>
      </c>
      <c r="F199"/>
      <c r="J199"/>
    </row>
    <row r="200" spans="1:10" x14ac:dyDescent="0.25">
      <c r="A200" s="37" t="s">
        <v>211</v>
      </c>
      <c r="B200" s="37" t="s">
        <v>174</v>
      </c>
      <c r="C200" s="37" t="s">
        <v>202</v>
      </c>
      <c r="D200" s="37">
        <v>3817</v>
      </c>
      <c r="F200"/>
      <c r="J200"/>
    </row>
    <row r="201" spans="1:10" x14ac:dyDescent="0.25">
      <c r="A201" s="37" t="s">
        <v>207</v>
      </c>
      <c r="B201" s="37" t="s">
        <v>174</v>
      </c>
      <c r="C201" s="37" t="s">
        <v>203</v>
      </c>
      <c r="D201" s="37">
        <v>4896</v>
      </c>
      <c r="F201"/>
      <c r="J201"/>
    </row>
    <row r="202" spans="1:10" x14ac:dyDescent="0.25">
      <c r="A202" s="37" t="s">
        <v>208</v>
      </c>
      <c r="B202" s="37" t="s">
        <v>174</v>
      </c>
      <c r="C202" s="37" t="s">
        <v>204</v>
      </c>
      <c r="D202" s="37">
        <v>5223</v>
      </c>
      <c r="F202"/>
      <c r="J202"/>
    </row>
    <row r="203" spans="1:10" x14ac:dyDescent="0.25">
      <c r="A203" s="37" t="s">
        <v>209</v>
      </c>
      <c r="B203" s="37" t="s">
        <v>174</v>
      </c>
      <c r="C203" s="37" t="s">
        <v>201</v>
      </c>
      <c r="D203" s="37">
        <v>2984</v>
      </c>
      <c r="F203"/>
      <c r="J203"/>
    </row>
    <row r="204" spans="1:10" x14ac:dyDescent="0.25">
      <c r="A204" s="37" t="s">
        <v>210</v>
      </c>
      <c r="B204" s="37" t="s">
        <v>174</v>
      </c>
      <c r="C204" s="37" t="s">
        <v>202</v>
      </c>
      <c r="D204" s="37">
        <v>4183</v>
      </c>
      <c r="F204"/>
      <c r="J204"/>
    </row>
    <row r="205" spans="1:10" x14ac:dyDescent="0.25">
      <c r="A205" s="37" t="s">
        <v>211</v>
      </c>
      <c r="B205" s="37" t="s">
        <v>174</v>
      </c>
      <c r="C205" s="37" t="s">
        <v>203</v>
      </c>
      <c r="D205" s="37">
        <v>4984</v>
      </c>
      <c r="F205"/>
      <c r="J205"/>
    </row>
    <row r="206" spans="1:10" x14ac:dyDescent="0.25">
      <c r="A206" s="37" t="s">
        <v>207</v>
      </c>
      <c r="B206" s="37" t="s">
        <v>174</v>
      </c>
      <c r="C206" s="37" t="s">
        <v>204</v>
      </c>
      <c r="D206" s="37">
        <v>5291</v>
      </c>
      <c r="F206"/>
      <c r="J206"/>
    </row>
    <row r="207" spans="1:10" x14ac:dyDescent="0.25">
      <c r="A207" s="37" t="s">
        <v>208</v>
      </c>
      <c r="B207" s="37" t="s">
        <v>174</v>
      </c>
      <c r="C207" s="37" t="s">
        <v>201</v>
      </c>
      <c r="D207" s="37">
        <v>9106</v>
      </c>
      <c r="F207"/>
      <c r="J207"/>
    </row>
    <row r="208" spans="1:10" x14ac:dyDescent="0.25">
      <c r="A208" s="37" t="s">
        <v>209</v>
      </c>
      <c r="B208" s="37" t="s">
        <v>174</v>
      </c>
      <c r="C208" s="37" t="s">
        <v>202</v>
      </c>
      <c r="D208" s="37">
        <v>8682</v>
      </c>
      <c r="F208"/>
      <c r="J208"/>
    </row>
    <row r="209" spans="1:10" x14ac:dyDescent="0.25">
      <c r="A209" s="37" t="s">
        <v>210</v>
      </c>
      <c r="B209" s="37" t="s">
        <v>174</v>
      </c>
      <c r="C209" s="37" t="s">
        <v>203</v>
      </c>
      <c r="D209" s="37">
        <v>5237</v>
      </c>
      <c r="F209"/>
      <c r="J209"/>
    </row>
    <row r="210" spans="1:10" x14ac:dyDescent="0.25">
      <c r="A210" s="37" t="s">
        <v>211</v>
      </c>
      <c r="B210" s="37" t="s">
        <v>174</v>
      </c>
      <c r="C210" s="37" t="s">
        <v>204</v>
      </c>
      <c r="D210" s="37">
        <v>3450</v>
      </c>
      <c r="F210"/>
      <c r="J210"/>
    </row>
    <row r="211" spans="1:10" x14ac:dyDescent="0.25">
      <c r="A211" s="37" t="s">
        <v>207</v>
      </c>
      <c r="B211" s="37" t="s">
        <v>174</v>
      </c>
      <c r="C211" s="37" t="s">
        <v>201</v>
      </c>
      <c r="D211" s="37">
        <v>6240</v>
      </c>
      <c r="F211"/>
      <c r="J211"/>
    </row>
    <row r="212" spans="1:10" x14ac:dyDescent="0.25">
      <c r="A212" s="37" t="s">
        <v>208</v>
      </c>
      <c r="B212" s="37" t="s">
        <v>174</v>
      </c>
      <c r="C212" s="37" t="s">
        <v>202</v>
      </c>
      <c r="D212" s="37">
        <v>2620</v>
      </c>
      <c r="F212"/>
      <c r="J212"/>
    </row>
    <row r="213" spans="1:10" x14ac:dyDescent="0.25">
      <c r="A213" s="37" t="s">
        <v>209</v>
      </c>
      <c r="B213" s="37" t="s">
        <v>174</v>
      </c>
      <c r="C213" s="37" t="s">
        <v>203</v>
      </c>
      <c r="D213" s="37">
        <v>3956</v>
      </c>
      <c r="F213"/>
      <c r="J213"/>
    </row>
    <row r="214" spans="1:10" x14ac:dyDescent="0.25">
      <c r="A214" s="37" t="s">
        <v>210</v>
      </c>
      <c r="B214" s="37" t="s">
        <v>174</v>
      </c>
      <c r="C214" s="37" t="s">
        <v>204</v>
      </c>
      <c r="D214" s="37">
        <v>4910</v>
      </c>
      <c r="F214"/>
      <c r="J214"/>
    </row>
    <row r="215" spans="1:10" x14ac:dyDescent="0.25">
      <c r="A215" s="37" t="s">
        <v>211</v>
      </c>
      <c r="B215" s="37" t="s">
        <v>174</v>
      </c>
      <c r="C215" s="37" t="s">
        <v>201</v>
      </c>
      <c r="D215" s="37">
        <v>7369</v>
      </c>
      <c r="F215"/>
      <c r="J215"/>
    </row>
    <row r="216" spans="1:10" x14ac:dyDescent="0.25">
      <c r="A216" s="37" t="s">
        <v>207</v>
      </c>
      <c r="B216" s="37" t="s">
        <v>174</v>
      </c>
      <c r="C216" s="37" t="s">
        <v>202</v>
      </c>
      <c r="D216" s="37">
        <v>2887</v>
      </c>
      <c r="F216"/>
      <c r="J216"/>
    </row>
    <row r="217" spans="1:10" x14ac:dyDescent="0.25">
      <c r="A217" s="37" t="s">
        <v>208</v>
      </c>
      <c r="B217" s="37" t="s">
        <v>174</v>
      </c>
      <c r="C217" s="37" t="s">
        <v>203</v>
      </c>
      <c r="D217" s="37">
        <v>2185</v>
      </c>
      <c r="F217"/>
      <c r="J217"/>
    </row>
    <row r="218" spans="1:10" x14ac:dyDescent="0.25">
      <c r="A218" s="37" t="s">
        <v>209</v>
      </c>
      <c r="B218" s="37" t="s">
        <v>174</v>
      </c>
      <c r="C218" s="37" t="s">
        <v>204</v>
      </c>
      <c r="D218" s="37">
        <v>7199</v>
      </c>
      <c r="F218"/>
      <c r="J218"/>
    </row>
    <row r="219" spans="1:10" x14ac:dyDescent="0.25">
      <c r="A219" s="37" t="s">
        <v>210</v>
      </c>
      <c r="B219" s="37" t="s">
        <v>174</v>
      </c>
      <c r="C219" s="37" t="s">
        <v>201</v>
      </c>
      <c r="D219" s="37">
        <v>1605</v>
      </c>
      <c r="F219"/>
      <c r="J219"/>
    </row>
    <row r="220" spans="1:10" x14ac:dyDescent="0.25">
      <c r="A220" s="37" t="s">
        <v>211</v>
      </c>
      <c r="B220" s="37" t="s">
        <v>174</v>
      </c>
      <c r="C220" s="37" t="s">
        <v>202</v>
      </c>
      <c r="D220" s="37">
        <v>7285</v>
      </c>
      <c r="F220"/>
      <c r="J220"/>
    </row>
    <row r="221" spans="1:10" x14ac:dyDescent="0.25">
      <c r="A221" s="37" t="s">
        <v>207</v>
      </c>
      <c r="B221" s="37" t="s">
        <v>174</v>
      </c>
      <c r="C221" s="37" t="s">
        <v>203</v>
      </c>
      <c r="D221" s="37">
        <v>8862</v>
      </c>
      <c r="F221"/>
      <c r="J221"/>
    </row>
    <row r="222" spans="1:10" x14ac:dyDescent="0.25">
      <c r="A222" s="37" t="s">
        <v>208</v>
      </c>
      <c r="B222" s="37" t="s">
        <v>174</v>
      </c>
      <c r="C222" s="37" t="s">
        <v>204</v>
      </c>
      <c r="D222" s="37">
        <v>2289</v>
      </c>
      <c r="F222"/>
      <c r="J222"/>
    </row>
    <row r="223" spans="1:10" x14ac:dyDescent="0.25">
      <c r="A223" s="37" t="s">
        <v>209</v>
      </c>
      <c r="B223" s="37" t="s">
        <v>174</v>
      </c>
      <c r="C223" s="37" t="s">
        <v>201</v>
      </c>
      <c r="D223" s="37">
        <v>1942</v>
      </c>
      <c r="F223"/>
      <c r="J223"/>
    </row>
    <row r="224" spans="1:10" x14ac:dyDescent="0.25">
      <c r="A224" s="37" t="s">
        <v>210</v>
      </c>
      <c r="B224" s="37" t="s">
        <v>174</v>
      </c>
      <c r="C224" s="37" t="s">
        <v>202</v>
      </c>
      <c r="D224" s="37">
        <v>1896</v>
      </c>
      <c r="F224"/>
      <c r="J224"/>
    </row>
    <row r="225" spans="1:10" x14ac:dyDescent="0.25">
      <c r="A225" s="37" t="s">
        <v>211</v>
      </c>
      <c r="B225" s="37" t="s">
        <v>174</v>
      </c>
      <c r="C225" s="37" t="s">
        <v>203</v>
      </c>
      <c r="D225" s="37">
        <v>5045</v>
      </c>
      <c r="F225"/>
      <c r="J225"/>
    </row>
    <row r="226" spans="1:10" x14ac:dyDescent="0.25">
      <c r="A226" s="37" t="s">
        <v>207</v>
      </c>
      <c r="B226" s="37" t="s">
        <v>174</v>
      </c>
      <c r="C226" s="37" t="s">
        <v>204</v>
      </c>
      <c r="D226" s="37">
        <v>2264</v>
      </c>
      <c r="F226"/>
      <c r="J226"/>
    </row>
    <row r="227" spans="1:10" x14ac:dyDescent="0.25">
      <c r="A227" s="37" t="s">
        <v>208</v>
      </c>
      <c r="B227" s="37" t="s">
        <v>174</v>
      </c>
      <c r="C227" s="37" t="s">
        <v>201</v>
      </c>
      <c r="D227" s="37">
        <v>5028</v>
      </c>
      <c r="F227"/>
      <c r="J227"/>
    </row>
    <row r="228" spans="1:10" x14ac:dyDescent="0.25">
      <c r="A228" s="37" t="s">
        <v>209</v>
      </c>
      <c r="B228" s="37" t="s">
        <v>174</v>
      </c>
      <c r="C228" s="37" t="s">
        <v>202</v>
      </c>
      <c r="D228" s="37">
        <v>5002</v>
      </c>
      <c r="F228"/>
      <c r="J228"/>
    </row>
    <row r="229" spans="1:10" x14ac:dyDescent="0.25">
      <c r="A229" s="37" t="s">
        <v>210</v>
      </c>
      <c r="B229" s="37" t="s">
        <v>174</v>
      </c>
      <c r="C229" s="37" t="s">
        <v>203</v>
      </c>
      <c r="D229" s="37">
        <v>9850</v>
      </c>
      <c r="F229"/>
      <c r="J229"/>
    </row>
    <row r="230" spans="1:10" x14ac:dyDescent="0.25">
      <c r="A230" s="37" t="s">
        <v>211</v>
      </c>
      <c r="B230" s="37" t="s">
        <v>174</v>
      </c>
      <c r="C230" s="37" t="s">
        <v>204</v>
      </c>
      <c r="D230" s="37">
        <v>7900</v>
      </c>
      <c r="F230"/>
      <c r="J230"/>
    </row>
    <row r="231" spans="1:10" x14ac:dyDescent="0.25">
      <c r="A231" s="37" t="s">
        <v>207</v>
      </c>
      <c r="B231" s="37" t="s">
        <v>174</v>
      </c>
      <c r="C231" s="37" t="s">
        <v>201</v>
      </c>
      <c r="D231" s="37">
        <v>7510</v>
      </c>
      <c r="F231"/>
      <c r="J231"/>
    </row>
    <row r="232" spans="1:10" x14ac:dyDescent="0.25">
      <c r="A232" s="37" t="s">
        <v>208</v>
      </c>
      <c r="B232" s="37" t="s">
        <v>174</v>
      </c>
      <c r="C232" s="37" t="s">
        <v>202</v>
      </c>
      <c r="D232" s="37">
        <v>9603</v>
      </c>
      <c r="F232"/>
      <c r="J232"/>
    </row>
    <row r="233" spans="1:10" x14ac:dyDescent="0.25">
      <c r="A233" s="37" t="s">
        <v>209</v>
      </c>
      <c r="B233" s="37" t="s">
        <v>174</v>
      </c>
      <c r="C233" s="37" t="s">
        <v>203</v>
      </c>
      <c r="D233" s="37">
        <v>4289</v>
      </c>
      <c r="F233"/>
      <c r="J233"/>
    </row>
    <row r="234" spans="1:10" x14ac:dyDescent="0.25">
      <c r="A234" s="37" t="s">
        <v>210</v>
      </c>
      <c r="B234" s="37" t="s">
        <v>174</v>
      </c>
      <c r="C234" s="37" t="s">
        <v>204</v>
      </c>
      <c r="D234" s="37">
        <v>5902</v>
      </c>
      <c r="F234"/>
      <c r="J234"/>
    </row>
    <row r="235" spans="1:10" x14ac:dyDescent="0.25">
      <c r="A235" s="37" t="s">
        <v>211</v>
      </c>
      <c r="B235" s="37" t="s">
        <v>174</v>
      </c>
      <c r="C235" s="37" t="s">
        <v>201</v>
      </c>
      <c r="D235" s="37">
        <v>2321</v>
      </c>
      <c r="F235"/>
      <c r="J235"/>
    </row>
    <row r="236" spans="1:10" x14ac:dyDescent="0.25">
      <c r="A236" s="37" t="s">
        <v>207</v>
      </c>
      <c r="B236" s="37" t="s">
        <v>174</v>
      </c>
      <c r="C236" s="37" t="s">
        <v>202</v>
      </c>
      <c r="D236" s="37">
        <v>1472</v>
      </c>
      <c r="F236"/>
      <c r="J236"/>
    </row>
    <row r="237" spans="1:10" x14ac:dyDescent="0.25">
      <c r="A237" s="37" t="s">
        <v>208</v>
      </c>
      <c r="B237" s="37" t="s">
        <v>174</v>
      </c>
      <c r="C237" s="37" t="s">
        <v>203</v>
      </c>
      <c r="D237" s="37">
        <v>9384</v>
      </c>
      <c r="F237"/>
      <c r="J237"/>
    </row>
    <row r="238" spans="1:10" x14ac:dyDescent="0.25">
      <c r="A238" s="37" t="s">
        <v>209</v>
      </c>
      <c r="B238" s="37" t="s">
        <v>174</v>
      </c>
      <c r="C238" s="37" t="s">
        <v>204</v>
      </c>
      <c r="D238" s="37">
        <v>9959</v>
      </c>
      <c r="F238"/>
      <c r="J238"/>
    </row>
    <row r="239" spans="1:10" x14ac:dyDescent="0.25">
      <c r="A239" s="37" t="s">
        <v>210</v>
      </c>
      <c r="B239" s="37" t="s">
        <v>174</v>
      </c>
      <c r="C239" s="37" t="s">
        <v>201</v>
      </c>
      <c r="D239" s="37">
        <v>6909</v>
      </c>
      <c r="F239"/>
      <c r="J239"/>
    </row>
    <row r="240" spans="1:10" x14ac:dyDescent="0.25">
      <c r="A240" s="37" t="s">
        <v>211</v>
      </c>
      <c r="B240" s="37" t="s">
        <v>174</v>
      </c>
      <c r="C240" s="37" t="s">
        <v>202</v>
      </c>
      <c r="D240" s="37">
        <v>6791</v>
      </c>
      <c r="F240"/>
      <c r="J240"/>
    </row>
    <row r="241" spans="1:10" x14ac:dyDescent="0.25">
      <c r="A241" s="37" t="s">
        <v>207</v>
      </c>
      <c r="B241" s="37" t="s">
        <v>174</v>
      </c>
      <c r="C241" s="37" t="s">
        <v>203</v>
      </c>
      <c r="D241" s="37">
        <v>6129</v>
      </c>
      <c r="F241"/>
      <c r="J241"/>
    </row>
    <row r="242" spans="1:10" x14ac:dyDescent="0.25">
      <c r="A242" s="37" t="s">
        <v>208</v>
      </c>
      <c r="B242" s="37" t="s">
        <v>174</v>
      </c>
      <c r="C242" s="37" t="s">
        <v>204</v>
      </c>
      <c r="D242" s="37">
        <v>3272</v>
      </c>
      <c r="F242"/>
      <c r="J242"/>
    </row>
    <row r="243" spans="1:10" x14ac:dyDescent="0.25">
      <c r="A243" s="37" t="s">
        <v>209</v>
      </c>
      <c r="B243" s="37" t="s">
        <v>174</v>
      </c>
      <c r="C243" s="37" t="s">
        <v>201</v>
      </c>
      <c r="D243" s="37">
        <v>5771</v>
      </c>
      <c r="F243"/>
      <c r="J243"/>
    </row>
    <row r="244" spans="1:10" x14ac:dyDescent="0.25">
      <c r="A244" s="37" t="s">
        <v>210</v>
      </c>
      <c r="B244" s="37" t="s">
        <v>174</v>
      </c>
      <c r="C244" s="37" t="s">
        <v>202</v>
      </c>
      <c r="D244" s="37">
        <v>7237</v>
      </c>
      <c r="F244"/>
      <c r="J244"/>
    </row>
    <row r="245" spans="1:10" x14ac:dyDescent="0.25">
      <c r="A245" s="37" t="s">
        <v>211</v>
      </c>
      <c r="B245" s="37" t="s">
        <v>174</v>
      </c>
      <c r="C245" s="37" t="s">
        <v>203</v>
      </c>
      <c r="D245" s="37">
        <v>4729</v>
      </c>
      <c r="F245"/>
      <c r="J245"/>
    </row>
    <row r="246" spans="1:10" x14ac:dyDescent="0.25">
      <c r="A246" s="37" t="s">
        <v>207</v>
      </c>
      <c r="B246" s="37" t="s">
        <v>174</v>
      </c>
      <c r="C246" s="37" t="s">
        <v>204</v>
      </c>
      <c r="D246" s="37">
        <v>6598</v>
      </c>
      <c r="F246"/>
      <c r="J246"/>
    </row>
    <row r="247" spans="1:10" x14ac:dyDescent="0.25">
      <c r="A247" s="37" t="s">
        <v>208</v>
      </c>
      <c r="B247" s="37" t="s">
        <v>174</v>
      </c>
      <c r="C247" s="37" t="s">
        <v>201</v>
      </c>
      <c r="D247" s="37">
        <v>3094</v>
      </c>
      <c r="F247"/>
      <c r="J247"/>
    </row>
    <row r="248" spans="1:10" x14ac:dyDescent="0.25">
      <c r="A248" s="37" t="s">
        <v>209</v>
      </c>
      <c r="B248" s="37" t="s">
        <v>174</v>
      </c>
      <c r="C248" s="37" t="s">
        <v>202</v>
      </c>
      <c r="D248" s="37">
        <v>1597</v>
      </c>
      <c r="F248"/>
      <c r="J248"/>
    </row>
    <row r="249" spans="1:10" x14ac:dyDescent="0.25">
      <c r="A249" s="37" t="s">
        <v>210</v>
      </c>
      <c r="B249" s="37" t="s">
        <v>174</v>
      </c>
      <c r="C249" s="37" t="s">
        <v>203</v>
      </c>
      <c r="D249" s="37">
        <v>5834</v>
      </c>
      <c r="F249"/>
      <c r="J249"/>
    </row>
    <row r="250" spans="1:10" x14ac:dyDescent="0.25">
      <c r="A250" s="37" t="s">
        <v>211</v>
      </c>
      <c r="B250" s="37" t="s">
        <v>174</v>
      </c>
      <c r="C250" s="37" t="s">
        <v>204</v>
      </c>
      <c r="D250" s="37">
        <v>7950</v>
      </c>
      <c r="F250"/>
      <c r="J250"/>
    </row>
    <row r="251" spans="1:10" x14ac:dyDescent="0.25">
      <c r="A251" s="37" t="s">
        <v>207</v>
      </c>
      <c r="B251" s="37" t="s">
        <v>174</v>
      </c>
      <c r="C251" s="37" t="s">
        <v>205</v>
      </c>
      <c r="D251" s="37">
        <v>2749</v>
      </c>
      <c r="F251"/>
      <c r="J251"/>
    </row>
    <row r="252" spans="1:10" x14ac:dyDescent="0.25">
      <c r="A252" s="37" t="s">
        <v>208</v>
      </c>
      <c r="B252" s="37" t="s">
        <v>174</v>
      </c>
      <c r="C252" s="37" t="s">
        <v>201</v>
      </c>
      <c r="D252" s="37">
        <v>5456</v>
      </c>
      <c r="F252"/>
      <c r="J252"/>
    </row>
    <row r="253" spans="1:10" x14ac:dyDescent="0.25">
      <c r="A253" s="37" t="s">
        <v>209</v>
      </c>
      <c r="B253" s="37" t="s">
        <v>174</v>
      </c>
      <c r="C253" s="37" t="s">
        <v>202</v>
      </c>
      <c r="D253" s="37">
        <v>4393</v>
      </c>
      <c r="F253"/>
      <c r="J253"/>
    </row>
    <row r="254" spans="1:10" x14ac:dyDescent="0.25">
      <c r="A254" s="37" t="s">
        <v>210</v>
      </c>
      <c r="B254" s="37" t="s">
        <v>174</v>
      </c>
      <c r="C254" s="37" t="s">
        <v>203</v>
      </c>
      <c r="D254" s="37">
        <v>6786</v>
      </c>
      <c r="F254"/>
      <c r="J254"/>
    </row>
    <row r="255" spans="1:10" x14ac:dyDescent="0.25">
      <c r="A255" s="37" t="s">
        <v>211</v>
      </c>
      <c r="B255" s="37" t="s">
        <v>174</v>
      </c>
      <c r="C255" s="37" t="s">
        <v>204</v>
      </c>
      <c r="D255" s="37">
        <v>6214</v>
      </c>
      <c r="F255"/>
      <c r="J255"/>
    </row>
    <row r="256" spans="1:10" x14ac:dyDescent="0.25">
      <c r="A256" s="37" t="s">
        <v>207</v>
      </c>
      <c r="B256" s="37" t="s">
        <v>174</v>
      </c>
      <c r="C256" s="37" t="s">
        <v>201</v>
      </c>
      <c r="D256" s="37">
        <v>6589</v>
      </c>
      <c r="F256"/>
      <c r="J256"/>
    </row>
    <row r="257" spans="1:10" x14ac:dyDescent="0.25">
      <c r="A257" s="37" t="s">
        <v>208</v>
      </c>
      <c r="B257" s="37" t="s">
        <v>174</v>
      </c>
      <c r="C257" s="37" t="s">
        <v>202</v>
      </c>
      <c r="D257" s="37">
        <v>4374</v>
      </c>
      <c r="F257"/>
      <c r="J257"/>
    </row>
    <row r="258" spans="1:10" x14ac:dyDescent="0.25">
      <c r="A258" s="37" t="s">
        <v>209</v>
      </c>
      <c r="B258" s="37" t="s">
        <v>174</v>
      </c>
      <c r="C258" s="37" t="s">
        <v>203</v>
      </c>
      <c r="D258" s="37">
        <v>9936</v>
      </c>
      <c r="F258"/>
      <c r="J258"/>
    </row>
    <row r="259" spans="1:10" x14ac:dyDescent="0.25">
      <c r="A259" s="37" t="s">
        <v>210</v>
      </c>
      <c r="B259" s="37" t="s">
        <v>174</v>
      </c>
      <c r="C259" s="37" t="s">
        <v>204</v>
      </c>
      <c r="D259" s="37">
        <v>6226</v>
      </c>
      <c r="F259"/>
      <c r="J259"/>
    </row>
    <row r="260" spans="1:10" x14ac:dyDescent="0.25">
      <c r="A260" s="37" t="s">
        <v>211</v>
      </c>
      <c r="B260" s="37" t="s">
        <v>174</v>
      </c>
      <c r="C260" s="37" t="s">
        <v>201</v>
      </c>
      <c r="D260" s="37">
        <v>8886</v>
      </c>
      <c r="F260"/>
      <c r="J260"/>
    </row>
    <row r="261" spans="1:10" x14ac:dyDescent="0.25">
      <c r="A261" s="37" t="s">
        <v>207</v>
      </c>
      <c r="B261" s="37" t="s">
        <v>174</v>
      </c>
      <c r="C261" s="37" t="s">
        <v>202</v>
      </c>
      <c r="D261" s="37">
        <v>8469</v>
      </c>
      <c r="F261"/>
      <c r="J261"/>
    </row>
    <row r="262" spans="1:10" x14ac:dyDescent="0.25">
      <c r="A262" s="37" t="s">
        <v>208</v>
      </c>
      <c r="B262" s="37" t="s">
        <v>174</v>
      </c>
      <c r="C262" s="37" t="s">
        <v>203</v>
      </c>
      <c r="D262" s="37">
        <v>4256</v>
      </c>
      <c r="F262"/>
      <c r="J262"/>
    </row>
    <row r="263" spans="1:10" x14ac:dyDescent="0.25">
      <c r="A263" s="37" t="s">
        <v>209</v>
      </c>
      <c r="B263" s="37" t="s">
        <v>174</v>
      </c>
      <c r="C263" s="37" t="s">
        <v>204</v>
      </c>
      <c r="D263" s="37">
        <v>5665</v>
      </c>
      <c r="F263"/>
      <c r="J263"/>
    </row>
    <row r="264" spans="1:10" x14ac:dyDescent="0.25">
      <c r="A264" s="37" t="s">
        <v>210</v>
      </c>
      <c r="B264" s="37" t="s">
        <v>174</v>
      </c>
      <c r="C264" s="37" t="s">
        <v>201</v>
      </c>
      <c r="D264" s="37">
        <v>1809</v>
      </c>
      <c r="F264"/>
      <c r="J264"/>
    </row>
    <row r="265" spans="1:10" x14ac:dyDescent="0.25">
      <c r="A265" s="37" t="s">
        <v>211</v>
      </c>
      <c r="B265" s="37" t="s">
        <v>174</v>
      </c>
      <c r="C265" s="37" t="s">
        <v>202</v>
      </c>
      <c r="D265" s="37">
        <v>5489</v>
      </c>
      <c r="F265"/>
      <c r="J265"/>
    </row>
    <row r="266" spans="1:10" x14ac:dyDescent="0.25">
      <c r="A266" s="37" t="s">
        <v>207</v>
      </c>
      <c r="B266" s="37" t="s">
        <v>174</v>
      </c>
      <c r="C266" s="37" t="s">
        <v>203</v>
      </c>
      <c r="D266" s="37">
        <v>9227</v>
      </c>
      <c r="F266"/>
      <c r="J266"/>
    </row>
    <row r="267" spans="1:10" x14ac:dyDescent="0.25">
      <c r="A267" s="37" t="s">
        <v>208</v>
      </c>
      <c r="B267" s="37" t="s">
        <v>174</v>
      </c>
      <c r="C267" s="37" t="s">
        <v>204</v>
      </c>
      <c r="D267" s="37">
        <v>6170</v>
      </c>
      <c r="F267"/>
      <c r="J267"/>
    </row>
    <row r="268" spans="1:10" x14ac:dyDescent="0.25">
      <c r="A268" s="37" t="s">
        <v>209</v>
      </c>
      <c r="B268" s="37" t="s">
        <v>174</v>
      </c>
      <c r="C268" s="37" t="s">
        <v>201</v>
      </c>
      <c r="D268" s="37">
        <v>8665</v>
      </c>
      <c r="F268"/>
      <c r="J268"/>
    </row>
    <row r="269" spans="1:10" x14ac:dyDescent="0.25">
      <c r="A269" s="37" t="s">
        <v>210</v>
      </c>
      <c r="B269" s="37" t="s">
        <v>174</v>
      </c>
      <c r="C269" s="37" t="s">
        <v>202</v>
      </c>
      <c r="D269" s="37">
        <v>1096</v>
      </c>
      <c r="F269"/>
      <c r="J269"/>
    </row>
    <row r="270" spans="1:10" x14ac:dyDescent="0.25">
      <c r="A270" s="37" t="s">
        <v>211</v>
      </c>
      <c r="B270" s="37" t="s">
        <v>174</v>
      </c>
      <c r="C270" s="37" t="s">
        <v>203</v>
      </c>
      <c r="D270" s="37">
        <v>2444</v>
      </c>
      <c r="F270"/>
      <c r="J270"/>
    </row>
    <row r="271" spans="1:10" x14ac:dyDescent="0.25">
      <c r="A271" s="37" t="s">
        <v>207</v>
      </c>
      <c r="B271" s="37" t="s">
        <v>174</v>
      </c>
      <c r="C271" s="37" t="s">
        <v>204</v>
      </c>
      <c r="D271" s="37">
        <v>3821</v>
      </c>
      <c r="F271"/>
      <c r="J271"/>
    </row>
    <row r="272" spans="1:10" x14ac:dyDescent="0.25">
      <c r="A272" s="37" t="s">
        <v>208</v>
      </c>
      <c r="B272" s="37" t="s">
        <v>174</v>
      </c>
      <c r="C272" s="37" t="s">
        <v>201</v>
      </c>
      <c r="D272" s="37">
        <v>7131</v>
      </c>
      <c r="F272"/>
      <c r="J272"/>
    </row>
    <row r="273" spans="1:10" x14ac:dyDescent="0.25">
      <c r="A273" s="37" t="s">
        <v>209</v>
      </c>
      <c r="B273" s="37" t="s">
        <v>174</v>
      </c>
      <c r="C273" s="37" t="s">
        <v>202</v>
      </c>
      <c r="D273" s="37">
        <v>8223</v>
      </c>
      <c r="F273"/>
      <c r="J273"/>
    </row>
    <row r="274" spans="1:10" x14ac:dyDescent="0.25">
      <c r="A274" s="37" t="s">
        <v>210</v>
      </c>
      <c r="B274" s="37" t="s">
        <v>174</v>
      </c>
      <c r="C274" s="37" t="s">
        <v>203</v>
      </c>
      <c r="D274" s="37">
        <v>4024</v>
      </c>
      <c r="F274"/>
      <c r="J274"/>
    </row>
    <row r="275" spans="1:10" x14ac:dyDescent="0.25">
      <c r="A275" s="37" t="s">
        <v>211</v>
      </c>
      <c r="B275" s="37" t="s">
        <v>174</v>
      </c>
      <c r="C275" s="37" t="s">
        <v>204</v>
      </c>
      <c r="D275" s="37">
        <v>1588</v>
      </c>
      <c r="F275"/>
      <c r="J275"/>
    </row>
    <row r="276" spans="1:10" x14ac:dyDescent="0.25">
      <c r="A276" s="37" t="s">
        <v>207</v>
      </c>
      <c r="B276" s="37" t="s">
        <v>174</v>
      </c>
      <c r="C276" s="37" t="s">
        <v>201</v>
      </c>
      <c r="D276" s="37">
        <v>3083</v>
      </c>
      <c r="F276"/>
      <c r="J276"/>
    </row>
    <row r="277" spans="1:10" x14ac:dyDescent="0.25">
      <c r="A277" s="37" t="s">
        <v>208</v>
      </c>
      <c r="B277" s="37" t="s">
        <v>174</v>
      </c>
      <c r="C277" s="37" t="s">
        <v>202</v>
      </c>
      <c r="D277" s="37">
        <v>3491</v>
      </c>
      <c r="F277"/>
      <c r="J277"/>
    </row>
    <row r="278" spans="1:10" x14ac:dyDescent="0.25">
      <c r="A278" s="37" t="s">
        <v>209</v>
      </c>
      <c r="B278" s="37" t="s">
        <v>174</v>
      </c>
      <c r="C278" s="37" t="s">
        <v>203</v>
      </c>
      <c r="D278" s="37">
        <v>7252</v>
      </c>
      <c r="F278"/>
      <c r="J278"/>
    </row>
    <row r="279" spans="1:10" x14ac:dyDescent="0.25">
      <c r="A279" s="37" t="s">
        <v>210</v>
      </c>
      <c r="B279" s="37" t="s">
        <v>174</v>
      </c>
      <c r="C279" s="37" t="s">
        <v>204</v>
      </c>
      <c r="D279" s="37">
        <v>6027</v>
      </c>
      <c r="F279"/>
      <c r="J279"/>
    </row>
    <row r="280" spans="1:10" x14ac:dyDescent="0.25">
      <c r="A280" s="37" t="s">
        <v>211</v>
      </c>
      <c r="B280" s="37" t="s">
        <v>174</v>
      </c>
      <c r="C280" s="37" t="s">
        <v>201</v>
      </c>
      <c r="D280" s="37">
        <v>2231</v>
      </c>
      <c r="F280"/>
      <c r="J280"/>
    </row>
    <row r="281" spans="1:10" x14ac:dyDescent="0.25">
      <c r="A281" s="37" t="s">
        <v>212</v>
      </c>
      <c r="B281" s="37" t="s">
        <v>174</v>
      </c>
      <c r="C281" s="37" t="s">
        <v>202</v>
      </c>
      <c r="D281" s="37">
        <v>3891</v>
      </c>
      <c r="F281"/>
      <c r="J281"/>
    </row>
    <row r="282" spans="1:10" x14ac:dyDescent="0.25">
      <c r="A282" s="37" t="s">
        <v>207</v>
      </c>
      <c r="B282" s="37" t="s">
        <v>174</v>
      </c>
      <c r="C282" s="37" t="s">
        <v>203</v>
      </c>
      <c r="D282" s="37">
        <v>8282</v>
      </c>
      <c r="F282"/>
      <c r="J282"/>
    </row>
    <row r="283" spans="1:10" x14ac:dyDescent="0.25">
      <c r="A283" s="37" t="s">
        <v>208</v>
      </c>
      <c r="B283" s="37" t="s">
        <v>174</v>
      </c>
      <c r="C283" s="37" t="s">
        <v>204</v>
      </c>
      <c r="D283" s="37">
        <v>3030</v>
      </c>
      <c r="F283"/>
      <c r="J283"/>
    </row>
    <row r="284" spans="1:10" x14ac:dyDescent="0.25">
      <c r="A284" s="37" t="s">
        <v>209</v>
      </c>
      <c r="B284" s="37" t="s">
        <v>174</v>
      </c>
      <c r="C284" s="37" t="s">
        <v>201</v>
      </c>
      <c r="D284" s="37">
        <v>1154</v>
      </c>
      <c r="F284"/>
      <c r="J284"/>
    </row>
    <row r="285" spans="1:10" x14ac:dyDescent="0.25">
      <c r="A285" s="37" t="s">
        <v>210</v>
      </c>
      <c r="B285" s="37" t="s">
        <v>174</v>
      </c>
      <c r="C285" s="37" t="s">
        <v>202</v>
      </c>
      <c r="D285" s="37">
        <v>4123</v>
      </c>
      <c r="F285"/>
      <c r="J285"/>
    </row>
    <row r="286" spans="1:10" x14ac:dyDescent="0.25">
      <c r="A286" s="37" t="s">
        <v>211</v>
      </c>
      <c r="B286" s="37" t="s">
        <v>174</v>
      </c>
      <c r="C286" s="37" t="s">
        <v>203</v>
      </c>
      <c r="D286" s="37">
        <v>8136</v>
      </c>
      <c r="F286"/>
      <c r="J286"/>
    </row>
    <row r="287" spans="1:10" x14ac:dyDescent="0.25">
      <c r="A287" s="37" t="s">
        <v>207</v>
      </c>
      <c r="B287" s="37" t="s">
        <v>174</v>
      </c>
      <c r="C287" s="37" t="s">
        <v>204</v>
      </c>
      <c r="D287" s="37">
        <v>8811</v>
      </c>
      <c r="F287"/>
      <c r="J287"/>
    </row>
    <row r="288" spans="1:10" x14ac:dyDescent="0.25">
      <c r="A288" s="37" t="s">
        <v>208</v>
      </c>
      <c r="B288" s="37" t="s">
        <v>174</v>
      </c>
      <c r="C288" s="37" t="s">
        <v>201</v>
      </c>
      <c r="D288" s="37">
        <v>1964</v>
      </c>
      <c r="F288"/>
      <c r="J288"/>
    </row>
    <row r="289" spans="1:10" x14ac:dyDescent="0.25">
      <c r="A289" s="37" t="s">
        <v>209</v>
      </c>
      <c r="B289" s="37" t="s">
        <v>174</v>
      </c>
      <c r="C289" s="37" t="s">
        <v>202</v>
      </c>
      <c r="D289" s="37">
        <v>4087</v>
      </c>
      <c r="F289"/>
      <c r="J289"/>
    </row>
    <row r="290" spans="1:10" x14ac:dyDescent="0.25">
      <c r="A290" s="37" t="s">
        <v>210</v>
      </c>
      <c r="B290" s="37" t="s">
        <v>174</v>
      </c>
      <c r="C290" s="37" t="s">
        <v>203</v>
      </c>
      <c r="D290" s="37">
        <v>4121</v>
      </c>
      <c r="F290"/>
      <c r="J290"/>
    </row>
    <row r="291" spans="1:10" x14ac:dyDescent="0.25">
      <c r="A291" s="37" t="s">
        <v>211</v>
      </c>
      <c r="B291" s="37" t="s">
        <v>174</v>
      </c>
      <c r="C291" s="37" t="s">
        <v>204</v>
      </c>
      <c r="D291" s="37">
        <v>4064</v>
      </c>
      <c r="F291"/>
      <c r="J291"/>
    </row>
    <row r="292" spans="1:10" x14ac:dyDescent="0.25">
      <c r="A292" s="37" t="s">
        <v>207</v>
      </c>
      <c r="B292" s="37" t="s">
        <v>174</v>
      </c>
      <c r="C292" s="37" t="s">
        <v>201</v>
      </c>
      <c r="D292" s="37">
        <v>1263</v>
      </c>
      <c r="F292"/>
      <c r="J292"/>
    </row>
    <row r="293" spans="1:10" x14ac:dyDescent="0.25">
      <c r="A293" s="37" t="s">
        <v>208</v>
      </c>
      <c r="B293" s="37" t="s">
        <v>174</v>
      </c>
      <c r="C293" s="37" t="s">
        <v>202</v>
      </c>
      <c r="D293" s="37">
        <v>7025</v>
      </c>
      <c r="F293"/>
      <c r="J293"/>
    </row>
    <row r="294" spans="1:10" x14ac:dyDescent="0.25">
      <c r="A294" s="37" t="s">
        <v>209</v>
      </c>
      <c r="B294" s="37" t="s">
        <v>174</v>
      </c>
      <c r="C294" s="37" t="s">
        <v>203</v>
      </c>
      <c r="D294" s="37">
        <v>8997</v>
      </c>
      <c r="F294"/>
      <c r="J294"/>
    </row>
    <row r="295" spans="1:10" x14ac:dyDescent="0.25">
      <c r="A295" s="37" t="s">
        <v>210</v>
      </c>
      <c r="B295" s="37" t="s">
        <v>174</v>
      </c>
      <c r="C295" s="37" t="s">
        <v>204</v>
      </c>
      <c r="D295" s="37">
        <v>9937</v>
      </c>
      <c r="F295"/>
      <c r="J295"/>
    </row>
    <row r="296" spans="1:10" x14ac:dyDescent="0.25">
      <c r="A296" s="37" t="s">
        <v>211</v>
      </c>
      <c r="B296" s="37" t="s">
        <v>174</v>
      </c>
      <c r="C296" s="37" t="s">
        <v>201</v>
      </c>
      <c r="D296" s="37">
        <v>2290</v>
      </c>
      <c r="F296"/>
      <c r="J296"/>
    </row>
    <row r="297" spans="1:10" x14ac:dyDescent="0.25">
      <c r="A297" s="37" t="s">
        <v>207</v>
      </c>
      <c r="B297" s="37" t="s">
        <v>174</v>
      </c>
      <c r="C297" s="37" t="s">
        <v>202</v>
      </c>
      <c r="D297" s="37">
        <v>5120</v>
      </c>
      <c r="F297"/>
      <c r="J297"/>
    </row>
    <row r="298" spans="1:10" x14ac:dyDescent="0.25">
      <c r="A298" s="37" t="s">
        <v>208</v>
      </c>
      <c r="B298" s="37" t="s">
        <v>174</v>
      </c>
      <c r="C298" s="37" t="s">
        <v>203</v>
      </c>
      <c r="D298" s="37">
        <v>6736</v>
      </c>
      <c r="F298"/>
      <c r="J298"/>
    </row>
    <row r="299" spans="1:10" x14ac:dyDescent="0.25">
      <c r="A299" s="37" t="s">
        <v>209</v>
      </c>
      <c r="B299" s="37" t="s">
        <v>174</v>
      </c>
      <c r="C299" s="37" t="s">
        <v>204</v>
      </c>
      <c r="D299" s="37">
        <v>9673</v>
      </c>
      <c r="F299"/>
      <c r="J299"/>
    </row>
    <row r="300" spans="1:10" x14ac:dyDescent="0.25">
      <c r="A300" s="37" t="s">
        <v>210</v>
      </c>
      <c r="B300" s="37" t="s">
        <v>174</v>
      </c>
      <c r="C300" s="37" t="s">
        <v>201</v>
      </c>
      <c r="D300" s="37">
        <v>8132</v>
      </c>
      <c r="F300"/>
      <c r="J300"/>
    </row>
    <row r="301" spans="1:10" x14ac:dyDescent="0.25">
      <c r="A301" s="37" t="s">
        <v>211</v>
      </c>
      <c r="B301" s="37" t="s">
        <v>174</v>
      </c>
      <c r="C301" s="37" t="s">
        <v>202</v>
      </c>
      <c r="D301" s="37">
        <v>8173</v>
      </c>
      <c r="F301"/>
      <c r="J301"/>
    </row>
    <row r="302" spans="1:10" x14ac:dyDescent="0.25">
      <c r="A302" s="37" t="s">
        <v>207</v>
      </c>
      <c r="B302" s="37" t="s">
        <v>174</v>
      </c>
      <c r="C302" s="37" t="s">
        <v>203</v>
      </c>
      <c r="D302" s="37">
        <v>2330</v>
      </c>
      <c r="F302"/>
      <c r="J302"/>
    </row>
    <row r="303" spans="1:10" x14ac:dyDescent="0.25">
      <c r="A303" s="37" t="s">
        <v>208</v>
      </c>
      <c r="B303" s="37" t="s">
        <v>174</v>
      </c>
      <c r="C303" s="37" t="s">
        <v>204</v>
      </c>
      <c r="D303" s="37">
        <v>8039</v>
      </c>
      <c r="F303"/>
      <c r="J303"/>
    </row>
    <row r="304" spans="1:10" x14ac:dyDescent="0.25">
      <c r="A304" s="37" t="s">
        <v>209</v>
      </c>
      <c r="B304" s="37" t="s">
        <v>174</v>
      </c>
      <c r="C304" s="37" t="s">
        <v>201</v>
      </c>
      <c r="D304" s="37">
        <v>2780</v>
      </c>
      <c r="F304"/>
      <c r="J304"/>
    </row>
    <row r="305" spans="1:10" x14ac:dyDescent="0.25">
      <c r="A305" s="37" t="s">
        <v>210</v>
      </c>
      <c r="B305" s="37" t="s">
        <v>174</v>
      </c>
      <c r="C305" s="37" t="s">
        <v>202</v>
      </c>
      <c r="D305" s="37">
        <v>2750</v>
      </c>
      <c r="F305"/>
      <c r="J305"/>
    </row>
    <row r="306" spans="1:10" x14ac:dyDescent="0.25">
      <c r="A306" s="37" t="s">
        <v>211</v>
      </c>
      <c r="B306" s="37" t="s">
        <v>174</v>
      </c>
      <c r="C306" s="37" t="s">
        <v>203</v>
      </c>
      <c r="D306" s="37">
        <v>9928</v>
      </c>
      <c r="F306"/>
      <c r="J306"/>
    </row>
    <row r="307" spans="1:10" x14ac:dyDescent="0.25">
      <c r="A307" s="37" t="s">
        <v>207</v>
      </c>
      <c r="B307" s="37" t="s">
        <v>174</v>
      </c>
      <c r="C307" s="37" t="s">
        <v>204</v>
      </c>
      <c r="D307" s="37">
        <v>1689</v>
      </c>
      <c r="F307"/>
      <c r="J307"/>
    </row>
    <row r="308" spans="1:10" x14ac:dyDescent="0.25">
      <c r="A308" s="37" t="s">
        <v>208</v>
      </c>
      <c r="B308" s="37" t="s">
        <v>174</v>
      </c>
      <c r="C308" s="37" t="s">
        <v>205</v>
      </c>
      <c r="D308" s="37">
        <v>3520</v>
      </c>
      <c r="F308"/>
      <c r="J308"/>
    </row>
    <row r="309" spans="1:10" x14ac:dyDescent="0.25">
      <c r="A309" s="37" t="s">
        <v>209</v>
      </c>
      <c r="B309" s="37" t="s">
        <v>174</v>
      </c>
      <c r="C309" s="37" t="s">
        <v>205</v>
      </c>
      <c r="D309" s="37">
        <v>2553</v>
      </c>
      <c r="F309"/>
      <c r="J309"/>
    </row>
    <row r="310" spans="1:10" x14ac:dyDescent="0.25">
      <c r="A310" s="37" t="s">
        <v>210</v>
      </c>
      <c r="B310" s="37" t="s">
        <v>174</v>
      </c>
      <c r="C310" s="37" t="s">
        <v>205</v>
      </c>
      <c r="D310" s="37">
        <v>9855</v>
      </c>
      <c r="F310"/>
      <c r="J310"/>
    </row>
    <row r="311" spans="1:10" x14ac:dyDescent="0.25">
      <c r="A311" s="37" t="s">
        <v>211</v>
      </c>
      <c r="B311" s="37" t="s">
        <v>174</v>
      </c>
      <c r="C311" s="37" t="s">
        <v>205</v>
      </c>
      <c r="D311" s="37">
        <v>4599</v>
      </c>
      <c r="F311"/>
      <c r="J311"/>
    </row>
    <row r="312" spans="1:10" x14ac:dyDescent="0.25">
      <c r="A312" s="37" t="s">
        <v>207</v>
      </c>
      <c r="B312" s="37" t="s">
        <v>174</v>
      </c>
      <c r="C312" s="37" t="s">
        <v>205</v>
      </c>
      <c r="D312" s="37">
        <v>3798</v>
      </c>
      <c r="F312"/>
      <c r="J312"/>
    </row>
    <row r="313" spans="1:10" x14ac:dyDescent="0.25">
      <c r="A313" s="37" t="s">
        <v>208</v>
      </c>
      <c r="B313" s="37" t="s">
        <v>174</v>
      </c>
      <c r="C313" s="37" t="s">
        <v>205</v>
      </c>
      <c r="D313" s="37">
        <v>6079</v>
      </c>
      <c r="F313"/>
      <c r="J313"/>
    </row>
    <row r="314" spans="1:10" x14ac:dyDescent="0.25">
      <c r="A314" s="37" t="s">
        <v>209</v>
      </c>
      <c r="B314" s="37" t="s">
        <v>174</v>
      </c>
      <c r="C314" s="37" t="s">
        <v>205</v>
      </c>
      <c r="D314" s="37">
        <v>1284</v>
      </c>
      <c r="F314"/>
      <c r="J314"/>
    </row>
    <row r="315" spans="1:10" x14ac:dyDescent="0.25">
      <c r="A315" s="37" t="s">
        <v>210</v>
      </c>
      <c r="B315" s="37" t="s">
        <v>174</v>
      </c>
      <c r="C315" s="37" t="s">
        <v>205</v>
      </c>
      <c r="D315" s="37">
        <v>1803</v>
      </c>
      <c r="F315"/>
      <c r="J315"/>
    </row>
    <row r="316" spans="1:10" x14ac:dyDescent="0.25">
      <c r="A316" s="37" t="s">
        <v>211</v>
      </c>
      <c r="B316" s="37" t="s">
        <v>174</v>
      </c>
      <c r="C316" s="37" t="s">
        <v>205</v>
      </c>
      <c r="D316" s="37">
        <v>4792</v>
      </c>
      <c r="F316"/>
      <c r="J316"/>
    </row>
    <row r="317" spans="1:10" x14ac:dyDescent="0.25">
      <c r="A317" s="37" t="s">
        <v>207</v>
      </c>
      <c r="B317" s="37" t="s">
        <v>174</v>
      </c>
      <c r="C317" s="37" t="s">
        <v>205</v>
      </c>
      <c r="D317" s="37">
        <v>2367</v>
      </c>
      <c r="F317"/>
      <c r="J317"/>
    </row>
    <row r="318" spans="1:10" x14ac:dyDescent="0.25">
      <c r="A318" s="37" t="s">
        <v>208</v>
      </c>
      <c r="B318" s="37" t="s">
        <v>174</v>
      </c>
      <c r="C318" s="37" t="s">
        <v>205</v>
      </c>
      <c r="D318" s="37">
        <v>2372</v>
      </c>
      <c r="F318"/>
      <c r="J318"/>
    </row>
    <row r="319" spans="1:10" x14ac:dyDescent="0.25">
      <c r="A319" s="37" t="s">
        <v>209</v>
      </c>
      <c r="B319" s="37" t="s">
        <v>174</v>
      </c>
      <c r="C319" s="37" t="s">
        <v>205</v>
      </c>
      <c r="D319" s="37">
        <v>2134</v>
      </c>
      <c r="F319"/>
      <c r="J319"/>
    </row>
    <row r="320" spans="1:10" x14ac:dyDescent="0.25">
      <c r="A320" s="37" t="s">
        <v>210</v>
      </c>
      <c r="B320" s="37" t="s">
        <v>174</v>
      </c>
      <c r="C320" s="37" t="s">
        <v>205</v>
      </c>
      <c r="D320" s="37">
        <v>7392</v>
      </c>
      <c r="F320"/>
      <c r="J320"/>
    </row>
    <row r="321" spans="1:10" x14ac:dyDescent="0.25">
      <c r="A321" s="37" t="s">
        <v>211</v>
      </c>
      <c r="B321" s="37" t="s">
        <v>174</v>
      </c>
      <c r="C321" s="37" t="s">
        <v>205</v>
      </c>
      <c r="D321" s="37">
        <v>9076</v>
      </c>
      <c r="F321"/>
      <c r="J321"/>
    </row>
    <row r="322" spans="1:10" x14ac:dyDescent="0.25">
      <c r="A322" s="37" t="s">
        <v>207</v>
      </c>
      <c r="B322" s="37" t="s">
        <v>174</v>
      </c>
      <c r="C322" s="37" t="s">
        <v>205</v>
      </c>
      <c r="D322" s="37">
        <v>4651</v>
      </c>
      <c r="F322"/>
      <c r="J322"/>
    </row>
    <row r="323" spans="1:10" x14ac:dyDescent="0.25">
      <c r="A323" s="37" t="s">
        <v>208</v>
      </c>
      <c r="B323" s="37" t="s">
        <v>174</v>
      </c>
      <c r="C323" s="37" t="s">
        <v>205</v>
      </c>
      <c r="D323" s="37">
        <v>2206</v>
      </c>
      <c r="F323"/>
      <c r="J323"/>
    </row>
    <row r="324" spans="1:10" x14ac:dyDescent="0.25">
      <c r="A324" s="37" t="s">
        <v>209</v>
      </c>
      <c r="B324" s="37" t="s">
        <v>174</v>
      </c>
      <c r="C324" s="37" t="s">
        <v>205</v>
      </c>
      <c r="D324" s="37">
        <v>1584</v>
      </c>
      <c r="F324"/>
      <c r="J324"/>
    </row>
    <row r="325" spans="1:10" x14ac:dyDescent="0.25">
      <c r="A325" s="37" t="s">
        <v>210</v>
      </c>
      <c r="B325" s="37" t="s">
        <v>174</v>
      </c>
      <c r="C325" s="37" t="s">
        <v>205</v>
      </c>
      <c r="D325" s="37">
        <v>8735</v>
      </c>
      <c r="F325"/>
      <c r="J325"/>
    </row>
    <row r="326" spans="1:10" x14ac:dyDescent="0.25">
      <c r="A326" s="37" t="s">
        <v>211</v>
      </c>
      <c r="B326" s="37" t="s">
        <v>174</v>
      </c>
      <c r="C326" s="37" t="s">
        <v>205</v>
      </c>
      <c r="D326" s="37">
        <v>1067</v>
      </c>
      <c r="F326"/>
      <c r="J326"/>
    </row>
    <row r="327" spans="1:10" x14ac:dyDescent="0.25">
      <c r="A327" s="37" t="s">
        <v>207</v>
      </c>
      <c r="B327" s="37" t="s">
        <v>174</v>
      </c>
      <c r="C327" s="37" t="s">
        <v>205</v>
      </c>
      <c r="D327" s="37">
        <v>5853</v>
      </c>
      <c r="F327"/>
      <c r="J327"/>
    </row>
    <row r="328" spans="1:10" x14ac:dyDescent="0.25">
      <c r="A328" s="37" t="s">
        <v>208</v>
      </c>
      <c r="B328" s="37" t="s">
        <v>174</v>
      </c>
      <c r="C328" s="37" t="s">
        <v>205</v>
      </c>
      <c r="D328" s="37">
        <v>8174</v>
      </c>
      <c r="F328"/>
      <c r="J328"/>
    </row>
    <row r="329" spans="1:10" x14ac:dyDescent="0.25">
      <c r="A329" s="37" t="s">
        <v>209</v>
      </c>
      <c r="B329" s="37" t="s">
        <v>174</v>
      </c>
      <c r="C329" s="37" t="s">
        <v>205</v>
      </c>
      <c r="D329" s="37">
        <v>4218</v>
      </c>
      <c r="F329"/>
      <c r="J329"/>
    </row>
    <row r="330" spans="1:10" x14ac:dyDescent="0.25">
      <c r="A330" s="37" t="s">
        <v>210</v>
      </c>
      <c r="B330" s="37" t="s">
        <v>174</v>
      </c>
      <c r="C330" s="37" t="s">
        <v>205</v>
      </c>
      <c r="D330" s="37">
        <v>9766</v>
      </c>
      <c r="F330"/>
      <c r="J330"/>
    </row>
    <row r="331" spans="1:10" x14ac:dyDescent="0.25">
      <c r="A331" s="37" t="s">
        <v>211</v>
      </c>
      <c r="B331" s="37" t="s">
        <v>174</v>
      </c>
      <c r="C331" s="37" t="s">
        <v>205</v>
      </c>
      <c r="D331" s="37">
        <v>6449</v>
      </c>
      <c r="F331"/>
      <c r="J331"/>
    </row>
    <row r="332" spans="1:10" x14ac:dyDescent="0.25">
      <c r="A332" s="37" t="s">
        <v>207</v>
      </c>
      <c r="B332" s="37" t="s">
        <v>174</v>
      </c>
      <c r="C332" s="37" t="s">
        <v>205</v>
      </c>
      <c r="D332" s="37">
        <v>5676</v>
      </c>
      <c r="F332"/>
      <c r="J332"/>
    </row>
    <row r="333" spans="1:10" x14ac:dyDescent="0.25">
      <c r="A333" s="37" t="s">
        <v>208</v>
      </c>
      <c r="B333" s="37" t="s">
        <v>174</v>
      </c>
      <c r="C333" s="37" t="s">
        <v>205</v>
      </c>
      <c r="D333" s="37">
        <v>4661</v>
      </c>
      <c r="F333"/>
      <c r="J333"/>
    </row>
    <row r="334" spans="1:10" x14ac:dyDescent="0.25">
      <c r="A334" s="37" t="s">
        <v>209</v>
      </c>
      <c r="B334" s="37" t="s">
        <v>174</v>
      </c>
      <c r="C334" s="37" t="s">
        <v>205</v>
      </c>
      <c r="D334" s="37">
        <v>1811</v>
      </c>
      <c r="F334"/>
      <c r="J334"/>
    </row>
    <row r="335" spans="1:10" x14ac:dyDescent="0.25">
      <c r="A335" s="37" t="s">
        <v>210</v>
      </c>
      <c r="B335" s="37" t="s">
        <v>174</v>
      </c>
      <c r="C335" s="37" t="s">
        <v>205</v>
      </c>
      <c r="D335" s="37">
        <v>9593</v>
      </c>
      <c r="F335"/>
      <c r="J335"/>
    </row>
    <row r="336" spans="1:10" x14ac:dyDescent="0.25">
      <c r="A336" s="37" t="s">
        <v>211</v>
      </c>
      <c r="B336" s="37" t="s">
        <v>174</v>
      </c>
      <c r="C336" s="37" t="s">
        <v>205</v>
      </c>
      <c r="D336" s="37">
        <v>3589</v>
      </c>
      <c r="F336"/>
      <c r="J336"/>
    </row>
    <row r="337" spans="1:10" x14ac:dyDescent="0.25">
      <c r="A337" s="37" t="s">
        <v>207</v>
      </c>
      <c r="B337" s="37" t="s">
        <v>174</v>
      </c>
      <c r="C337" s="37" t="s">
        <v>205</v>
      </c>
      <c r="D337" s="37">
        <v>5604</v>
      </c>
      <c r="F337"/>
      <c r="J337"/>
    </row>
    <row r="338" spans="1:10" x14ac:dyDescent="0.25">
      <c r="A338" s="37" t="s">
        <v>208</v>
      </c>
      <c r="B338" s="37" t="s">
        <v>174</v>
      </c>
      <c r="C338" s="37" t="s">
        <v>205</v>
      </c>
      <c r="D338" s="37">
        <v>6184</v>
      </c>
      <c r="F338"/>
      <c r="J338"/>
    </row>
    <row r="339" spans="1:10" x14ac:dyDescent="0.25">
      <c r="A339" s="37" t="s">
        <v>209</v>
      </c>
      <c r="B339" s="37" t="s">
        <v>174</v>
      </c>
      <c r="C339" s="37" t="s">
        <v>205</v>
      </c>
      <c r="D339" s="37">
        <v>8633</v>
      </c>
      <c r="F339"/>
      <c r="J339"/>
    </row>
    <row r="340" spans="1:10" x14ac:dyDescent="0.25">
      <c r="A340" s="37" t="s">
        <v>210</v>
      </c>
      <c r="B340" s="37" t="s">
        <v>174</v>
      </c>
      <c r="C340" s="37" t="s">
        <v>205</v>
      </c>
      <c r="D340" s="37">
        <v>3999</v>
      </c>
      <c r="F340"/>
      <c r="J340"/>
    </row>
    <row r="341" spans="1:10" x14ac:dyDescent="0.25">
      <c r="A341" s="37" t="s">
        <v>211</v>
      </c>
      <c r="B341" s="37" t="s">
        <v>174</v>
      </c>
      <c r="C341" s="37" t="s">
        <v>205</v>
      </c>
      <c r="D341" s="37">
        <v>3725</v>
      </c>
      <c r="F341"/>
      <c r="J341"/>
    </row>
    <row r="342" spans="1:10" x14ac:dyDescent="0.25">
      <c r="A342" s="37" t="s">
        <v>207</v>
      </c>
      <c r="B342" s="37" t="s">
        <v>174</v>
      </c>
      <c r="C342" s="37" t="s">
        <v>205</v>
      </c>
      <c r="D342" s="37">
        <v>3814</v>
      </c>
      <c r="F342"/>
      <c r="J342"/>
    </row>
    <row r="343" spans="1:10" x14ac:dyDescent="0.25">
      <c r="A343" s="37" t="s">
        <v>208</v>
      </c>
      <c r="B343" s="37" t="s">
        <v>174</v>
      </c>
      <c r="C343" s="37" t="s">
        <v>205</v>
      </c>
      <c r="D343" s="37">
        <v>1018</v>
      </c>
      <c r="F343"/>
      <c r="J343"/>
    </row>
    <row r="344" spans="1:10" x14ac:dyDescent="0.25">
      <c r="A344" s="37" t="s">
        <v>209</v>
      </c>
      <c r="B344" s="37" t="s">
        <v>174</v>
      </c>
      <c r="C344" s="37" t="s">
        <v>205</v>
      </c>
      <c r="D344" s="37">
        <v>7221</v>
      </c>
      <c r="F344"/>
      <c r="J344"/>
    </row>
    <row r="345" spans="1:10" x14ac:dyDescent="0.25">
      <c r="A345" s="37" t="s">
        <v>210</v>
      </c>
      <c r="B345" s="37" t="s">
        <v>174</v>
      </c>
      <c r="C345" s="37" t="s">
        <v>205</v>
      </c>
      <c r="D345" s="37">
        <v>2082</v>
      </c>
      <c r="F345"/>
      <c r="J345"/>
    </row>
    <row r="346" spans="1:10" x14ac:dyDescent="0.25">
      <c r="A346" s="37" t="s">
        <v>211</v>
      </c>
      <c r="B346" s="37" t="s">
        <v>174</v>
      </c>
      <c r="C346" s="37" t="s">
        <v>205</v>
      </c>
      <c r="D346" s="37">
        <v>4590</v>
      </c>
      <c r="F346"/>
      <c r="J346"/>
    </row>
    <row r="347" spans="1:10" x14ac:dyDescent="0.25">
      <c r="A347" s="37" t="s">
        <v>207</v>
      </c>
      <c r="B347" s="37" t="s">
        <v>174</v>
      </c>
      <c r="C347" s="37" t="s">
        <v>205</v>
      </c>
      <c r="D347" s="37">
        <v>4872</v>
      </c>
      <c r="F347"/>
      <c r="J347"/>
    </row>
    <row r="348" spans="1:10" x14ac:dyDescent="0.25">
      <c r="A348" s="37" t="s">
        <v>208</v>
      </c>
      <c r="B348" s="37" t="s">
        <v>174</v>
      </c>
      <c r="C348" s="37" t="s">
        <v>205</v>
      </c>
      <c r="D348" s="37">
        <v>1184</v>
      </c>
      <c r="F348"/>
      <c r="J348"/>
    </row>
    <row r="349" spans="1:10" x14ac:dyDescent="0.25">
      <c r="A349" s="37" t="s">
        <v>209</v>
      </c>
      <c r="B349" s="37" t="s">
        <v>174</v>
      </c>
      <c r="C349" s="37" t="s">
        <v>205</v>
      </c>
      <c r="D349" s="37">
        <v>6288</v>
      </c>
      <c r="F349"/>
      <c r="J349"/>
    </row>
    <row r="350" spans="1:10" x14ac:dyDescent="0.25">
      <c r="A350" s="37" t="s">
        <v>210</v>
      </c>
      <c r="B350" s="37" t="s">
        <v>174</v>
      </c>
      <c r="C350" s="37" t="s">
        <v>205</v>
      </c>
      <c r="D350" s="37">
        <v>3811</v>
      </c>
      <c r="F350"/>
      <c r="J350"/>
    </row>
    <row r="351" spans="1:10" x14ac:dyDescent="0.25">
      <c r="A351" s="37" t="s">
        <v>211</v>
      </c>
      <c r="B351" s="37" t="s">
        <v>174</v>
      </c>
      <c r="C351" s="37" t="s">
        <v>205</v>
      </c>
      <c r="D351" s="37">
        <v>6964</v>
      </c>
      <c r="F351"/>
      <c r="J351"/>
    </row>
    <row r="352" spans="1:10" x14ac:dyDescent="0.25">
      <c r="A352" s="37" t="s">
        <v>207</v>
      </c>
      <c r="B352" s="37" t="s">
        <v>174</v>
      </c>
      <c r="C352" s="37" t="s">
        <v>205</v>
      </c>
      <c r="D352" s="37">
        <v>1146</v>
      </c>
      <c r="F352"/>
      <c r="J352"/>
    </row>
    <row r="353" spans="1:10" x14ac:dyDescent="0.25">
      <c r="A353" s="37" t="s">
        <v>208</v>
      </c>
      <c r="B353" s="37" t="s">
        <v>174</v>
      </c>
      <c r="C353" s="37" t="s">
        <v>205</v>
      </c>
      <c r="D353" s="37">
        <v>3725</v>
      </c>
      <c r="F353"/>
      <c r="J353"/>
    </row>
    <row r="354" spans="1:10" x14ac:dyDescent="0.25">
      <c r="A354" s="37" t="s">
        <v>209</v>
      </c>
      <c r="B354" s="37" t="s">
        <v>174</v>
      </c>
      <c r="C354" s="37" t="s">
        <v>205</v>
      </c>
      <c r="D354" s="37">
        <v>7095</v>
      </c>
      <c r="F354"/>
      <c r="J354"/>
    </row>
    <row r="355" spans="1:10" x14ac:dyDescent="0.25">
      <c r="A355" s="37" t="s">
        <v>210</v>
      </c>
      <c r="B355" s="37" t="s">
        <v>174</v>
      </c>
      <c r="C355" s="37" t="s">
        <v>205</v>
      </c>
      <c r="D355" s="37">
        <v>4076</v>
      </c>
      <c r="F355"/>
      <c r="J355"/>
    </row>
    <row r="356" spans="1:10" x14ac:dyDescent="0.25">
      <c r="A356" s="37" t="s">
        <v>211</v>
      </c>
      <c r="B356" s="37" t="s">
        <v>174</v>
      </c>
      <c r="C356" s="37" t="s">
        <v>205</v>
      </c>
      <c r="D356" s="37">
        <v>6536</v>
      </c>
      <c r="F356"/>
      <c r="J356"/>
    </row>
    <row r="357" spans="1:10" x14ac:dyDescent="0.25">
      <c r="A357" s="37" t="s">
        <v>207</v>
      </c>
      <c r="B357" s="37" t="s">
        <v>174</v>
      </c>
      <c r="C357" s="37" t="s">
        <v>205</v>
      </c>
      <c r="D357" s="37">
        <v>8223</v>
      </c>
      <c r="F357"/>
      <c r="J357"/>
    </row>
    <row r="358" spans="1:10" x14ac:dyDescent="0.25">
      <c r="A358" s="37" t="s">
        <v>208</v>
      </c>
      <c r="B358" s="37" t="s">
        <v>174</v>
      </c>
      <c r="C358" s="37" t="s">
        <v>205</v>
      </c>
      <c r="D358" s="37">
        <v>4974</v>
      </c>
      <c r="F358"/>
      <c r="J358"/>
    </row>
    <row r="359" spans="1:10" x14ac:dyDescent="0.25">
      <c r="A359" s="37" t="s">
        <v>209</v>
      </c>
      <c r="B359" s="37" t="s">
        <v>174</v>
      </c>
      <c r="C359" s="37" t="s">
        <v>205</v>
      </c>
      <c r="D359" s="37">
        <v>3755</v>
      </c>
      <c r="F359"/>
      <c r="J359"/>
    </row>
    <row r="360" spans="1:10" x14ac:dyDescent="0.25">
      <c r="A360" s="37" t="s">
        <v>210</v>
      </c>
      <c r="B360" s="37" t="s">
        <v>174</v>
      </c>
      <c r="C360" s="37" t="s">
        <v>205</v>
      </c>
      <c r="D360" s="37">
        <v>9403</v>
      </c>
      <c r="F360"/>
      <c r="J360"/>
    </row>
    <row r="361" spans="1:10" x14ac:dyDescent="0.25">
      <c r="A361" s="37" t="s">
        <v>211</v>
      </c>
      <c r="B361" s="37" t="s">
        <v>174</v>
      </c>
      <c r="C361" s="37" t="s">
        <v>205</v>
      </c>
      <c r="D361" s="37">
        <v>4992</v>
      </c>
      <c r="F361"/>
      <c r="J361"/>
    </row>
    <row r="362" spans="1:10" x14ac:dyDescent="0.25">
      <c r="A362" s="37" t="s">
        <v>207</v>
      </c>
      <c r="B362" s="37" t="s">
        <v>174</v>
      </c>
      <c r="C362" s="37" t="s">
        <v>205</v>
      </c>
      <c r="D362" s="37">
        <v>9347</v>
      </c>
      <c r="F362"/>
      <c r="J362"/>
    </row>
    <row r="363" spans="1:10" x14ac:dyDescent="0.25">
      <c r="A363" s="37" t="s">
        <v>208</v>
      </c>
      <c r="B363" s="37" t="s">
        <v>174</v>
      </c>
      <c r="C363" s="37" t="s">
        <v>205</v>
      </c>
      <c r="D363" s="37">
        <v>3928</v>
      </c>
      <c r="F363"/>
      <c r="J363"/>
    </row>
    <row r="364" spans="1:10" x14ac:dyDescent="0.25">
      <c r="A364" s="37" t="s">
        <v>209</v>
      </c>
      <c r="B364" s="37" t="s">
        <v>174</v>
      </c>
      <c r="C364" s="37" t="s">
        <v>205</v>
      </c>
      <c r="D364" s="37">
        <v>2269</v>
      </c>
      <c r="F364"/>
      <c r="J364"/>
    </row>
    <row r="365" spans="1:10" x14ac:dyDescent="0.25">
      <c r="A365" s="37" t="s">
        <v>210</v>
      </c>
      <c r="B365" s="37" t="s">
        <v>174</v>
      </c>
      <c r="C365" s="37" t="s">
        <v>205</v>
      </c>
      <c r="D365" s="37">
        <v>4962</v>
      </c>
      <c r="F365"/>
      <c r="J365"/>
    </row>
    <row r="366" spans="1:10" x14ac:dyDescent="0.25">
      <c r="A366" s="37" t="s">
        <v>211</v>
      </c>
      <c r="B366" s="37" t="s">
        <v>174</v>
      </c>
      <c r="C366" s="37" t="s">
        <v>205</v>
      </c>
      <c r="D366" s="37">
        <v>2816</v>
      </c>
      <c r="F366"/>
      <c r="J366"/>
    </row>
    <row r="367" spans="1:10" x14ac:dyDescent="0.25">
      <c r="A367" s="37" t="s">
        <v>207</v>
      </c>
      <c r="B367" s="37" t="s">
        <v>174</v>
      </c>
      <c r="C367" s="37" t="s">
        <v>205</v>
      </c>
      <c r="D367" s="37">
        <v>5464</v>
      </c>
      <c r="F367"/>
      <c r="J367"/>
    </row>
    <row r="368" spans="1:10" x14ac:dyDescent="0.25">
      <c r="A368" s="37" t="s">
        <v>208</v>
      </c>
      <c r="B368" s="37" t="s">
        <v>174</v>
      </c>
      <c r="C368" s="37" t="s">
        <v>205</v>
      </c>
      <c r="D368" s="37">
        <v>4793</v>
      </c>
      <c r="F368"/>
      <c r="J368"/>
    </row>
    <row r="369" spans="1:10" x14ac:dyDescent="0.25">
      <c r="A369" s="37" t="s">
        <v>209</v>
      </c>
      <c r="B369" s="37" t="s">
        <v>174</v>
      </c>
      <c r="C369" s="37" t="s">
        <v>205</v>
      </c>
      <c r="D369" s="37">
        <v>2087</v>
      </c>
      <c r="F369"/>
      <c r="J369"/>
    </row>
    <row r="370" spans="1:10" x14ac:dyDescent="0.25">
      <c r="A370" s="37" t="s">
        <v>210</v>
      </c>
      <c r="B370" s="37" t="s">
        <v>174</v>
      </c>
      <c r="C370" s="37" t="s">
        <v>205</v>
      </c>
      <c r="D370" s="37">
        <v>4956</v>
      </c>
      <c r="F370"/>
      <c r="J370"/>
    </row>
    <row r="371" spans="1:10" x14ac:dyDescent="0.25">
      <c r="A371" s="37" t="s">
        <v>211</v>
      </c>
      <c r="B371" s="37" t="s">
        <v>174</v>
      </c>
      <c r="C371" s="37" t="s">
        <v>205</v>
      </c>
      <c r="D371" s="37">
        <v>4005</v>
      </c>
      <c r="F371"/>
      <c r="J371"/>
    </row>
    <row r="372" spans="1:10" x14ac:dyDescent="0.25">
      <c r="A372" s="37" t="s">
        <v>212</v>
      </c>
      <c r="B372" s="37" t="s">
        <v>174</v>
      </c>
      <c r="C372" s="37" t="s">
        <v>205</v>
      </c>
      <c r="D372" s="37">
        <v>2945</v>
      </c>
      <c r="F372"/>
      <c r="J372"/>
    </row>
    <row r="373" spans="1:10" x14ac:dyDescent="0.25">
      <c r="A373" s="37" t="s">
        <v>207</v>
      </c>
      <c r="B373" s="37" t="s">
        <v>174</v>
      </c>
      <c r="C373" s="37" t="s">
        <v>205</v>
      </c>
      <c r="D373" s="37">
        <v>9101</v>
      </c>
      <c r="F373"/>
      <c r="J373"/>
    </row>
    <row r="374" spans="1:10" x14ac:dyDescent="0.25">
      <c r="A374" s="37" t="s">
        <v>208</v>
      </c>
      <c r="B374" s="37" t="s">
        <v>174</v>
      </c>
      <c r="C374" s="37" t="s">
        <v>205</v>
      </c>
      <c r="D374" s="37">
        <v>4246</v>
      </c>
      <c r="F374"/>
      <c r="J374"/>
    </row>
    <row r="375" spans="1:10" x14ac:dyDescent="0.25">
      <c r="A375" s="37" t="s">
        <v>209</v>
      </c>
      <c r="B375" s="37" t="s">
        <v>174</v>
      </c>
      <c r="C375" s="37" t="s">
        <v>205</v>
      </c>
      <c r="D375" s="37">
        <v>8386</v>
      </c>
      <c r="F375"/>
      <c r="J375"/>
    </row>
    <row r="376" spans="1:10" x14ac:dyDescent="0.25">
      <c r="A376" s="37" t="s">
        <v>210</v>
      </c>
      <c r="B376" s="37" t="s">
        <v>174</v>
      </c>
      <c r="C376" s="37" t="s">
        <v>205</v>
      </c>
      <c r="D376" s="37">
        <v>6523</v>
      </c>
      <c r="F376"/>
      <c r="J376"/>
    </row>
    <row r="377" spans="1:10" x14ac:dyDescent="0.25">
      <c r="A377" s="37" t="s">
        <v>211</v>
      </c>
      <c r="B377" s="37" t="s">
        <v>174</v>
      </c>
      <c r="C377" s="37" t="s">
        <v>205</v>
      </c>
      <c r="D377" s="37">
        <v>5934</v>
      </c>
      <c r="F377"/>
      <c r="J377"/>
    </row>
    <row r="378" spans="1:10" x14ac:dyDescent="0.25">
      <c r="A378" s="37" t="s">
        <v>207</v>
      </c>
      <c r="B378" s="37" t="s">
        <v>174</v>
      </c>
      <c r="C378" s="37" t="s">
        <v>205</v>
      </c>
      <c r="D378" s="37">
        <v>7081</v>
      </c>
      <c r="F378"/>
      <c r="J378"/>
    </row>
    <row r="379" spans="1:10" x14ac:dyDescent="0.25">
      <c r="A379" s="37" t="s">
        <v>208</v>
      </c>
      <c r="B379" s="37" t="s">
        <v>174</v>
      </c>
      <c r="C379" s="37" t="s">
        <v>205</v>
      </c>
      <c r="D379" s="37">
        <v>1051</v>
      </c>
      <c r="F379"/>
      <c r="J379"/>
    </row>
    <row r="380" spans="1:10" x14ac:dyDescent="0.25">
      <c r="A380" s="37" t="s">
        <v>209</v>
      </c>
      <c r="B380" s="37" t="s">
        <v>174</v>
      </c>
      <c r="C380" s="37" t="s">
        <v>205</v>
      </c>
      <c r="D380" s="37">
        <v>2120</v>
      </c>
      <c r="F380"/>
      <c r="J380"/>
    </row>
    <row r="381" spans="1:10" x14ac:dyDescent="0.25">
      <c r="A381" s="37" t="s">
        <v>210</v>
      </c>
      <c r="B381" s="37" t="s">
        <v>174</v>
      </c>
      <c r="C381" s="37" t="s">
        <v>205</v>
      </c>
      <c r="D381" s="37">
        <v>1809</v>
      </c>
      <c r="F381"/>
      <c r="J381"/>
    </row>
    <row r="382" spans="1:10" x14ac:dyDescent="0.25">
      <c r="A382" s="37" t="s">
        <v>211</v>
      </c>
      <c r="B382" s="37" t="s">
        <v>174</v>
      </c>
      <c r="C382" s="37" t="s">
        <v>205</v>
      </c>
      <c r="D382" s="37">
        <v>3871</v>
      </c>
      <c r="F382"/>
      <c r="J382"/>
    </row>
    <row r="383" spans="1:10" x14ac:dyDescent="0.25">
      <c r="A383" s="37" t="s">
        <v>207</v>
      </c>
      <c r="B383" s="37" t="s">
        <v>174</v>
      </c>
      <c r="C383" s="37" t="s">
        <v>205</v>
      </c>
      <c r="D383" s="37">
        <v>5858</v>
      </c>
      <c r="F383"/>
      <c r="J383"/>
    </row>
    <row r="384" spans="1:10" x14ac:dyDescent="0.25">
      <c r="A384" s="37" t="s">
        <v>208</v>
      </c>
      <c r="B384" s="37" t="s">
        <v>174</v>
      </c>
      <c r="C384" s="37" t="s">
        <v>205</v>
      </c>
      <c r="D384" s="37">
        <v>8587</v>
      </c>
      <c r="F384"/>
      <c r="J384"/>
    </row>
    <row r="385" spans="1:10" x14ac:dyDescent="0.25">
      <c r="A385" s="37" t="s">
        <v>209</v>
      </c>
      <c r="B385" s="37" t="s">
        <v>174</v>
      </c>
      <c r="C385" s="37" t="s">
        <v>205</v>
      </c>
      <c r="D385" s="37">
        <v>2056</v>
      </c>
      <c r="F385"/>
      <c r="J385"/>
    </row>
    <row r="386" spans="1:10" x14ac:dyDescent="0.25">
      <c r="A386" s="37" t="s">
        <v>210</v>
      </c>
      <c r="B386" s="37" t="s">
        <v>174</v>
      </c>
      <c r="C386" s="37" t="s">
        <v>205</v>
      </c>
      <c r="D386" s="37">
        <v>4931</v>
      </c>
      <c r="F386"/>
      <c r="J386"/>
    </row>
    <row r="387" spans="1:10" x14ac:dyDescent="0.25">
      <c r="A387" s="37" t="s">
        <v>211</v>
      </c>
      <c r="B387" s="37" t="s">
        <v>174</v>
      </c>
      <c r="C387" s="37" t="s">
        <v>205</v>
      </c>
      <c r="D387" s="37">
        <v>2842</v>
      </c>
      <c r="F387"/>
      <c r="J387"/>
    </row>
    <row r="388" spans="1:10" x14ac:dyDescent="0.25">
      <c r="A388" s="37" t="s">
        <v>207</v>
      </c>
      <c r="B388" s="37" t="s">
        <v>174</v>
      </c>
      <c r="C388" s="37" t="s">
        <v>205</v>
      </c>
      <c r="D388" s="37">
        <v>1613</v>
      </c>
      <c r="F388"/>
      <c r="J388"/>
    </row>
    <row r="389" spans="1:10" x14ac:dyDescent="0.25">
      <c r="A389" s="37" t="s">
        <v>208</v>
      </c>
      <c r="B389" s="37" t="s">
        <v>174</v>
      </c>
      <c r="C389" s="37" t="s">
        <v>205</v>
      </c>
      <c r="D389" s="37">
        <v>5783</v>
      </c>
      <c r="F389"/>
      <c r="J389"/>
    </row>
    <row r="390" spans="1:10" x14ac:dyDescent="0.25">
      <c r="A390" s="37" t="s">
        <v>209</v>
      </c>
      <c r="B390" s="37" t="s">
        <v>174</v>
      </c>
      <c r="C390" s="37" t="s">
        <v>205</v>
      </c>
      <c r="D390" s="37">
        <v>2133</v>
      </c>
      <c r="F390"/>
      <c r="J390"/>
    </row>
    <row r="391" spans="1:10" x14ac:dyDescent="0.25">
      <c r="A391" s="37" t="s">
        <v>210</v>
      </c>
      <c r="B391" s="37" t="s">
        <v>174</v>
      </c>
      <c r="C391" s="37" t="s">
        <v>205</v>
      </c>
      <c r="D391" s="37">
        <v>2939</v>
      </c>
      <c r="F391"/>
      <c r="J391"/>
    </row>
    <row r="392" spans="1:10" x14ac:dyDescent="0.25">
      <c r="A392" s="37" t="s">
        <v>211</v>
      </c>
      <c r="B392" s="37" t="s">
        <v>174</v>
      </c>
      <c r="C392" s="37" t="s">
        <v>205</v>
      </c>
      <c r="D392" s="37">
        <v>6352</v>
      </c>
      <c r="F392"/>
      <c r="J392"/>
    </row>
    <row r="393" spans="1:10" x14ac:dyDescent="0.25">
      <c r="A393" s="37" t="s">
        <v>207</v>
      </c>
      <c r="B393" s="37" t="s">
        <v>174</v>
      </c>
      <c r="C393" s="37" t="s">
        <v>205</v>
      </c>
      <c r="D393" s="37">
        <v>2200</v>
      </c>
      <c r="F393"/>
      <c r="J393"/>
    </row>
    <row r="394" spans="1:10" x14ac:dyDescent="0.25">
      <c r="A394" s="37" t="s">
        <v>208</v>
      </c>
      <c r="B394" s="37" t="s">
        <v>174</v>
      </c>
      <c r="C394" s="37" t="s">
        <v>205</v>
      </c>
      <c r="D394" s="37">
        <v>5188</v>
      </c>
      <c r="F394"/>
      <c r="J394"/>
    </row>
    <row r="395" spans="1:10" x14ac:dyDescent="0.25">
      <c r="A395" s="37" t="s">
        <v>209</v>
      </c>
      <c r="B395" s="37" t="s">
        <v>174</v>
      </c>
      <c r="C395" s="37" t="s">
        <v>205</v>
      </c>
      <c r="D395" s="37">
        <v>6045</v>
      </c>
      <c r="F395"/>
      <c r="J395"/>
    </row>
    <row r="396" spans="1:10" x14ac:dyDescent="0.25">
      <c r="A396" s="37" t="s">
        <v>210</v>
      </c>
      <c r="B396" s="37" t="s">
        <v>174</v>
      </c>
      <c r="C396" s="37" t="s">
        <v>205</v>
      </c>
      <c r="D396" s="37">
        <v>7439</v>
      </c>
      <c r="F396"/>
      <c r="J396"/>
    </row>
    <row r="397" spans="1:10" x14ac:dyDescent="0.25">
      <c r="A397" s="37" t="s">
        <v>211</v>
      </c>
      <c r="B397" s="37" t="s">
        <v>174</v>
      </c>
      <c r="C397" s="37" t="s">
        <v>205</v>
      </c>
      <c r="D397" s="37">
        <v>3636</v>
      </c>
      <c r="F397"/>
      <c r="J397"/>
    </row>
    <row r="398" spans="1:10" x14ac:dyDescent="0.25">
      <c r="A398" s="37" t="s">
        <v>207</v>
      </c>
      <c r="B398" s="37" t="s">
        <v>174</v>
      </c>
      <c r="C398" s="37" t="s">
        <v>205</v>
      </c>
      <c r="D398" s="37">
        <v>4477</v>
      </c>
      <c r="F398"/>
      <c r="J398"/>
    </row>
    <row r="399" spans="1:10" x14ac:dyDescent="0.25">
      <c r="A399" s="37" t="s">
        <v>208</v>
      </c>
      <c r="B399" s="37" t="s">
        <v>174</v>
      </c>
      <c r="C399" s="37" t="s">
        <v>205</v>
      </c>
      <c r="D399" s="37">
        <v>7503</v>
      </c>
      <c r="F399"/>
      <c r="J399"/>
    </row>
    <row r="400" spans="1:10" x14ac:dyDescent="0.25">
      <c r="A400" s="37" t="s">
        <v>209</v>
      </c>
      <c r="B400" s="37" t="s">
        <v>174</v>
      </c>
      <c r="C400" s="37" t="s">
        <v>205</v>
      </c>
      <c r="D400" s="37">
        <v>3055</v>
      </c>
      <c r="F400"/>
      <c r="J400"/>
    </row>
    <row r="401" spans="1:10" x14ac:dyDescent="0.25">
      <c r="A401" s="37" t="s">
        <v>210</v>
      </c>
      <c r="B401" s="37" t="s">
        <v>174</v>
      </c>
      <c r="C401" s="37" t="s">
        <v>205</v>
      </c>
      <c r="D401" s="37">
        <v>8612</v>
      </c>
      <c r="F401"/>
      <c r="J401"/>
    </row>
    <row r="402" spans="1:10" x14ac:dyDescent="0.25">
      <c r="A402" s="37" t="s">
        <v>211</v>
      </c>
      <c r="B402" s="37" t="s">
        <v>174</v>
      </c>
      <c r="C402" s="37" t="s">
        <v>205</v>
      </c>
      <c r="D402" s="37">
        <v>4447</v>
      </c>
      <c r="F402"/>
      <c r="J402"/>
    </row>
    <row r="403" spans="1:10" x14ac:dyDescent="0.25">
      <c r="A403" s="37" t="s">
        <v>207</v>
      </c>
      <c r="B403" s="37" t="s">
        <v>174</v>
      </c>
      <c r="C403" s="37" t="s">
        <v>205</v>
      </c>
      <c r="D403" s="37">
        <v>6645</v>
      </c>
      <c r="F403"/>
      <c r="J403"/>
    </row>
    <row r="404" spans="1:10" x14ac:dyDescent="0.25">
      <c r="A404" s="37" t="s">
        <v>208</v>
      </c>
      <c r="B404" s="37" t="s">
        <v>174</v>
      </c>
      <c r="C404" s="37" t="s">
        <v>205</v>
      </c>
      <c r="D404" s="37">
        <v>5580</v>
      </c>
      <c r="F404"/>
      <c r="J404"/>
    </row>
    <row r="405" spans="1:10" x14ac:dyDescent="0.25">
      <c r="A405" s="37" t="s">
        <v>209</v>
      </c>
      <c r="B405" s="37" t="s">
        <v>174</v>
      </c>
      <c r="C405" s="37" t="s">
        <v>205</v>
      </c>
      <c r="D405" s="37">
        <v>9769</v>
      </c>
      <c r="F405"/>
      <c r="J405"/>
    </row>
    <row r="406" spans="1:10" x14ac:dyDescent="0.25">
      <c r="A406" s="37" t="s">
        <v>210</v>
      </c>
      <c r="B406" s="37" t="s">
        <v>174</v>
      </c>
      <c r="C406" s="37" t="s">
        <v>205</v>
      </c>
      <c r="D406" s="37">
        <v>1490</v>
      </c>
      <c r="F406"/>
      <c r="J406"/>
    </row>
    <row r="407" spans="1:10" x14ac:dyDescent="0.25">
      <c r="A407" s="37" t="s">
        <v>211</v>
      </c>
      <c r="B407" s="37" t="s">
        <v>174</v>
      </c>
      <c r="C407" s="37" t="s">
        <v>205</v>
      </c>
      <c r="D407" s="37">
        <v>6031</v>
      </c>
      <c r="F407"/>
      <c r="J407"/>
    </row>
    <row r="408" spans="1:10" x14ac:dyDescent="0.25">
      <c r="A408" s="37" t="s">
        <v>207</v>
      </c>
      <c r="B408" s="37" t="s">
        <v>174</v>
      </c>
      <c r="C408" s="37" t="s">
        <v>205</v>
      </c>
      <c r="D408" s="37">
        <v>9699</v>
      </c>
      <c r="F408"/>
      <c r="J408"/>
    </row>
    <row r="409" spans="1:10" x14ac:dyDescent="0.25">
      <c r="A409" s="37" t="s">
        <v>208</v>
      </c>
      <c r="B409" s="37" t="s">
        <v>174</v>
      </c>
      <c r="C409" s="37" t="s">
        <v>205</v>
      </c>
      <c r="D409" s="37">
        <v>8704</v>
      </c>
      <c r="F409"/>
      <c r="J409"/>
    </row>
    <row r="410" spans="1:10" x14ac:dyDescent="0.25">
      <c r="A410" s="37" t="s">
        <v>209</v>
      </c>
      <c r="B410" s="37" t="s">
        <v>174</v>
      </c>
      <c r="C410" s="37" t="s">
        <v>205</v>
      </c>
      <c r="D410" s="37">
        <v>9308</v>
      </c>
      <c r="F410"/>
      <c r="J410"/>
    </row>
    <row r="411" spans="1:10" x14ac:dyDescent="0.25">
      <c r="A411" s="37" t="s">
        <v>210</v>
      </c>
      <c r="B411" s="37" t="s">
        <v>174</v>
      </c>
      <c r="C411" s="37" t="s">
        <v>205</v>
      </c>
      <c r="D411" s="37">
        <v>7297</v>
      </c>
      <c r="F411"/>
      <c r="J411"/>
    </row>
    <row r="412" spans="1:10" x14ac:dyDescent="0.25">
      <c r="A412" s="37" t="s">
        <v>211</v>
      </c>
      <c r="B412" s="37" t="s">
        <v>174</v>
      </c>
      <c r="C412" s="37" t="s">
        <v>205</v>
      </c>
      <c r="D412" s="37">
        <v>4670</v>
      </c>
      <c r="F412"/>
      <c r="J412"/>
    </row>
    <row r="413" spans="1:10" x14ac:dyDescent="0.25">
      <c r="A413" s="37" t="s">
        <v>207</v>
      </c>
      <c r="B413" s="37" t="s">
        <v>174</v>
      </c>
      <c r="C413" s="37" t="s">
        <v>205</v>
      </c>
      <c r="D413" s="37">
        <v>4109</v>
      </c>
      <c r="F413"/>
      <c r="J413"/>
    </row>
    <row r="414" spans="1:10" x14ac:dyDescent="0.25">
      <c r="A414" s="37" t="s">
        <v>208</v>
      </c>
      <c r="B414" s="37" t="s">
        <v>174</v>
      </c>
      <c r="C414" s="37" t="s">
        <v>205</v>
      </c>
      <c r="D414" s="37">
        <v>4436</v>
      </c>
      <c r="F414"/>
      <c r="J414"/>
    </row>
    <row r="415" spans="1:10" x14ac:dyDescent="0.25">
      <c r="A415" s="37" t="s">
        <v>209</v>
      </c>
      <c r="B415" s="37" t="s">
        <v>174</v>
      </c>
      <c r="C415" s="37" t="s">
        <v>205</v>
      </c>
      <c r="D415" s="37">
        <v>6846</v>
      </c>
      <c r="F415"/>
      <c r="J415"/>
    </row>
    <row r="416" spans="1:10" x14ac:dyDescent="0.25">
      <c r="A416" s="37" t="s">
        <v>210</v>
      </c>
      <c r="B416" s="37" t="s">
        <v>174</v>
      </c>
      <c r="C416" s="37" t="s">
        <v>205</v>
      </c>
      <c r="D416" s="37">
        <v>3729</v>
      </c>
      <c r="F416"/>
      <c r="J416"/>
    </row>
    <row r="417" spans="1:10" x14ac:dyDescent="0.25">
      <c r="A417" s="37" t="s">
        <v>211</v>
      </c>
      <c r="B417" s="37" t="s">
        <v>174</v>
      </c>
      <c r="C417" s="37" t="s">
        <v>205</v>
      </c>
      <c r="D417" s="37">
        <v>5291</v>
      </c>
      <c r="F417"/>
      <c r="J417"/>
    </row>
    <row r="418" spans="1:10" x14ac:dyDescent="0.25">
      <c r="A418" s="37" t="s">
        <v>207</v>
      </c>
      <c r="B418" s="37" t="s">
        <v>174</v>
      </c>
      <c r="C418" s="37" t="s">
        <v>205</v>
      </c>
      <c r="D418" s="37">
        <v>7428</v>
      </c>
      <c r="F418"/>
      <c r="J418"/>
    </row>
    <row r="419" spans="1:10" x14ac:dyDescent="0.25">
      <c r="A419" s="37" t="s">
        <v>208</v>
      </c>
      <c r="B419" s="37" t="s">
        <v>174</v>
      </c>
      <c r="C419" s="37" t="s">
        <v>205</v>
      </c>
      <c r="D419" s="37">
        <v>1842</v>
      </c>
      <c r="F419"/>
      <c r="J419"/>
    </row>
    <row r="420" spans="1:10" x14ac:dyDescent="0.25">
      <c r="A420" s="37" t="s">
        <v>209</v>
      </c>
      <c r="B420" s="37" t="s">
        <v>174</v>
      </c>
      <c r="C420" s="37" t="s">
        <v>205</v>
      </c>
      <c r="D420" s="37">
        <v>1643</v>
      </c>
      <c r="F420"/>
      <c r="J420"/>
    </row>
    <row r="421" spans="1:10" x14ac:dyDescent="0.25">
      <c r="A421" s="37" t="s">
        <v>210</v>
      </c>
      <c r="B421" s="37" t="s">
        <v>174</v>
      </c>
      <c r="C421" s="37" t="s">
        <v>205</v>
      </c>
      <c r="D421" s="37">
        <v>4023</v>
      </c>
      <c r="F421"/>
      <c r="J421"/>
    </row>
    <row r="422" spans="1:10" x14ac:dyDescent="0.25">
      <c r="A422" s="37" t="s">
        <v>211</v>
      </c>
      <c r="B422" s="37" t="s">
        <v>174</v>
      </c>
      <c r="C422" s="37" t="s">
        <v>205</v>
      </c>
      <c r="D422" s="37">
        <v>9503</v>
      </c>
      <c r="F422"/>
      <c r="J422"/>
    </row>
    <row r="423" spans="1:10" x14ac:dyDescent="0.25">
      <c r="A423" s="37" t="s">
        <v>207</v>
      </c>
      <c r="B423" s="37" t="s">
        <v>174</v>
      </c>
      <c r="C423" s="37" t="s">
        <v>205</v>
      </c>
      <c r="D423" s="37">
        <v>8758</v>
      </c>
      <c r="F423"/>
      <c r="J423"/>
    </row>
    <row r="424" spans="1:10" x14ac:dyDescent="0.25">
      <c r="A424" s="37" t="s">
        <v>208</v>
      </c>
      <c r="B424" s="37" t="s">
        <v>174</v>
      </c>
      <c r="C424" s="37" t="s">
        <v>205</v>
      </c>
      <c r="D424" s="37">
        <v>7607</v>
      </c>
      <c r="F424"/>
      <c r="J424"/>
    </row>
    <row r="425" spans="1:10" x14ac:dyDescent="0.25">
      <c r="A425" s="37" t="s">
        <v>209</v>
      </c>
      <c r="B425" s="37" t="s">
        <v>174</v>
      </c>
      <c r="C425" s="37" t="s">
        <v>205</v>
      </c>
      <c r="D425" s="37">
        <v>3770</v>
      </c>
      <c r="F425"/>
      <c r="J425"/>
    </row>
    <row r="426" spans="1:10" x14ac:dyDescent="0.25">
      <c r="A426" s="37" t="s">
        <v>210</v>
      </c>
      <c r="B426" s="37" t="s">
        <v>174</v>
      </c>
      <c r="C426" s="37" t="s">
        <v>205</v>
      </c>
      <c r="D426" s="37">
        <v>8207</v>
      </c>
      <c r="F426"/>
      <c r="J426"/>
    </row>
    <row r="427" spans="1:10" x14ac:dyDescent="0.25">
      <c r="A427" s="37" t="s">
        <v>211</v>
      </c>
      <c r="B427" s="37" t="s">
        <v>174</v>
      </c>
      <c r="C427" s="37" t="s">
        <v>205</v>
      </c>
      <c r="D427" s="37">
        <v>8212</v>
      </c>
      <c r="F427"/>
      <c r="J427"/>
    </row>
    <row r="428" spans="1:10" x14ac:dyDescent="0.25">
      <c r="A428" s="37" t="s">
        <v>207</v>
      </c>
      <c r="B428" s="37" t="s">
        <v>174</v>
      </c>
      <c r="C428" s="37" t="s">
        <v>205</v>
      </c>
      <c r="D428" s="37">
        <v>4550</v>
      </c>
      <c r="F428"/>
      <c r="J428"/>
    </row>
    <row r="429" spans="1:10" x14ac:dyDescent="0.25">
      <c r="A429" s="37" t="s">
        <v>208</v>
      </c>
      <c r="B429" s="37" t="s">
        <v>174</v>
      </c>
      <c r="C429" s="37" t="s">
        <v>205</v>
      </c>
      <c r="D429" s="37">
        <v>9664</v>
      </c>
      <c r="F429"/>
      <c r="J429"/>
    </row>
    <row r="430" spans="1:10" x14ac:dyDescent="0.25">
      <c r="A430" s="37" t="s">
        <v>209</v>
      </c>
      <c r="B430" s="37" t="s">
        <v>174</v>
      </c>
      <c r="C430" s="37" t="s">
        <v>205</v>
      </c>
      <c r="D430" s="37">
        <v>1368</v>
      </c>
      <c r="F430"/>
      <c r="J430"/>
    </row>
    <row r="431" spans="1:10" x14ac:dyDescent="0.25">
      <c r="A431" s="37" t="s">
        <v>210</v>
      </c>
      <c r="B431" s="37" t="s">
        <v>174</v>
      </c>
      <c r="C431" s="37" t="s">
        <v>205</v>
      </c>
      <c r="D431" s="37">
        <v>1543</v>
      </c>
      <c r="F431"/>
      <c r="J431"/>
    </row>
    <row r="432" spans="1:10" x14ac:dyDescent="0.25">
      <c r="A432" s="37" t="s">
        <v>211</v>
      </c>
      <c r="B432" s="37" t="s">
        <v>174</v>
      </c>
      <c r="C432" s="37" t="s">
        <v>205</v>
      </c>
      <c r="D432" s="37">
        <v>5983</v>
      </c>
      <c r="F432"/>
      <c r="J432"/>
    </row>
    <row r="433" spans="1:10" x14ac:dyDescent="0.25">
      <c r="A433" s="37" t="s">
        <v>207</v>
      </c>
      <c r="B433" s="37" t="s">
        <v>174</v>
      </c>
      <c r="C433" s="37" t="s">
        <v>205</v>
      </c>
      <c r="D433" s="37">
        <v>9816</v>
      </c>
      <c r="F433"/>
      <c r="J433"/>
    </row>
    <row r="434" spans="1:10" x14ac:dyDescent="0.25">
      <c r="A434" s="37" t="s">
        <v>208</v>
      </c>
      <c r="B434" s="37" t="s">
        <v>174</v>
      </c>
      <c r="C434" s="37" t="s">
        <v>205</v>
      </c>
      <c r="D434" s="37">
        <v>9212</v>
      </c>
      <c r="F434"/>
      <c r="J434"/>
    </row>
    <row r="435" spans="1:10" x14ac:dyDescent="0.25">
      <c r="A435" s="37" t="s">
        <v>209</v>
      </c>
      <c r="B435" s="37" t="s">
        <v>174</v>
      </c>
      <c r="C435" s="37" t="s">
        <v>205</v>
      </c>
      <c r="D435" s="37">
        <v>9678</v>
      </c>
      <c r="F435"/>
      <c r="J435"/>
    </row>
    <row r="436" spans="1:10" x14ac:dyDescent="0.25">
      <c r="A436" s="37" t="s">
        <v>210</v>
      </c>
      <c r="B436" s="37" t="s">
        <v>174</v>
      </c>
      <c r="C436" s="37" t="s">
        <v>205</v>
      </c>
      <c r="D436" s="37">
        <v>6890</v>
      </c>
      <c r="F436"/>
      <c r="J436"/>
    </row>
    <row r="437" spans="1:10" x14ac:dyDescent="0.25">
      <c r="A437" s="37" t="s">
        <v>211</v>
      </c>
      <c r="B437" s="37" t="s">
        <v>174</v>
      </c>
      <c r="C437" s="37" t="s">
        <v>205</v>
      </c>
      <c r="D437" s="37">
        <v>9960</v>
      </c>
      <c r="F437"/>
      <c r="J437"/>
    </row>
    <row r="438" spans="1:10" x14ac:dyDescent="0.25">
      <c r="A438" s="37" t="s">
        <v>207</v>
      </c>
      <c r="B438" s="37" t="s">
        <v>174</v>
      </c>
      <c r="C438" s="37" t="s">
        <v>205</v>
      </c>
      <c r="D438" s="37">
        <v>8307</v>
      </c>
      <c r="F438"/>
      <c r="J438"/>
    </row>
    <row r="439" spans="1:10" x14ac:dyDescent="0.25">
      <c r="A439" s="37" t="s">
        <v>208</v>
      </c>
      <c r="B439" s="37" t="s">
        <v>174</v>
      </c>
      <c r="C439" s="37" t="s">
        <v>205</v>
      </c>
      <c r="D439" s="37">
        <v>3867</v>
      </c>
      <c r="F439"/>
      <c r="J439"/>
    </row>
    <row r="440" spans="1:10" x14ac:dyDescent="0.25">
      <c r="A440" s="37" t="s">
        <v>209</v>
      </c>
      <c r="B440" s="37" t="s">
        <v>174</v>
      </c>
      <c r="C440" s="37" t="s">
        <v>205</v>
      </c>
      <c r="D440" s="37">
        <v>8146</v>
      </c>
      <c r="F440"/>
      <c r="J440"/>
    </row>
    <row r="441" spans="1:10" x14ac:dyDescent="0.25">
      <c r="A441" s="37" t="s">
        <v>210</v>
      </c>
      <c r="B441" s="37" t="s">
        <v>174</v>
      </c>
      <c r="C441" s="37" t="s">
        <v>205</v>
      </c>
      <c r="D441" s="37">
        <v>2490</v>
      </c>
      <c r="F441"/>
      <c r="J441"/>
    </row>
    <row r="442" spans="1:10" x14ac:dyDescent="0.25">
      <c r="A442" s="37" t="s">
        <v>211</v>
      </c>
      <c r="B442" s="37" t="s">
        <v>174</v>
      </c>
      <c r="C442" s="37" t="s">
        <v>205</v>
      </c>
      <c r="D442" s="37">
        <v>2265</v>
      </c>
      <c r="F442"/>
      <c r="J442"/>
    </row>
    <row r="443" spans="1:10" x14ac:dyDescent="0.25">
      <c r="A443" s="37" t="s">
        <v>207</v>
      </c>
      <c r="B443" s="37" t="s">
        <v>174</v>
      </c>
      <c r="C443" s="37" t="s">
        <v>205</v>
      </c>
      <c r="D443" s="37">
        <v>2502</v>
      </c>
      <c r="F443"/>
      <c r="J443"/>
    </row>
    <row r="444" spans="1:10" x14ac:dyDescent="0.25">
      <c r="A444" s="37" t="s">
        <v>208</v>
      </c>
      <c r="B444" s="37" t="s">
        <v>174</v>
      </c>
      <c r="C444" s="37" t="s">
        <v>205</v>
      </c>
      <c r="D444" s="37">
        <v>9672</v>
      </c>
      <c r="F444"/>
      <c r="J444"/>
    </row>
    <row r="445" spans="1:10" x14ac:dyDescent="0.25">
      <c r="A445" s="37" t="s">
        <v>209</v>
      </c>
      <c r="B445" s="37" t="s">
        <v>174</v>
      </c>
      <c r="C445" s="37" t="s">
        <v>205</v>
      </c>
      <c r="D445" s="37">
        <v>8699</v>
      </c>
      <c r="F445"/>
      <c r="J445"/>
    </row>
    <row r="446" spans="1:10" x14ac:dyDescent="0.25">
      <c r="A446" s="37" t="s">
        <v>210</v>
      </c>
      <c r="B446" s="37" t="s">
        <v>174</v>
      </c>
      <c r="C446" s="37" t="s">
        <v>205</v>
      </c>
      <c r="D446" s="37">
        <v>5962</v>
      </c>
      <c r="F446"/>
      <c r="J446"/>
    </row>
    <row r="447" spans="1:10" x14ac:dyDescent="0.25">
      <c r="A447" s="37" t="s">
        <v>211</v>
      </c>
      <c r="B447" s="37" t="s">
        <v>174</v>
      </c>
      <c r="C447" s="37" t="s">
        <v>205</v>
      </c>
      <c r="D447" s="37">
        <v>7273</v>
      </c>
      <c r="F447"/>
      <c r="J447"/>
    </row>
    <row r="448" spans="1:10" x14ac:dyDescent="0.25">
      <c r="A448" s="37" t="s">
        <v>207</v>
      </c>
      <c r="B448" s="37" t="s">
        <v>174</v>
      </c>
      <c r="C448" s="37" t="s">
        <v>205</v>
      </c>
      <c r="D448" s="37">
        <v>2655</v>
      </c>
      <c r="F448"/>
      <c r="J448"/>
    </row>
    <row r="449" spans="1:10" x14ac:dyDescent="0.25">
      <c r="A449" s="37" t="s">
        <v>208</v>
      </c>
      <c r="B449" s="37" t="s">
        <v>174</v>
      </c>
      <c r="C449" s="37" t="s">
        <v>205</v>
      </c>
      <c r="D449" s="37">
        <v>1254</v>
      </c>
      <c r="F449"/>
      <c r="J449"/>
    </row>
    <row r="450" spans="1:10" x14ac:dyDescent="0.25">
      <c r="A450" s="37" t="s">
        <v>209</v>
      </c>
      <c r="B450" s="37" t="s">
        <v>174</v>
      </c>
      <c r="C450" s="37" t="s">
        <v>205</v>
      </c>
      <c r="D450" s="37">
        <v>5395</v>
      </c>
      <c r="F450"/>
      <c r="J450"/>
    </row>
    <row r="451" spans="1:10" x14ac:dyDescent="0.25">
      <c r="A451" s="37" t="s">
        <v>210</v>
      </c>
      <c r="B451" s="37" t="s">
        <v>174</v>
      </c>
      <c r="C451" s="37" t="s">
        <v>205</v>
      </c>
      <c r="D451" s="37">
        <v>2530</v>
      </c>
      <c r="F451"/>
      <c r="J451"/>
    </row>
    <row r="452" spans="1:10" x14ac:dyDescent="0.25">
      <c r="A452" s="37" t="s">
        <v>211</v>
      </c>
      <c r="B452" s="37" t="s">
        <v>174</v>
      </c>
      <c r="C452" s="37" t="s">
        <v>205</v>
      </c>
      <c r="D452" s="37">
        <v>5038</v>
      </c>
      <c r="F452"/>
      <c r="J452"/>
    </row>
    <row r="453" spans="1:10" x14ac:dyDescent="0.25">
      <c r="A453" s="37" t="s">
        <v>207</v>
      </c>
      <c r="B453" s="37" t="s">
        <v>174</v>
      </c>
      <c r="C453" s="37" t="s">
        <v>205</v>
      </c>
      <c r="D453" s="37">
        <v>3802</v>
      </c>
      <c r="F453"/>
      <c r="J453"/>
    </row>
    <row r="454" spans="1:10" x14ac:dyDescent="0.25">
      <c r="A454" s="37" t="s">
        <v>208</v>
      </c>
      <c r="B454" s="37" t="s">
        <v>174</v>
      </c>
      <c r="C454" s="37" t="s">
        <v>205</v>
      </c>
      <c r="D454" s="37">
        <v>6966</v>
      </c>
      <c r="F454"/>
      <c r="J454"/>
    </row>
    <row r="455" spans="1:10" x14ac:dyDescent="0.25">
      <c r="A455" s="37" t="s">
        <v>209</v>
      </c>
      <c r="B455" s="37" t="s">
        <v>174</v>
      </c>
      <c r="C455" s="37" t="s">
        <v>205</v>
      </c>
      <c r="D455" s="37">
        <v>8614</v>
      </c>
      <c r="F455"/>
      <c r="J455"/>
    </row>
    <row r="456" spans="1:10" x14ac:dyDescent="0.25">
      <c r="A456" s="37" t="s">
        <v>210</v>
      </c>
      <c r="B456" s="37" t="s">
        <v>174</v>
      </c>
      <c r="C456" s="37" t="s">
        <v>205</v>
      </c>
      <c r="D456" s="37">
        <v>9772</v>
      </c>
      <c r="F456"/>
      <c r="J456"/>
    </row>
    <row r="457" spans="1:10" x14ac:dyDescent="0.25">
      <c r="A457" s="37" t="s">
        <v>211</v>
      </c>
      <c r="B457" s="37" t="s">
        <v>174</v>
      </c>
      <c r="C457" s="37" t="s">
        <v>205</v>
      </c>
      <c r="D457" s="37">
        <v>5530</v>
      </c>
      <c r="F457"/>
      <c r="J457"/>
    </row>
    <row r="458" spans="1:10" x14ac:dyDescent="0.25">
      <c r="A458" s="37" t="s">
        <v>207</v>
      </c>
      <c r="B458" s="37" t="s">
        <v>174</v>
      </c>
      <c r="C458" s="37" t="s">
        <v>205</v>
      </c>
      <c r="D458" s="37">
        <v>6290</v>
      </c>
      <c r="F458"/>
      <c r="J458"/>
    </row>
    <row r="459" spans="1:10" x14ac:dyDescent="0.25">
      <c r="A459" s="37" t="s">
        <v>208</v>
      </c>
      <c r="B459" s="37" t="s">
        <v>174</v>
      </c>
      <c r="C459" s="37" t="s">
        <v>205</v>
      </c>
      <c r="D459" s="37">
        <v>6288</v>
      </c>
      <c r="F459"/>
      <c r="J459"/>
    </row>
    <row r="460" spans="1:10" x14ac:dyDescent="0.25">
      <c r="A460" s="37" t="s">
        <v>209</v>
      </c>
      <c r="B460" s="37" t="s">
        <v>174</v>
      </c>
      <c r="C460" s="37" t="s">
        <v>205</v>
      </c>
      <c r="D460" s="37">
        <v>1714</v>
      </c>
      <c r="F460"/>
      <c r="J460"/>
    </row>
    <row r="461" spans="1:10" x14ac:dyDescent="0.25">
      <c r="A461" s="37" t="s">
        <v>210</v>
      </c>
      <c r="B461" s="37" t="s">
        <v>174</v>
      </c>
      <c r="C461" s="37" t="s">
        <v>205</v>
      </c>
      <c r="D461" s="37">
        <v>2113</v>
      </c>
      <c r="F461"/>
      <c r="J461"/>
    </row>
    <row r="462" spans="1:10" x14ac:dyDescent="0.25">
      <c r="A462" s="37" t="s">
        <v>211</v>
      </c>
      <c r="B462" s="37" t="s">
        <v>174</v>
      </c>
      <c r="C462" s="37" t="s">
        <v>205</v>
      </c>
      <c r="D462" s="37">
        <v>4861</v>
      </c>
      <c r="F462"/>
      <c r="J462"/>
    </row>
    <row r="463" spans="1:10" x14ac:dyDescent="0.25">
      <c r="A463" s="37" t="s">
        <v>212</v>
      </c>
      <c r="B463" s="37" t="s">
        <v>174</v>
      </c>
      <c r="C463" s="37" t="s">
        <v>205</v>
      </c>
      <c r="D463" s="37">
        <v>6677</v>
      </c>
      <c r="F463"/>
      <c r="J463"/>
    </row>
    <row r="464" spans="1:10" x14ac:dyDescent="0.25">
      <c r="A464" s="37" t="s">
        <v>207</v>
      </c>
      <c r="B464" s="37" t="s">
        <v>174</v>
      </c>
      <c r="C464" s="37" t="s">
        <v>205</v>
      </c>
      <c r="D464" s="37">
        <v>8094</v>
      </c>
      <c r="F464"/>
      <c r="J464"/>
    </row>
    <row r="465" spans="1:10" x14ac:dyDescent="0.25">
      <c r="A465" s="37" t="s">
        <v>208</v>
      </c>
      <c r="B465" s="37" t="s">
        <v>174</v>
      </c>
      <c r="C465" s="37" t="s">
        <v>205</v>
      </c>
      <c r="D465" s="37">
        <v>6979</v>
      </c>
      <c r="F465"/>
      <c r="J465"/>
    </row>
    <row r="466" spans="1:10" x14ac:dyDescent="0.25">
      <c r="A466" s="37" t="s">
        <v>209</v>
      </c>
      <c r="B466" s="37" t="s">
        <v>174</v>
      </c>
      <c r="C466" s="37" t="s">
        <v>205</v>
      </c>
      <c r="D466" s="37">
        <v>9379</v>
      </c>
      <c r="F466"/>
      <c r="J466"/>
    </row>
    <row r="467" spans="1:10" x14ac:dyDescent="0.25">
      <c r="A467" s="37" t="s">
        <v>210</v>
      </c>
      <c r="B467" s="37" t="s">
        <v>174</v>
      </c>
      <c r="C467" s="37" t="s">
        <v>205</v>
      </c>
      <c r="D467" s="37">
        <v>6075</v>
      </c>
      <c r="F467"/>
      <c r="J467"/>
    </row>
    <row r="468" spans="1:10" x14ac:dyDescent="0.25">
      <c r="A468" s="37" t="s">
        <v>211</v>
      </c>
      <c r="B468" s="37" t="s">
        <v>174</v>
      </c>
      <c r="C468" s="37" t="s">
        <v>205</v>
      </c>
      <c r="D468" s="37">
        <v>2240</v>
      </c>
      <c r="F468"/>
      <c r="J468"/>
    </row>
    <row r="469" spans="1:10" x14ac:dyDescent="0.25">
      <c r="A469" s="37" t="s">
        <v>207</v>
      </c>
      <c r="B469" s="37" t="s">
        <v>174</v>
      </c>
      <c r="C469" s="37" t="s">
        <v>205</v>
      </c>
      <c r="D469" s="37">
        <v>1740</v>
      </c>
      <c r="F469"/>
      <c r="J469"/>
    </row>
    <row r="470" spans="1:10" x14ac:dyDescent="0.25">
      <c r="A470" s="37" t="s">
        <v>208</v>
      </c>
      <c r="B470" s="37" t="s">
        <v>174</v>
      </c>
      <c r="C470" s="37" t="s">
        <v>205</v>
      </c>
      <c r="D470" s="37">
        <v>2916</v>
      </c>
      <c r="F470"/>
      <c r="J470"/>
    </row>
    <row r="471" spans="1:10" x14ac:dyDescent="0.25">
      <c r="A471" s="37" t="s">
        <v>209</v>
      </c>
      <c r="B471" s="37" t="s">
        <v>174</v>
      </c>
      <c r="C471" s="37" t="s">
        <v>205</v>
      </c>
      <c r="D471" s="37">
        <v>6090</v>
      </c>
      <c r="F471"/>
      <c r="J471"/>
    </row>
    <row r="472" spans="1:10" x14ac:dyDescent="0.25">
      <c r="A472" s="37" t="s">
        <v>210</v>
      </c>
      <c r="B472" s="37" t="s">
        <v>174</v>
      </c>
      <c r="C472" s="37" t="s">
        <v>205</v>
      </c>
      <c r="D472" s="37">
        <v>7845</v>
      </c>
      <c r="F472"/>
      <c r="J472"/>
    </row>
    <row r="473" spans="1:10" x14ac:dyDescent="0.25">
      <c r="A473" s="37" t="s">
        <v>211</v>
      </c>
      <c r="B473" s="37" t="s">
        <v>174</v>
      </c>
      <c r="C473" s="37" t="s">
        <v>205</v>
      </c>
      <c r="D473" s="37">
        <v>4197</v>
      </c>
      <c r="F473"/>
      <c r="J473"/>
    </row>
    <row r="474" spans="1:10" x14ac:dyDescent="0.25">
      <c r="A474" s="37" t="s">
        <v>207</v>
      </c>
      <c r="B474" s="37" t="s">
        <v>174</v>
      </c>
      <c r="C474" s="37" t="s">
        <v>205</v>
      </c>
      <c r="D474" s="37">
        <v>9465</v>
      </c>
      <c r="F474"/>
      <c r="J474"/>
    </row>
    <row r="475" spans="1:10" x14ac:dyDescent="0.25">
      <c r="A475" s="37" t="s">
        <v>208</v>
      </c>
      <c r="B475" s="37" t="s">
        <v>174</v>
      </c>
      <c r="C475" s="37" t="s">
        <v>205</v>
      </c>
      <c r="D475" s="37">
        <v>2288</v>
      </c>
      <c r="F475"/>
      <c r="J475"/>
    </row>
    <row r="476" spans="1:10" x14ac:dyDescent="0.25">
      <c r="A476" s="37" t="s">
        <v>209</v>
      </c>
      <c r="B476" s="37" t="s">
        <v>174</v>
      </c>
      <c r="C476" s="37" t="s">
        <v>205</v>
      </c>
      <c r="D476" s="37">
        <v>7091</v>
      </c>
      <c r="F476"/>
      <c r="J476"/>
    </row>
    <row r="477" spans="1:10" x14ac:dyDescent="0.25">
      <c r="A477" s="37" t="s">
        <v>210</v>
      </c>
      <c r="B477" s="37" t="s">
        <v>174</v>
      </c>
      <c r="C477" s="37" t="s">
        <v>205</v>
      </c>
      <c r="D477" s="37">
        <v>9025</v>
      </c>
      <c r="F477"/>
      <c r="J477"/>
    </row>
    <row r="478" spans="1:10" x14ac:dyDescent="0.25">
      <c r="A478" s="37" t="s">
        <v>211</v>
      </c>
      <c r="B478" s="37" t="s">
        <v>174</v>
      </c>
      <c r="C478" s="37" t="s">
        <v>205</v>
      </c>
      <c r="D478" s="37">
        <v>7278</v>
      </c>
      <c r="F478"/>
      <c r="J478"/>
    </row>
    <row r="479" spans="1:10" x14ac:dyDescent="0.25">
      <c r="A479" s="37" t="s">
        <v>207</v>
      </c>
      <c r="B479" s="37" t="s">
        <v>174</v>
      </c>
      <c r="C479" s="37" t="s">
        <v>205</v>
      </c>
      <c r="D479" s="37">
        <v>4613</v>
      </c>
      <c r="F479"/>
      <c r="J479"/>
    </row>
    <row r="480" spans="1:10" x14ac:dyDescent="0.25">
      <c r="A480" s="37" t="s">
        <v>208</v>
      </c>
      <c r="B480" s="37" t="s">
        <v>174</v>
      </c>
      <c r="C480" s="37" t="s">
        <v>201</v>
      </c>
      <c r="D480" s="37">
        <v>9781</v>
      </c>
      <c r="F480"/>
      <c r="J480"/>
    </row>
    <row r="481" spans="1:10" x14ac:dyDescent="0.25">
      <c r="A481" s="37" t="s">
        <v>209</v>
      </c>
      <c r="B481" s="37" t="s">
        <v>174</v>
      </c>
      <c r="C481" s="37" t="s">
        <v>202</v>
      </c>
      <c r="D481" s="37">
        <v>5787</v>
      </c>
      <c r="F481"/>
      <c r="J481"/>
    </row>
    <row r="482" spans="1:10" x14ac:dyDescent="0.25">
      <c r="A482" s="37" t="s">
        <v>210</v>
      </c>
      <c r="B482" s="37" t="s">
        <v>174</v>
      </c>
      <c r="C482" s="37" t="s">
        <v>203</v>
      </c>
      <c r="D482" s="37">
        <v>9381</v>
      </c>
      <c r="F482"/>
      <c r="J482"/>
    </row>
    <row r="483" spans="1:10" x14ac:dyDescent="0.25">
      <c r="A483" s="37" t="s">
        <v>211</v>
      </c>
      <c r="B483" s="37" t="s">
        <v>174</v>
      </c>
      <c r="C483" s="37" t="s">
        <v>204</v>
      </c>
      <c r="D483" s="37">
        <v>8340</v>
      </c>
      <c r="F483"/>
      <c r="J483"/>
    </row>
    <row r="484" spans="1:10" x14ac:dyDescent="0.25">
      <c r="A484" s="37" t="s">
        <v>207</v>
      </c>
      <c r="B484" s="37" t="s">
        <v>174</v>
      </c>
      <c r="C484" s="37" t="s">
        <v>205</v>
      </c>
      <c r="D484" s="37">
        <v>4864</v>
      </c>
      <c r="F484"/>
      <c r="J484"/>
    </row>
    <row r="485" spans="1:10" x14ac:dyDescent="0.25">
      <c r="A485" s="37" t="s">
        <v>208</v>
      </c>
      <c r="B485" s="37" t="s">
        <v>174</v>
      </c>
      <c r="C485" s="37" t="s">
        <v>201</v>
      </c>
      <c r="D485" s="37">
        <v>1927</v>
      </c>
      <c r="F485"/>
      <c r="J485"/>
    </row>
    <row r="486" spans="1:10" x14ac:dyDescent="0.25">
      <c r="A486" s="37" t="s">
        <v>209</v>
      </c>
      <c r="B486" s="37" t="s">
        <v>174</v>
      </c>
      <c r="C486" s="37" t="s">
        <v>202</v>
      </c>
      <c r="D486" s="37">
        <v>3978</v>
      </c>
      <c r="F486"/>
      <c r="J486"/>
    </row>
    <row r="487" spans="1:10" x14ac:dyDescent="0.25">
      <c r="A487" s="37" t="s">
        <v>210</v>
      </c>
      <c r="B487" s="37" t="s">
        <v>174</v>
      </c>
      <c r="C487" s="37" t="s">
        <v>203</v>
      </c>
      <c r="D487" s="37">
        <v>7944</v>
      </c>
      <c r="F487"/>
      <c r="J487"/>
    </row>
    <row r="488" spans="1:10" x14ac:dyDescent="0.25">
      <c r="A488" s="37" t="s">
        <v>211</v>
      </c>
      <c r="B488" s="37" t="s">
        <v>174</v>
      </c>
      <c r="C488" s="37" t="s">
        <v>204</v>
      </c>
      <c r="D488" s="37">
        <v>3538</v>
      </c>
      <c r="F488"/>
      <c r="J488"/>
    </row>
    <row r="489" spans="1:10" x14ac:dyDescent="0.25">
      <c r="A489" s="37" t="s">
        <v>207</v>
      </c>
      <c r="B489" s="37" t="s">
        <v>174</v>
      </c>
      <c r="C489" s="37" t="s">
        <v>201</v>
      </c>
      <c r="D489" s="37">
        <v>2908</v>
      </c>
      <c r="F489"/>
      <c r="J489"/>
    </row>
    <row r="490" spans="1:10" x14ac:dyDescent="0.25">
      <c r="A490" s="37" t="s">
        <v>208</v>
      </c>
      <c r="B490" s="37" t="s">
        <v>174</v>
      </c>
      <c r="C490" s="37" t="s">
        <v>202</v>
      </c>
      <c r="D490" s="37">
        <v>4743</v>
      </c>
      <c r="F490"/>
      <c r="J490"/>
    </row>
    <row r="491" spans="1:10" x14ac:dyDescent="0.25">
      <c r="A491" s="37" t="s">
        <v>209</v>
      </c>
      <c r="B491" s="37" t="s">
        <v>174</v>
      </c>
      <c r="C491" s="37" t="s">
        <v>203</v>
      </c>
      <c r="D491" s="37">
        <v>8390</v>
      </c>
      <c r="F491"/>
      <c r="J491"/>
    </row>
    <row r="492" spans="1:10" x14ac:dyDescent="0.25">
      <c r="A492" s="37" t="s">
        <v>210</v>
      </c>
      <c r="B492" s="37" t="s">
        <v>174</v>
      </c>
      <c r="C492" s="37" t="s">
        <v>204</v>
      </c>
      <c r="D492" s="37">
        <v>5479</v>
      </c>
      <c r="F492"/>
      <c r="J492"/>
    </row>
    <row r="493" spans="1:10" x14ac:dyDescent="0.25">
      <c r="A493" s="37" t="s">
        <v>211</v>
      </c>
      <c r="B493" s="37" t="s">
        <v>174</v>
      </c>
      <c r="C493" s="37" t="s">
        <v>201</v>
      </c>
      <c r="D493" s="37">
        <v>4899</v>
      </c>
      <c r="F493"/>
      <c r="J493"/>
    </row>
    <row r="494" spans="1:10" x14ac:dyDescent="0.25">
      <c r="A494" s="37" t="s">
        <v>207</v>
      </c>
      <c r="B494" s="37" t="s">
        <v>174</v>
      </c>
      <c r="C494" s="37" t="s">
        <v>202</v>
      </c>
      <c r="D494" s="37">
        <v>1061</v>
      </c>
      <c r="F494"/>
      <c r="J494"/>
    </row>
    <row r="495" spans="1:10" x14ac:dyDescent="0.25">
      <c r="A495" s="37" t="s">
        <v>208</v>
      </c>
      <c r="B495" s="37" t="s">
        <v>174</v>
      </c>
      <c r="C495" s="37" t="s">
        <v>203</v>
      </c>
      <c r="D495" s="37">
        <v>6136</v>
      </c>
      <c r="F495"/>
      <c r="J495"/>
    </row>
    <row r="496" spans="1:10" x14ac:dyDescent="0.25">
      <c r="A496" s="37" t="s">
        <v>209</v>
      </c>
      <c r="B496" s="37" t="s">
        <v>174</v>
      </c>
      <c r="C496" s="37" t="s">
        <v>204</v>
      </c>
      <c r="D496" s="37">
        <v>1247</v>
      </c>
      <c r="F496"/>
      <c r="J496"/>
    </row>
    <row r="497" spans="1:10" x14ac:dyDescent="0.25">
      <c r="A497" s="37" t="s">
        <v>210</v>
      </c>
      <c r="B497" s="37" t="s">
        <v>174</v>
      </c>
      <c r="C497" s="37" t="s">
        <v>201</v>
      </c>
      <c r="D497" s="37">
        <v>5950</v>
      </c>
      <c r="F497"/>
      <c r="J497"/>
    </row>
    <row r="498" spans="1:10" x14ac:dyDescent="0.25">
      <c r="A498" s="37" t="s">
        <v>211</v>
      </c>
      <c r="B498" s="37" t="s">
        <v>174</v>
      </c>
      <c r="C498" s="37" t="s">
        <v>202</v>
      </c>
      <c r="D498" s="37">
        <v>6636</v>
      </c>
      <c r="F498"/>
      <c r="J498"/>
    </row>
    <row r="499" spans="1:10" x14ac:dyDescent="0.25">
      <c r="A499" s="37" t="s">
        <v>207</v>
      </c>
      <c r="B499" s="37" t="s">
        <v>174</v>
      </c>
      <c r="C499" s="37" t="s">
        <v>203</v>
      </c>
      <c r="D499" s="37">
        <v>1242</v>
      </c>
      <c r="F499"/>
      <c r="J499"/>
    </row>
    <row r="500" spans="1:10" x14ac:dyDescent="0.25">
      <c r="A500" s="37" t="s">
        <v>208</v>
      </c>
      <c r="B500" s="37" t="s">
        <v>174</v>
      </c>
      <c r="C500" s="37" t="s">
        <v>204</v>
      </c>
      <c r="D500" s="37">
        <v>5251</v>
      </c>
      <c r="F500"/>
      <c r="J500"/>
    </row>
    <row r="501" spans="1:10" x14ac:dyDescent="0.25">
      <c r="A501" s="37" t="s">
        <v>209</v>
      </c>
      <c r="B501" s="37" t="s">
        <v>174</v>
      </c>
      <c r="C501" s="37" t="s">
        <v>201</v>
      </c>
      <c r="D501" s="37">
        <v>3318</v>
      </c>
      <c r="F501"/>
      <c r="J501"/>
    </row>
    <row r="502" spans="1:10" x14ac:dyDescent="0.25">
      <c r="A502" s="37" t="s">
        <v>210</v>
      </c>
      <c r="B502" s="37" t="s">
        <v>174</v>
      </c>
      <c r="C502" s="37" t="s">
        <v>202</v>
      </c>
      <c r="D502" s="37">
        <v>8096</v>
      </c>
      <c r="F502"/>
      <c r="J502"/>
    </row>
    <row r="503" spans="1:10" x14ac:dyDescent="0.25">
      <c r="A503" s="37" t="s">
        <v>211</v>
      </c>
      <c r="B503" s="37" t="s">
        <v>174</v>
      </c>
      <c r="C503" s="37" t="s">
        <v>203</v>
      </c>
      <c r="D503" s="37">
        <v>5661</v>
      </c>
      <c r="F503"/>
      <c r="J503"/>
    </row>
    <row r="504" spans="1:10" x14ac:dyDescent="0.25">
      <c r="A504" s="37" t="s">
        <v>207</v>
      </c>
      <c r="B504" s="37" t="s">
        <v>174</v>
      </c>
      <c r="C504" s="37" t="s">
        <v>204</v>
      </c>
      <c r="D504" s="37">
        <v>1699</v>
      </c>
      <c r="F504"/>
      <c r="J504"/>
    </row>
    <row r="505" spans="1:10" x14ac:dyDescent="0.25">
      <c r="A505" s="37" t="s">
        <v>208</v>
      </c>
      <c r="B505" s="37" t="s">
        <v>174</v>
      </c>
      <c r="C505" s="37" t="s">
        <v>201</v>
      </c>
      <c r="D505" s="37">
        <v>1373</v>
      </c>
      <c r="F505"/>
      <c r="J505"/>
    </row>
    <row r="506" spans="1:10" x14ac:dyDescent="0.25">
      <c r="A506" s="37" t="s">
        <v>209</v>
      </c>
      <c r="B506" s="37" t="s">
        <v>174</v>
      </c>
      <c r="C506" s="37" t="s">
        <v>202</v>
      </c>
      <c r="D506" s="37">
        <v>4715</v>
      </c>
      <c r="F506"/>
      <c r="J506"/>
    </row>
    <row r="507" spans="1:10" x14ac:dyDescent="0.25">
      <c r="A507" s="37" t="s">
        <v>210</v>
      </c>
      <c r="B507" s="37" t="s">
        <v>174</v>
      </c>
      <c r="C507" s="37" t="s">
        <v>203</v>
      </c>
      <c r="D507" s="37">
        <v>6002</v>
      </c>
      <c r="F507"/>
      <c r="J507"/>
    </row>
    <row r="508" spans="1:10" x14ac:dyDescent="0.25">
      <c r="A508" s="37" t="s">
        <v>211</v>
      </c>
      <c r="B508" s="37" t="s">
        <v>174</v>
      </c>
      <c r="C508" s="37" t="s">
        <v>204</v>
      </c>
      <c r="D508" s="37">
        <v>2052</v>
      </c>
      <c r="F508"/>
      <c r="J508"/>
    </row>
    <row r="509" spans="1:10" x14ac:dyDescent="0.25">
      <c r="A509" s="37" t="s">
        <v>207</v>
      </c>
      <c r="B509" s="37" t="s">
        <v>174</v>
      </c>
      <c r="C509" s="37" t="s">
        <v>201</v>
      </c>
      <c r="D509" s="37">
        <v>2153</v>
      </c>
      <c r="F509"/>
      <c r="J509"/>
    </row>
    <row r="510" spans="1:10" x14ac:dyDescent="0.25">
      <c r="A510" s="37" t="s">
        <v>208</v>
      </c>
      <c r="B510" s="37" t="s">
        <v>174</v>
      </c>
      <c r="C510" s="37" t="s">
        <v>202</v>
      </c>
      <c r="D510" s="37">
        <v>3603</v>
      </c>
      <c r="F510"/>
      <c r="J510"/>
    </row>
    <row r="511" spans="1:10" x14ac:dyDescent="0.25">
      <c r="A511" s="37" t="s">
        <v>209</v>
      </c>
      <c r="B511" s="37" t="s">
        <v>174</v>
      </c>
      <c r="C511" s="37" t="s">
        <v>203</v>
      </c>
      <c r="D511" s="37">
        <v>3184</v>
      </c>
      <c r="F511"/>
      <c r="J511"/>
    </row>
    <row r="512" spans="1:10" x14ac:dyDescent="0.25">
      <c r="A512" s="37" t="s">
        <v>210</v>
      </c>
      <c r="B512" s="37" t="s">
        <v>174</v>
      </c>
      <c r="C512" s="37" t="s">
        <v>204</v>
      </c>
      <c r="D512" s="37">
        <v>5928</v>
      </c>
      <c r="F512"/>
      <c r="J512"/>
    </row>
    <row r="513" spans="1:10" x14ac:dyDescent="0.25">
      <c r="A513" s="37" t="s">
        <v>211</v>
      </c>
      <c r="B513" s="37" t="s">
        <v>174</v>
      </c>
      <c r="C513" s="37" t="s">
        <v>201</v>
      </c>
      <c r="D513" s="37">
        <v>9173</v>
      </c>
      <c r="F513"/>
      <c r="J513"/>
    </row>
    <row r="514" spans="1:10" x14ac:dyDescent="0.25">
      <c r="A514" s="37" t="s">
        <v>207</v>
      </c>
      <c r="B514" s="37" t="s">
        <v>174</v>
      </c>
      <c r="C514" s="37" t="s">
        <v>202</v>
      </c>
      <c r="D514" s="37">
        <v>5965</v>
      </c>
      <c r="F514"/>
      <c r="J514"/>
    </row>
    <row r="515" spans="1:10" x14ac:dyDescent="0.25">
      <c r="A515" s="37" t="s">
        <v>208</v>
      </c>
      <c r="B515" s="37" t="s">
        <v>174</v>
      </c>
      <c r="C515" s="37" t="s">
        <v>203</v>
      </c>
      <c r="D515" s="37">
        <v>7132</v>
      </c>
      <c r="F515"/>
      <c r="J515"/>
    </row>
    <row r="516" spans="1:10" x14ac:dyDescent="0.25">
      <c r="A516" s="37" t="s">
        <v>209</v>
      </c>
      <c r="B516" s="37" t="s">
        <v>174</v>
      </c>
      <c r="C516" s="37" t="s">
        <v>204</v>
      </c>
      <c r="D516" s="37">
        <v>3499</v>
      </c>
      <c r="F516"/>
      <c r="J516"/>
    </row>
    <row r="517" spans="1:10" x14ac:dyDescent="0.25">
      <c r="A517" s="37" t="s">
        <v>210</v>
      </c>
      <c r="B517" s="37" t="s">
        <v>174</v>
      </c>
      <c r="C517" s="37" t="s">
        <v>201</v>
      </c>
      <c r="D517" s="37">
        <v>7712</v>
      </c>
      <c r="F517"/>
      <c r="J517"/>
    </row>
    <row r="518" spans="1:10" x14ac:dyDescent="0.25">
      <c r="A518" s="37" t="s">
        <v>211</v>
      </c>
      <c r="B518" s="37" t="s">
        <v>174</v>
      </c>
      <c r="C518" s="37" t="s">
        <v>202</v>
      </c>
      <c r="D518" s="37">
        <v>6285</v>
      </c>
      <c r="F518"/>
      <c r="J518"/>
    </row>
    <row r="519" spans="1:10" x14ac:dyDescent="0.25">
      <c r="A519" s="37" t="s">
        <v>207</v>
      </c>
      <c r="B519" s="37" t="s">
        <v>174</v>
      </c>
      <c r="C519" s="37" t="s">
        <v>203</v>
      </c>
      <c r="D519" s="37">
        <v>6582</v>
      </c>
      <c r="F519"/>
      <c r="J519"/>
    </row>
    <row r="520" spans="1:10" x14ac:dyDescent="0.25">
      <c r="A520" s="37" t="s">
        <v>208</v>
      </c>
      <c r="B520" s="37" t="s">
        <v>174</v>
      </c>
      <c r="C520" s="37" t="s">
        <v>204</v>
      </c>
      <c r="D520" s="37">
        <v>7028</v>
      </c>
      <c r="F520"/>
      <c r="J520"/>
    </row>
    <row r="521" spans="1:10" x14ac:dyDescent="0.25">
      <c r="A521" s="37" t="s">
        <v>209</v>
      </c>
      <c r="B521" s="37" t="s">
        <v>174</v>
      </c>
      <c r="C521" s="37" t="s">
        <v>201</v>
      </c>
      <c r="D521" s="37">
        <v>1431</v>
      </c>
      <c r="F521"/>
      <c r="J521"/>
    </row>
    <row r="522" spans="1:10" x14ac:dyDescent="0.25">
      <c r="A522" s="37" t="s">
        <v>210</v>
      </c>
      <c r="B522" s="37" t="s">
        <v>174</v>
      </c>
      <c r="C522" s="37" t="s">
        <v>202</v>
      </c>
      <c r="D522" s="37">
        <v>8391</v>
      </c>
      <c r="F522"/>
      <c r="J522"/>
    </row>
    <row r="523" spans="1:10" x14ac:dyDescent="0.25">
      <c r="A523" s="37" t="s">
        <v>211</v>
      </c>
      <c r="B523" s="37" t="s">
        <v>174</v>
      </c>
      <c r="C523" s="37" t="s">
        <v>203</v>
      </c>
      <c r="D523" s="37">
        <v>1836</v>
      </c>
      <c r="F523"/>
      <c r="J523"/>
    </row>
    <row r="524" spans="1:10" x14ac:dyDescent="0.25">
      <c r="A524" s="37" t="s">
        <v>207</v>
      </c>
      <c r="B524" s="37" t="s">
        <v>174</v>
      </c>
      <c r="C524" s="37" t="s">
        <v>204</v>
      </c>
      <c r="D524" s="37">
        <v>7817</v>
      </c>
      <c r="F524"/>
      <c r="J524"/>
    </row>
    <row r="525" spans="1:10" x14ac:dyDescent="0.25">
      <c r="A525" s="37" t="s">
        <v>208</v>
      </c>
      <c r="B525" s="37" t="s">
        <v>174</v>
      </c>
      <c r="C525" s="37" t="s">
        <v>201</v>
      </c>
      <c r="D525" s="37">
        <v>6953</v>
      </c>
      <c r="F525"/>
      <c r="J525"/>
    </row>
    <row r="526" spans="1:10" x14ac:dyDescent="0.25">
      <c r="A526" s="37" t="s">
        <v>209</v>
      </c>
      <c r="B526" s="37" t="s">
        <v>174</v>
      </c>
      <c r="C526" s="37" t="s">
        <v>202</v>
      </c>
      <c r="D526" s="37">
        <v>9902</v>
      </c>
      <c r="F526"/>
      <c r="J526"/>
    </row>
    <row r="527" spans="1:10" x14ac:dyDescent="0.25">
      <c r="A527" s="37" t="s">
        <v>210</v>
      </c>
      <c r="B527" s="37" t="s">
        <v>174</v>
      </c>
      <c r="C527" s="37" t="s">
        <v>203</v>
      </c>
      <c r="D527" s="37">
        <v>8085</v>
      </c>
      <c r="F527"/>
      <c r="J527"/>
    </row>
    <row r="528" spans="1:10" x14ac:dyDescent="0.25">
      <c r="A528" s="37" t="s">
        <v>211</v>
      </c>
      <c r="B528" s="37" t="s">
        <v>174</v>
      </c>
      <c r="C528" s="37" t="s">
        <v>204</v>
      </c>
      <c r="D528" s="37">
        <v>7156</v>
      </c>
      <c r="F528"/>
      <c r="J528"/>
    </row>
    <row r="529" spans="1:10" x14ac:dyDescent="0.25">
      <c r="A529" s="37" t="s">
        <v>207</v>
      </c>
      <c r="B529" s="37" t="s">
        <v>174</v>
      </c>
      <c r="C529" s="37" t="s">
        <v>201</v>
      </c>
      <c r="D529" s="37">
        <v>1299</v>
      </c>
      <c r="F529"/>
      <c r="J529"/>
    </row>
    <row r="530" spans="1:10" x14ac:dyDescent="0.25">
      <c r="A530" s="37" t="s">
        <v>208</v>
      </c>
      <c r="B530" s="37" t="s">
        <v>174</v>
      </c>
      <c r="C530" s="37" t="s">
        <v>202</v>
      </c>
      <c r="D530" s="37">
        <v>8192</v>
      </c>
      <c r="F530"/>
      <c r="J530"/>
    </row>
    <row r="531" spans="1:10" x14ac:dyDescent="0.25">
      <c r="A531" s="37" t="s">
        <v>209</v>
      </c>
      <c r="B531" s="37" t="s">
        <v>174</v>
      </c>
      <c r="C531" s="37" t="s">
        <v>203</v>
      </c>
      <c r="D531" s="37">
        <v>3853</v>
      </c>
      <c r="F531"/>
      <c r="J531"/>
    </row>
    <row r="532" spans="1:10" x14ac:dyDescent="0.25">
      <c r="A532" s="37" t="s">
        <v>210</v>
      </c>
      <c r="B532" s="37" t="s">
        <v>174</v>
      </c>
      <c r="C532" s="37" t="s">
        <v>204</v>
      </c>
      <c r="D532" s="37">
        <v>3850</v>
      </c>
      <c r="F532"/>
      <c r="J532"/>
    </row>
    <row r="533" spans="1:10" x14ac:dyDescent="0.25">
      <c r="A533" s="37" t="s">
        <v>211</v>
      </c>
      <c r="B533" s="37" t="s">
        <v>174</v>
      </c>
      <c r="C533" s="37" t="s">
        <v>201</v>
      </c>
      <c r="D533" s="37">
        <v>3719</v>
      </c>
      <c r="F533"/>
      <c r="J533"/>
    </row>
    <row r="534" spans="1:10" x14ac:dyDescent="0.25">
      <c r="A534" s="37" t="s">
        <v>207</v>
      </c>
      <c r="B534" s="37" t="s">
        <v>174</v>
      </c>
      <c r="C534" s="37" t="s">
        <v>202</v>
      </c>
      <c r="D534" s="37">
        <v>6027</v>
      </c>
      <c r="F534"/>
      <c r="J534"/>
    </row>
    <row r="535" spans="1:10" x14ac:dyDescent="0.25">
      <c r="A535" s="37" t="s">
        <v>208</v>
      </c>
      <c r="B535" s="37" t="s">
        <v>174</v>
      </c>
      <c r="C535" s="37" t="s">
        <v>203</v>
      </c>
      <c r="D535" s="37">
        <v>7387</v>
      </c>
      <c r="F535"/>
      <c r="J535"/>
    </row>
    <row r="536" spans="1:10" x14ac:dyDescent="0.25">
      <c r="A536" s="37" t="s">
        <v>209</v>
      </c>
      <c r="B536" s="37" t="s">
        <v>174</v>
      </c>
      <c r="C536" s="37" t="s">
        <v>204</v>
      </c>
      <c r="D536" s="37">
        <v>4091</v>
      </c>
      <c r="F536"/>
      <c r="J536"/>
    </row>
    <row r="537" spans="1:10" x14ac:dyDescent="0.25">
      <c r="A537" s="37" t="s">
        <v>210</v>
      </c>
      <c r="B537" s="37" t="s">
        <v>174</v>
      </c>
      <c r="C537" s="37" t="s">
        <v>201</v>
      </c>
      <c r="D537" s="37">
        <v>6800</v>
      </c>
      <c r="F537"/>
      <c r="J537"/>
    </row>
    <row r="538" spans="1:10" x14ac:dyDescent="0.25">
      <c r="A538" s="37" t="s">
        <v>211</v>
      </c>
      <c r="B538" s="37" t="s">
        <v>174</v>
      </c>
      <c r="C538" s="37" t="s">
        <v>202</v>
      </c>
      <c r="D538" s="37">
        <v>1497</v>
      </c>
      <c r="F538"/>
      <c r="J538"/>
    </row>
    <row r="539" spans="1:10" x14ac:dyDescent="0.25">
      <c r="A539" s="37" t="s">
        <v>207</v>
      </c>
      <c r="B539" s="37" t="s">
        <v>174</v>
      </c>
      <c r="C539" s="37" t="s">
        <v>203</v>
      </c>
      <c r="D539" s="37">
        <v>1689</v>
      </c>
      <c r="F539"/>
      <c r="J539"/>
    </row>
    <row r="540" spans="1:10" x14ac:dyDescent="0.25">
      <c r="A540" s="37" t="s">
        <v>208</v>
      </c>
      <c r="B540" s="37" t="s">
        <v>174</v>
      </c>
      <c r="C540" s="37" t="s">
        <v>204</v>
      </c>
      <c r="D540" s="37">
        <v>7500</v>
      </c>
      <c r="F540"/>
      <c r="J540"/>
    </row>
    <row r="541" spans="1:10" x14ac:dyDescent="0.25">
      <c r="A541" s="37" t="s">
        <v>209</v>
      </c>
      <c r="B541" s="37" t="s">
        <v>174</v>
      </c>
      <c r="C541" s="37" t="s">
        <v>205</v>
      </c>
      <c r="D541" s="37">
        <v>3917</v>
      </c>
      <c r="F541"/>
      <c r="J541"/>
    </row>
    <row r="542" spans="1:10" x14ac:dyDescent="0.25">
      <c r="A542" s="37" t="s">
        <v>210</v>
      </c>
      <c r="B542" s="37" t="s">
        <v>174</v>
      </c>
      <c r="C542" s="37" t="s">
        <v>201</v>
      </c>
      <c r="D542" s="37">
        <v>7610</v>
      </c>
      <c r="F542"/>
      <c r="J542"/>
    </row>
    <row r="543" spans="1:10" x14ac:dyDescent="0.25">
      <c r="A543" s="37" t="s">
        <v>211</v>
      </c>
      <c r="B543" s="37" t="s">
        <v>174</v>
      </c>
      <c r="C543" s="37" t="s">
        <v>202</v>
      </c>
      <c r="D543" s="37">
        <v>2753</v>
      </c>
      <c r="F543"/>
      <c r="J543"/>
    </row>
    <row r="544" spans="1:10" x14ac:dyDescent="0.25">
      <c r="A544" s="37" t="s">
        <v>207</v>
      </c>
      <c r="B544" s="37" t="s">
        <v>174</v>
      </c>
      <c r="C544" s="37" t="s">
        <v>203</v>
      </c>
      <c r="D544" s="37">
        <v>3724</v>
      </c>
      <c r="F544"/>
      <c r="J544"/>
    </row>
    <row r="545" spans="1:10" x14ac:dyDescent="0.25">
      <c r="A545" s="37" t="s">
        <v>208</v>
      </c>
      <c r="B545" s="37" t="s">
        <v>174</v>
      </c>
      <c r="C545" s="37" t="s">
        <v>204</v>
      </c>
      <c r="D545" s="37">
        <v>5895</v>
      </c>
      <c r="F545"/>
      <c r="J545"/>
    </row>
    <row r="546" spans="1:10" x14ac:dyDescent="0.25">
      <c r="A546" s="37" t="s">
        <v>209</v>
      </c>
      <c r="B546" s="37" t="s">
        <v>174</v>
      </c>
      <c r="C546" s="37" t="s">
        <v>205</v>
      </c>
      <c r="D546" s="37">
        <v>4895</v>
      </c>
      <c r="F546"/>
      <c r="J546"/>
    </row>
    <row r="547" spans="1:10" x14ac:dyDescent="0.25">
      <c r="A547" s="37" t="s">
        <v>210</v>
      </c>
      <c r="B547" s="37" t="s">
        <v>174</v>
      </c>
      <c r="C547" s="37" t="s">
        <v>201</v>
      </c>
      <c r="D547" s="37">
        <v>9538</v>
      </c>
      <c r="F547"/>
      <c r="J547"/>
    </row>
    <row r="548" spans="1:10" x14ac:dyDescent="0.25">
      <c r="A548" s="37" t="s">
        <v>211</v>
      </c>
      <c r="B548" s="37" t="s">
        <v>174</v>
      </c>
      <c r="C548" s="37" t="s">
        <v>202</v>
      </c>
      <c r="D548" s="37">
        <v>8713</v>
      </c>
      <c r="F548"/>
      <c r="J548"/>
    </row>
    <row r="549" spans="1:10" x14ac:dyDescent="0.25">
      <c r="A549" s="37" t="s">
        <v>207</v>
      </c>
      <c r="B549" s="37" t="s">
        <v>174</v>
      </c>
      <c r="C549" s="37" t="s">
        <v>203</v>
      </c>
      <c r="D549" s="37">
        <v>2468</v>
      </c>
      <c r="F549"/>
      <c r="J549"/>
    </row>
    <row r="550" spans="1:10" x14ac:dyDescent="0.25">
      <c r="A550" s="37" t="s">
        <v>208</v>
      </c>
      <c r="B550" s="37" t="s">
        <v>174</v>
      </c>
      <c r="C550" s="37" t="s">
        <v>204</v>
      </c>
      <c r="D550" s="37">
        <v>1964</v>
      </c>
      <c r="F550"/>
      <c r="J550"/>
    </row>
    <row r="551" spans="1:10" x14ac:dyDescent="0.25">
      <c r="A551" s="37" t="s">
        <v>209</v>
      </c>
      <c r="B551" s="37" t="s">
        <v>174</v>
      </c>
      <c r="C551" s="37" t="s">
        <v>201</v>
      </c>
      <c r="D551" s="37">
        <v>1530</v>
      </c>
      <c r="F551"/>
      <c r="J551"/>
    </row>
    <row r="552" spans="1:10" x14ac:dyDescent="0.25">
      <c r="A552" s="37" t="s">
        <v>210</v>
      </c>
      <c r="B552" s="37" t="s">
        <v>174</v>
      </c>
      <c r="C552" s="37" t="s">
        <v>202</v>
      </c>
      <c r="D552" s="37">
        <v>2571</v>
      </c>
      <c r="F552"/>
      <c r="J552"/>
    </row>
    <row r="553" spans="1:10" x14ac:dyDescent="0.25">
      <c r="A553" s="37" t="s">
        <v>211</v>
      </c>
      <c r="B553" s="37" t="s">
        <v>174</v>
      </c>
      <c r="C553" s="37" t="s">
        <v>203</v>
      </c>
      <c r="D553" s="37">
        <v>2453</v>
      </c>
      <c r="F553"/>
      <c r="J553"/>
    </row>
    <row r="554" spans="1:10" x14ac:dyDescent="0.25">
      <c r="A554" s="37" t="s">
        <v>212</v>
      </c>
      <c r="B554" s="37" t="s">
        <v>174</v>
      </c>
      <c r="C554" s="37" t="s">
        <v>204</v>
      </c>
      <c r="D554" s="37">
        <v>6044</v>
      </c>
      <c r="F554"/>
      <c r="J554"/>
    </row>
    <row r="555" spans="1:10" x14ac:dyDescent="0.25">
      <c r="A555" s="37" t="s">
        <v>207</v>
      </c>
      <c r="B555" s="37" t="s">
        <v>174</v>
      </c>
      <c r="C555" s="37" t="s">
        <v>201</v>
      </c>
      <c r="D555" s="37">
        <v>4099</v>
      </c>
      <c r="F555"/>
      <c r="J555"/>
    </row>
    <row r="556" spans="1:10" x14ac:dyDescent="0.25">
      <c r="A556" s="37" t="s">
        <v>208</v>
      </c>
      <c r="B556" s="37" t="s">
        <v>174</v>
      </c>
      <c r="C556" s="37" t="s">
        <v>202</v>
      </c>
      <c r="D556" s="37">
        <v>2384</v>
      </c>
      <c r="F556"/>
      <c r="J556"/>
    </row>
    <row r="557" spans="1:10" x14ac:dyDescent="0.25">
      <c r="A557" s="37" t="s">
        <v>209</v>
      </c>
      <c r="B557" s="37" t="s">
        <v>174</v>
      </c>
      <c r="C557" s="37" t="s">
        <v>203</v>
      </c>
      <c r="D557" s="37">
        <v>4977</v>
      </c>
      <c r="F557"/>
      <c r="J557"/>
    </row>
    <row r="558" spans="1:10" x14ac:dyDescent="0.25">
      <c r="A558" s="37" t="s">
        <v>210</v>
      </c>
      <c r="B558" s="37" t="s">
        <v>174</v>
      </c>
      <c r="C558" s="37" t="s">
        <v>204</v>
      </c>
      <c r="D558" s="37">
        <v>2018</v>
      </c>
      <c r="F558"/>
      <c r="J558"/>
    </row>
    <row r="559" spans="1:10" x14ac:dyDescent="0.25">
      <c r="A559" s="37" t="s">
        <v>211</v>
      </c>
      <c r="B559" s="37" t="s">
        <v>174</v>
      </c>
      <c r="C559" s="37" t="s">
        <v>201</v>
      </c>
      <c r="D559" s="37">
        <v>6434</v>
      </c>
      <c r="F559"/>
      <c r="J559"/>
    </row>
    <row r="560" spans="1:10" x14ac:dyDescent="0.25">
      <c r="A560" s="37" t="s">
        <v>207</v>
      </c>
      <c r="B560" s="37" t="s">
        <v>174</v>
      </c>
      <c r="C560" s="37" t="s">
        <v>202</v>
      </c>
      <c r="D560" s="37">
        <v>1307</v>
      </c>
      <c r="F560"/>
      <c r="J560"/>
    </row>
    <row r="561" spans="1:10" x14ac:dyDescent="0.25">
      <c r="A561" s="37" t="s">
        <v>208</v>
      </c>
      <c r="B561" s="37" t="s">
        <v>174</v>
      </c>
      <c r="C561" s="37" t="s">
        <v>203</v>
      </c>
      <c r="D561" s="37">
        <v>9684</v>
      </c>
      <c r="F561"/>
      <c r="J561"/>
    </row>
    <row r="562" spans="1:10" x14ac:dyDescent="0.25">
      <c r="A562" s="37" t="s">
        <v>209</v>
      </c>
      <c r="B562" s="37" t="s">
        <v>174</v>
      </c>
      <c r="C562" s="37" t="s">
        <v>204</v>
      </c>
      <c r="D562" s="37">
        <v>8559</v>
      </c>
      <c r="F562"/>
      <c r="J562"/>
    </row>
    <row r="563" spans="1:10" x14ac:dyDescent="0.25">
      <c r="A563" s="37" t="s">
        <v>210</v>
      </c>
      <c r="B563" s="37" t="s">
        <v>174</v>
      </c>
      <c r="C563" s="37" t="s">
        <v>201</v>
      </c>
      <c r="D563" s="37">
        <v>5551</v>
      </c>
      <c r="F563"/>
      <c r="J563"/>
    </row>
    <row r="564" spans="1:10" x14ac:dyDescent="0.25">
      <c r="A564" s="37" t="s">
        <v>211</v>
      </c>
      <c r="B564" s="37" t="s">
        <v>174</v>
      </c>
      <c r="C564" s="37" t="s">
        <v>202</v>
      </c>
      <c r="D564" s="37">
        <v>9197</v>
      </c>
      <c r="F564"/>
      <c r="J564"/>
    </row>
    <row r="565" spans="1:10" x14ac:dyDescent="0.25">
      <c r="A565" s="37" t="s">
        <v>207</v>
      </c>
      <c r="B565" s="37" t="s">
        <v>174</v>
      </c>
      <c r="C565" s="37" t="s">
        <v>203</v>
      </c>
      <c r="D565" s="37">
        <v>2445</v>
      </c>
      <c r="F565"/>
      <c r="J565"/>
    </row>
    <row r="566" spans="1:10" x14ac:dyDescent="0.25">
      <c r="A566" s="37" t="s">
        <v>208</v>
      </c>
      <c r="B566" s="37" t="s">
        <v>174</v>
      </c>
      <c r="C566" s="37" t="s">
        <v>204</v>
      </c>
      <c r="D566" s="37">
        <v>6243</v>
      </c>
      <c r="F566"/>
      <c r="J566"/>
    </row>
    <row r="567" spans="1:10" x14ac:dyDescent="0.25">
      <c r="A567" s="37" t="s">
        <v>209</v>
      </c>
      <c r="B567" s="37" t="s">
        <v>174</v>
      </c>
      <c r="C567" s="37" t="s">
        <v>201</v>
      </c>
      <c r="D567" s="37">
        <v>8490</v>
      </c>
      <c r="F567"/>
      <c r="J567"/>
    </row>
    <row r="568" spans="1:10" x14ac:dyDescent="0.25">
      <c r="A568" s="37" t="s">
        <v>210</v>
      </c>
      <c r="B568" s="37" t="s">
        <v>174</v>
      </c>
      <c r="C568" s="37" t="s">
        <v>202</v>
      </c>
      <c r="D568" s="37">
        <v>7388</v>
      </c>
      <c r="F568"/>
      <c r="J568"/>
    </row>
    <row r="569" spans="1:10" x14ac:dyDescent="0.25">
      <c r="A569" s="37" t="s">
        <v>211</v>
      </c>
      <c r="B569" s="37" t="s">
        <v>174</v>
      </c>
      <c r="C569" s="37" t="s">
        <v>203</v>
      </c>
      <c r="D569" s="37">
        <v>8954</v>
      </c>
      <c r="F569"/>
      <c r="J569"/>
    </row>
    <row r="570" spans="1:10" x14ac:dyDescent="0.25">
      <c r="A570" s="37" t="s">
        <v>207</v>
      </c>
      <c r="B570" s="37" t="s">
        <v>174</v>
      </c>
      <c r="C570" s="37" t="s">
        <v>204</v>
      </c>
      <c r="D570" s="37">
        <v>5148</v>
      </c>
      <c r="F570"/>
      <c r="J570"/>
    </row>
    <row r="571" spans="1:10" x14ac:dyDescent="0.25">
      <c r="A571" s="37" t="s">
        <v>208</v>
      </c>
      <c r="B571" s="37" t="s">
        <v>174</v>
      </c>
      <c r="C571" s="37" t="s">
        <v>201</v>
      </c>
      <c r="D571" s="37">
        <v>8305</v>
      </c>
      <c r="F571"/>
      <c r="J571"/>
    </row>
    <row r="572" spans="1:10" x14ac:dyDescent="0.25">
      <c r="A572" s="37" t="s">
        <v>209</v>
      </c>
      <c r="B572" s="37" t="s">
        <v>174</v>
      </c>
      <c r="C572" s="37" t="s">
        <v>202</v>
      </c>
      <c r="D572" s="37">
        <v>5512</v>
      </c>
      <c r="F572"/>
      <c r="J572"/>
    </row>
    <row r="573" spans="1:10" x14ac:dyDescent="0.25">
      <c r="A573" s="37" t="s">
        <v>210</v>
      </c>
      <c r="B573" s="37" t="s">
        <v>174</v>
      </c>
      <c r="C573" s="37" t="s">
        <v>203</v>
      </c>
      <c r="D573" s="37">
        <v>3696</v>
      </c>
      <c r="F573"/>
      <c r="J573"/>
    </row>
    <row r="574" spans="1:10" x14ac:dyDescent="0.25">
      <c r="A574" s="37" t="s">
        <v>211</v>
      </c>
      <c r="B574" s="37" t="s">
        <v>174</v>
      </c>
      <c r="C574" s="37" t="s">
        <v>204</v>
      </c>
      <c r="D574" s="37">
        <v>7104</v>
      </c>
      <c r="F574"/>
      <c r="J574"/>
    </row>
    <row r="575" spans="1:10" x14ac:dyDescent="0.25">
      <c r="A575" s="37" t="s">
        <v>207</v>
      </c>
      <c r="B575" s="37" t="s">
        <v>174</v>
      </c>
      <c r="C575" s="37" t="s">
        <v>201</v>
      </c>
      <c r="D575" s="37">
        <v>3971</v>
      </c>
      <c r="F575"/>
      <c r="J575"/>
    </row>
    <row r="576" spans="1:10" x14ac:dyDescent="0.25">
      <c r="A576" s="37" t="s">
        <v>208</v>
      </c>
      <c r="B576" s="37" t="s">
        <v>174</v>
      </c>
      <c r="C576" s="37" t="s">
        <v>202</v>
      </c>
      <c r="D576" s="37">
        <v>9653</v>
      </c>
      <c r="F576"/>
      <c r="J576"/>
    </row>
    <row r="577" spans="1:10" x14ac:dyDescent="0.25">
      <c r="A577" s="37" t="s">
        <v>209</v>
      </c>
      <c r="B577" s="37" t="s">
        <v>174</v>
      </c>
      <c r="C577" s="37" t="s">
        <v>203</v>
      </c>
      <c r="D577" s="37">
        <v>7853</v>
      </c>
      <c r="F577"/>
      <c r="J577"/>
    </row>
    <row r="578" spans="1:10" x14ac:dyDescent="0.25">
      <c r="A578" s="37" t="s">
        <v>210</v>
      </c>
      <c r="B578" s="37" t="s">
        <v>174</v>
      </c>
      <c r="C578" s="37" t="s">
        <v>204</v>
      </c>
      <c r="D578" s="37">
        <v>8767</v>
      </c>
      <c r="F578"/>
      <c r="J578"/>
    </row>
    <row r="579" spans="1:10" x14ac:dyDescent="0.25">
      <c r="A579" s="37" t="s">
        <v>211</v>
      </c>
      <c r="B579" s="37" t="s">
        <v>174</v>
      </c>
      <c r="C579" s="37" t="s">
        <v>201</v>
      </c>
      <c r="D579" s="37">
        <v>9471</v>
      </c>
      <c r="F579"/>
      <c r="J579"/>
    </row>
    <row r="580" spans="1:10" x14ac:dyDescent="0.25">
      <c r="A580" s="37" t="s">
        <v>207</v>
      </c>
      <c r="B580" s="37" t="s">
        <v>174</v>
      </c>
      <c r="C580" s="37" t="s">
        <v>202</v>
      </c>
      <c r="D580" s="37">
        <v>5409</v>
      </c>
      <c r="F580"/>
      <c r="J580"/>
    </row>
    <row r="581" spans="1:10" x14ac:dyDescent="0.25">
      <c r="A581" s="37" t="s">
        <v>208</v>
      </c>
      <c r="B581" s="37" t="s">
        <v>174</v>
      </c>
      <c r="C581" s="37" t="s">
        <v>203</v>
      </c>
      <c r="D581" s="37">
        <v>3793</v>
      </c>
      <c r="F581"/>
      <c r="J581"/>
    </row>
    <row r="582" spans="1:10" x14ac:dyDescent="0.25">
      <c r="A582" s="37" t="s">
        <v>209</v>
      </c>
      <c r="B582" s="37" t="s">
        <v>174</v>
      </c>
      <c r="C582" s="37" t="s">
        <v>204</v>
      </c>
      <c r="D582" s="37">
        <v>8703</v>
      </c>
      <c r="F582"/>
      <c r="J582"/>
    </row>
    <row r="583" spans="1:10" x14ac:dyDescent="0.25">
      <c r="A583" s="37" t="s">
        <v>210</v>
      </c>
      <c r="B583" s="37" t="s">
        <v>174</v>
      </c>
      <c r="C583" s="37" t="s">
        <v>201</v>
      </c>
      <c r="D583" s="37">
        <v>4203</v>
      </c>
      <c r="F583"/>
      <c r="J583"/>
    </row>
    <row r="584" spans="1:10" x14ac:dyDescent="0.25">
      <c r="A584" s="37" t="s">
        <v>211</v>
      </c>
      <c r="B584" s="37" t="s">
        <v>174</v>
      </c>
      <c r="C584" s="37" t="s">
        <v>202</v>
      </c>
      <c r="D584" s="37">
        <v>1916</v>
      </c>
      <c r="F584"/>
      <c r="J584"/>
    </row>
    <row r="585" spans="1:10" x14ac:dyDescent="0.25">
      <c r="A585" s="37" t="s">
        <v>207</v>
      </c>
      <c r="B585" s="37" t="s">
        <v>174</v>
      </c>
      <c r="C585" s="37" t="s">
        <v>203</v>
      </c>
      <c r="D585" s="37">
        <v>9875</v>
      </c>
      <c r="F585"/>
      <c r="J585"/>
    </row>
    <row r="586" spans="1:10" x14ac:dyDescent="0.25">
      <c r="A586" s="37" t="s">
        <v>208</v>
      </c>
      <c r="B586" s="37" t="s">
        <v>174</v>
      </c>
      <c r="C586" s="37" t="s">
        <v>204</v>
      </c>
      <c r="D586" s="37">
        <v>7869</v>
      </c>
      <c r="F586"/>
      <c r="J586"/>
    </row>
    <row r="587" spans="1:10" x14ac:dyDescent="0.25">
      <c r="A587" s="37" t="s">
        <v>209</v>
      </c>
      <c r="B587" s="37" t="s">
        <v>174</v>
      </c>
      <c r="C587" s="37" t="s">
        <v>201</v>
      </c>
      <c r="D587" s="37">
        <v>6929</v>
      </c>
      <c r="F587"/>
      <c r="J587"/>
    </row>
    <row r="588" spans="1:10" x14ac:dyDescent="0.25">
      <c r="A588" s="37" t="s">
        <v>210</v>
      </c>
      <c r="B588" s="37" t="s">
        <v>174</v>
      </c>
      <c r="C588" s="37" t="s">
        <v>202</v>
      </c>
      <c r="D588" s="37">
        <v>8243</v>
      </c>
      <c r="F588"/>
      <c r="J588"/>
    </row>
    <row r="589" spans="1:10" x14ac:dyDescent="0.25">
      <c r="A589" s="37" t="s">
        <v>211</v>
      </c>
      <c r="B589" s="37" t="s">
        <v>174</v>
      </c>
      <c r="C589" s="37" t="s">
        <v>203</v>
      </c>
      <c r="D589" s="37">
        <v>2325</v>
      </c>
      <c r="F589"/>
      <c r="J589"/>
    </row>
    <row r="590" spans="1:10" x14ac:dyDescent="0.25">
      <c r="A590" s="37" t="s">
        <v>207</v>
      </c>
      <c r="B590" s="37" t="s">
        <v>174</v>
      </c>
      <c r="C590" s="37" t="s">
        <v>204</v>
      </c>
      <c r="D590" s="37">
        <v>5467</v>
      </c>
      <c r="F590"/>
      <c r="J590"/>
    </row>
    <row r="591" spans="1:10" x14ac:dyDescent="0.25">
      <c r="A591" s="37" t="s">
        <v>208</v>
      </c>
      <c r="B591" s="37" t="s">
        <v>174</v>
      </c>
      <c r="C591" s="37" t="s">
        <v>201</v>
      </c>
      <c r="D591" s="37">
        <v>3923</v>
      </c>
      <c r="F591"/>
      <c r="J591"/>
    </row>
    <row r="592" spans="1:10" x14ac:dyDescent="0.25">
      <c r="A592" s="37" t="s">
        <v>209</v>
      </c>
      <c r="B592" s="37" t="s">
        <v>174</v>
      </c>
      <c r="C592" s="37" t="s">
        <v>202</v>
      </c>
      <c r="D592" s="37">
        <v>5370</v>
      </c>
      <c r="F592"/>
      <c r="J592"/>
    </row>
    <row r="593" spans="1:10" x14ac:dyDescent="0.25">
      <c r="A593" s="37" t="s">
        <v>210</v>
      </c>
      <c r="B593" s="37" t="s">
        <v>174</v>
      </c>
      <c r="C593" s="37" t="s">
        <v>203</v>
      </c>
      <c r="D593" s="37">
        <v>7346</v>
      </c>
      <c r="F593"/>
      <c r="J593"/>
    </row>
    <row r="594" spans="1:10" x14ac:dyDescent="0.25">
      <c r="A594" s="37" t="s">
        <v>211</v>
      </c>
      <c r="B594" s="37" t="s">
        <v>174</v>
      </c>
      <c r="C594" s="37" t="s">
        <v>204</v>
      </c>
      <c r="D594" s="37">
        <v>5170</v>
      </c>
      <c r="F594"/>
      <c r="J594"/>
    </row>
    <row r="595" spans="1:10" x14ac:dyDescent="0.25">
      <c r="A595" s="37" t="s">
        <v>207</v>
      </c>
      <c r="B595" s="37" t="s">
        <v>174</v>
      </c>
      <c r="C595" s="37" t="s">
        <v>201</v>
      </c>
      <c r="D595" s="37">
        <v>6669</v>
      </c>
      <c r="F595"/>
      <c r="J595"/>
    </row>
    <row r="596" spans="1:10" x14ac:dyDescent="0.25">
      <c r="A596" s="37" t="s">
        <v>208</v>
      </c>
      <c r="B596" s="37" t="s">
        <v>174</v>
      </c>
      <c r="C596" s="37" t="s">
        <v>202</v>
      </c>
      <c r="D596" s="37">
        <v>7694</v>
      </c>
      <c r="F596"/>
      <c r="J596"/>
    </row>
    <row r="597" spans="1:10" x14ac:dyDescent="0.25">
      <c r="A597" s="37" t="s">
        <v>209</v>
      </c>
      <c r="B597" s="37" t="s">
        <v>174</v>
      </c>
      <c r="C597" s="37" t="s">
        <v>203</v>
      </c>
      <c r="D597" s="37">
        <v>8163</v>
      </c>
      <c r="F597"/>
      <c r="J597"/>
    </row>
    <row r="598" spans="1:10" x14ac:dyDescent="0.25">
      <c r="A598" s="37" t="s">
        <v>210</v>
      </c>
      <c r="B598" s="37" t="s">
        <v>174</v>
      </c>
      <c r="C598" s="37" t="s">
        <v>204</v>
      </c>
      <c r="D598" s="37">
        <v>6091</v>
      </c>
      <c r="F598"/>
      <c r="J598"/>
    </row>
    <row r="599" spans="1:10" x14ac:dyDescent="0.25">
      <c r="A599" s="37" t="s">
        <v>211</v>
      </c>
      <c r="B599" s="37" t="s">
        <v>174</v>
      </c>
      <c r="C599" s="37" t="s">
        <v>201</v>
      </c>
      <c r="D599" s="37">
        <v>9654</v>
      </c>
      <c r="F599"/>
      <c r="J599"/>
    </row>
    <row r="600" spans="1:10" x14ac:dyDescent="0.25">
      <c r="A600" s="37" t="s">
        <v>207</v>
      </c>
      <c r="B600" s="37" t="s">
        <v>174</v>
      </c>
      <c r="C600" s="37" t="s">
        <v>202</v>
      </c>
      <c r="D600" s="37">
        <v>9571</v>
      </c>
      <c r="F600"/>
      <c r="J600"/>
    </row>
    <row r="601" spans="1:10" x14ac:dyDescent="0.25">
      <c r="A601" s="37" t="s">
        <v>208</v>
      </c>
      <c r="B601" s="37" t="s">
        <v>174</v>
      </c>
      <c r="C601" s="37" t="s">
        <v>203</v>
      </c>
      <c r="D601" s="37">
        <v>7683</v>
      </c>
      <c r="F601"/>
      <c r="J601"/>
    </row>
    <row r="602" spans="1:10" x14ac:dyDescent="0.25">
      <c r="A602" s="37" t="s">
        <v>209</v>
      </c>
      <c r="B602" s="37" t="s">
        <v>174</v>
      </c>
      <c r="C602" s="37" t="s">
        <v>204</v>
      </c>
      <c r="D602" s="37">
        <v>1895</v>
      </c>
      <c r="F602"/>
      <c r="J602"/>
    </row>
    <row r="603" spans="1:10" x14ac:dyDescent="0.25">
      <c r="A603" s="37" t="s">
        <v>210</v>
      </c>
      <c r="B603" s="37" t="s">
        <v>174</v>
      </c>
      <c r="C603" s="37" t="s">
        <v>201</v>
      </c>
      <c r="D603" s="37">
        <v>4247</v>
      </c>
      <c r="F603"/>
      <c r="J603"/>
    </row>
    <row r="604" spans="1:10" x14ac:dyDescent="0.25">
      <c r="A604" s="37" t="s">
        <v>211</v>
      </c>
      <c r="B604" s="37" t="s">
        <v>174</v>
      </c>
      <c r="C604" s="37" t="s">
        <v>202</v>
      </c>
      <c r="D604" s="37">
        <v>7140</v>
      </c>
      <c r="F604"/>
      <c r="J604"/>
    </row>
    <row r="605" spans="1:10" x14ac:dyDescent="0.25">
      <c r="A605" s="37" t="s">
        <v>207</v>
      </c>
      <c r="B605" s="37" t="s">
        <v>174</v>
      </c>
      <c r="C605" s="37" t="s">
        <v>203</v>
      </c>
      <c r="D605" s="37">
        <v>1288</v>
      </c>
      <c r="F605"/>
      <c r="J605"/>
    </row>
    <row r="606" spans="1:10" x14ac:dyDescent="0.25">
      <c r="A606" s="37" t="s">
        <v>208</v>
      </c>
      <c r="B606" s="37" t="s">
        <v>174</v>
      </c>
      <c r="C606" s="37" t="s">
        <v>204</v>
      </c>
      <c r="D606" s="37">
        <v>5378</v>
      </c>
      <c r="F606"/>
      <c r="J606"/>
    </row>
    <row r="607" spans="1:10" x14ac:dyDescent="0.25">
      <c r="A607" s="37" t="s">
        <v>209</v>
      </c>
      <c r="B607" s="37" t="s">
        <v>174</v>
      </c>
      <c r="C607" s="37" t="s">
        <v>205</v>
      </c>
      <c r="D607" s="37">
        <v>7003</v>
      </c>
      <c r="F607"/>
      <c r="J607"/>
    </row>
    <row r="608" spans="1:10" x14ac:dyDescent="0.25">
      <c r="A608" s="37" t="s">
        <v>210</v>
      </c>
      <c r="B608" s="37" t="s">
        <v>174</v>
      </c>
      <c r="C608" s="37" t="s">
        <v>201</v>
      </c>
      <c r="D608" s="37">
        <v>5522</v>
      </c>
      <c r="F608"/>
      <c r="J608"/>
    </row>
    <row r="609" spans="1:10" x14ac:dyDescent="0.25">
      <c r="A609" s="37" t="s">
        <v>211</v>
      </c>
      <c r="B609" s="37" t="s">
        <v>174</v>
      </c>
      <c r="C609" s="37" t="s">
        <v>202</v>
      </c>
      <c r="D609" s="37">
        <v>2950</v>
      </c>
      <c r="F609"/>
      <c r="J609"/>
    </row>
    <row r="610" spans="1:10" x14ac:dyDescent="0.25">
      <c r="A610" s="37" t="s">
        <v>207</v>
      </c>
      <c r="B610" s="37" t="s">
        <v>174</v>
      </c>
      <c r="C610" s="37" t="s">
        <v>203</v>
      </c>
      <c r="D610" s="37">
        <v>4776</v>
      </c>
      <c r="F610"/>
      <c r="J610"/>
    </row>
    <row r="611" spans="1:10" x14ac:dyDescent="0.25">
      <c r="A611" s="37" t="s">
        <v>208</v>
      </c>
      <c r="B611" s="37" t="s">
        <v>174</v>
      </c>
      <c r="C611" s="37" t="s">
        <v>204</v>
      </c>
      <c r="D611" s="37">
        <v>5628</v>
      </c>
      <c r="F611"/>
      <c r="J611"/>
    </row>
    <row r="612" spans="1:10" x14ac:dyDescent="0.25">
      <c r="A612" s="37" t="s">
        <v>209</v>
      </c>
      <c r="B612" s="37" t="s">
        <v>174</v>
      </c>
      <c r="C612" s="37" t="s">
        <v>201</v>
      </c>
      <c r="D612" s="37">
        <v>4767</v>
      </c>
      <c r="F612"/>
      <c r="J612"/>
    </row>
    <row r="613" spans="1:10" x14ac:dyDescent="0.25">
      <c r="A613" s="37" t="s">
        <v>210</v>
      </c>
      <c r="B613" s="37" t="s">
        <v>174</v>
      </c>
      <c r="C613" s="37" t="s">
        <v>202</v>
      </c>
      <c r="D613" s="37">
        <v>2109</v>
      </c>
      <c r="F613"/>
      <c r="J613"/>
    </row>
    <row r="614" spans="1:10" x14ac:dyDescent="0.25">
      <c r="A614" s="37" t="s">
        <v>211</v>
      </c>
      <c r="B614" s="37" t="s">
        <v>174</v>
      </c>
      <c r="C614" s="37" t="s">
        <v>203</v>
      </c>
      <c r="D614" s="37">
        <v>9588</v>
      </c>
      <c r="F614"/>
      <c r="J614"/>
    </row>
    <row r="615" spans="1:10" x14ac:dyDescent="0.25">
      <c r="A615" s="37" t="s">
        <v>207</v>
      </c>
      <c r="B615" s="37" t="s">
        <v>174</v>
      </c>
      <c r="C615" s="37" t="s">
        <v>204</v>
      </c>
      <c r="D615" s="37">
        <v>5375</v>
      </c>
      <c r="F615"/>
      <c r="J615"/>
    </row>
    <row r="616" spans="1:10" x14ac:dyDescent="0.25">
      <c r="A616" s="37" t="s">
        <v>208</v>
      </c>
      <c r="B616" s="37" t="s">
        <v>174</v>
      </c>
      <c r="C616" s="37" t="s">
        <v>201</v>
      </c>
      <c r="D616" s="37">
        <v>1678</v>
      </c>
      <c r="F616"/>
      <c r="J616"/>
    </row>
    <row r="617" spans="1:10" x14ac:dyDescent="0.25">
      <c r="A617" s="37" t="s">
        <v>209</v>
      </c>
      <c r="B617" s="37" t="s">
        <v>174</v>
      </c>
      <c r="C617" s="37" t="s">
        <v>202</v>
      </c>
      <c r="D617" s="37">
        <v>2411</v>
      </c>
      <c r="F617"/>
      <c r="J617"/>
    </row>
    <row r="618" spans="1:10" x14ac:dyDescent="0.25">
      <c r="A618" s="37" t="s">
        <v>210</v>
      </c>
      <c r="B618" s="37" t="s">
        <v>174</v>
      </c>
      <c r="C618" s="37" t="s">
        <v>203</v>
      </c>
      <c r="D618" s="37">
        <v>6364</v>
      </c>
      <c r="F618"/>
      <c r="J618"/>
    </row>
    <row r="619" spans="1:10" x14ac:dyDescent="0.25">
      <c r="A619" s="37" t="s">
        <v>211</v>
      </c>
      <c r="B619" s="37" t="s">
        <v>174</v>
      </c>
      <c r="C619" s="37" t="s">
        <v>204</v>
      </c>
      <c r="D619" s="37">
        <v>8608</v>
      </c>
      <c r="F619"/>
      <c r="J619"/>
    </row>
    <row r="620" spans="1:10" x14ac:dyDescent="0.25">
      <c r="A620" s="37" t="s">
        <v>207</v>
      </c>
      <c r="B620" s="37" t="s">
        <v>174</v>
      </c>
      <c r="C620" s="37" t="s">
        <v>201</v>
      </c>
      <c r="D620" s="37">
        <v>6567</v>
      </c>
      <c r="F620"/>
      <c r="J620"/>
    </row>
    <row r="621" spans="1:10" x14ac:dyDescent="0.25">
      <c r="A621" s="37" t="s">
        <v>208</v>
      </c>
      <c r="B621" s="37" t="s">
        <v>174</v>
      </c>
      <c r="C621" s="37" t="s">
        <v>202</v>
      </c>
      <c r="D621" s="37">
        <v>7451</v>
      </c>
      <c r="F621"/>
      <c r="J621"/>
    </row>
    <row r="622" spans="1:10" x14ac:dyDescent="0.25">
      <c r="A622" s="37" t="s">
        <v>209</v>
      </c>
      <c r="B622" s="37" t="s">
        <v>174</v>
      </c>
      <c r="C622" s="37" t="s">
        <v>203</v>
      </c>
      <c r="D622" s="37">
        <v>9243</v>
      </c>
      <c r="F622"/>
      <c r="J622"/>
    </row>
    <row r="623" spans="1:10" x14ac:dyDescent="0.25">
      <c r="A623" s="37" t="s">
        <v>210</v>
      </c>
      <c r="B623" s="37" t="s">
        <v>174</v>
      </c>
      <c r="C623" s="37" t="s">
        <v>204</v>
      </c>
      <c r="D623" s="37">
        <v>9019</v>
      </c>
      <c r="F623"/>
      <c r="J623"/>
    </row>
    <row r="624" spans="1:10" x14ac:dyDescent="0.25">
      <c r="A624" s="37" t="s">
        <v>211</v>
      </c>
      <c r="B624" s="37" t="s">
        <v>174</v>
      </c>
      <c r="C624" s="37" t="s">
        <v>201</v>
      </c>
      <c r="D624" s="37">
        <v>4130</v>
      </c>
      <c r="F624"/>
      <c r="J624"/>
    </row>
    <row r="625" spans="1:10" x14ac:dyDescent="0.25">
      <c r="A625" s="37" t="s">
        <v>207</v>
      </c>
      <c r="B625" s="37" t="s">
        <v>174</v>
      </c>
      <c r="C625" s="37" t="s">
        <v>202</v>
      </c>
      <c r="D625" s="37">
        <v>5302</v>
      </c>
      <c r="F625"/>
      <c r="J625"/>
    </row>
    <row r="626" spans="1:10" x14ac:dyDescent="0.25">
      <c r="A626" s="37" t="s">
        <v>208</v>
      </c>
      <c r="B626" s="37" t="s">
        <v>174</v>
      </c>
      <c r="C626" s="37" t="s">
        <v>203</v>
      </c>
      <c r="D626" s="37">
        <v>3247</v>
      </c>
      <c r="F626"/>
      <c r="J626"/>
    </row>
    <row r="627" spans="1:10" x14ac:dyDescent="0.25">
      <c r="A627" s="37" t="s">
        <v>209</v>
      </c>
      <c r="B627" s="37" t="s">
        <v>174</v>
      </c>
      <c r="C627" s="37" t="s">
        <v>204</v>
      </c>
      <c r="D627" s="37">
        <v>6504</v>
      </c>
      <c r="F627"/>
      <c r="J627"/>
    </row>
    <row r="628" spans="1:10" x14ac:dyDescent="0.25">
      <c r="A628" s="37" t="s">
        <v>210</v>
      </c>
      <c r="B628" s="37" t="s">
        <v>174</v>
      </c>
      <c r="C628" s="37" t="s">
        <v>201</v>
      </c>
      <c r="D628" s="37">
        <v>3213</v>
      </c>
      <c r="F628"/>
      <c r="J628"/>
    </row>
    <row r="629" spans="1:10" x14ac:dyDescent="0.25">
      <c r="A629" s="37" t="s">
        <v>211</v>
      </c>
      <c r="B629" s="37" t="s">
        <v>174</v>
      </c>
      <c r="C629" s="37" t="s">
        <v>202</v>
      </c>
      <c r="D629" s="37">
        <v>6373</v>
      </c>
      <c r="F629"/>
      <c r="J629"/>
    </row>
    <row r="630" spans="1:10" x14ac:dyDescent="0.25">
      <c r="A630" s="37" t="s">
        <v>207</v>
      </c>
      <c r="B630" s="37" t="s">
        <v>174</v>
      </c>
      <c r="C630" s="37" t="s">
        <v>203</v>
      </c>
      <c r="D630" s="37">
        <v>4492</v>
      </c>
      <c r="F630"/>
      <c r="J630"/>
    </row>
    <row r="631" spans="1:10" x14ac:dyDescent="0.25">
      <c r="A631" s="37" t="s">
        <v>208</v>
      </c>
      <c r="B631" s="37" t="s">
        <v>174</v>
      </c>
      <c r="C631" s="37" t="s">
        <v>204</v>
      </c>
      <c r="D631" s="37">
        <v>2691</v>
      </c>
      <c r="F631"/>
      <c r="J631"/>
    </row>
    <row r="632" spans="1:10" x14ac:dyDescent="0.25">
      <c r="A632" s="37" t="s">
        <v>209</v>
      </c>
      <c r="B632" s="37" t="s">
        <v>174</v>
      </c>
      <c r="C632" s="37" t="s">
        <v>201</v>
      </c>
      <c r="D632" s="37">
        <v>1209</v>
      </c>
      <c r="F632"/>
      <c r="J632"/>
    </row>
    <row r="633" spans="1:10" x14ac:dyDescent="0.25">
      <c r="A633" s="37" t="s">
        <v>210</v>
      </c>
      <c r="B633" s="37" t="s">
        <v>174</v>
      </c>
      <c r="C633" s="37" t="s">
        <v>202</v>
      </c>
      <c r="D633" s="37">
        <v>5702</v>
      </c>
      <c r="F633"/>
      <c r="J633"/>
    </row>
    <row r="634" spans="1:10" x14ac:dyDescent="0.25">
      <c r="A634" s="37" t="s">
        <v>211</v>
      </c>
      <c r="B634" s="37" t="s">
        <v>174</v>
      </c>
      <c r="C634" s="37" t="s">
        <v>203</v>
      </c>
      <c r="D634" s="37">
        <v>4182</v>
      </c>
      <c r="F634"/>
      <c r="J634"/>
    </row>
    <row r="635" spans="1:10" x14ac:dyDescent="0.25">
      <c r="A635" s="37" t="s">
        <v>207</v>
      </c>
      <c r="B635" s="37" t="s">
        <v>174</v>
      </c>
      <c r="C635" s="37" t="s">
        <v>204</v>
      </c>
      <c r="D635" s="37">
        <v>9504</v>
      </c>
      <c r="F635"/>
      <c r="J635"/>
    </row>
    <row r="636" spans="1:10" x14ac:dyDescent="0.25">
      <c r="A636" s="37" t="s">
        <v>208</v>
      </c>
      <c r="B636" s="37" t="s">
        <v>174</v>
      </c>
      <c r="C636" s="37" t="s">
        <v>201</v>
      </c>
      <c r="D636" s="37">
        <v>6236</v>
      </c>
      <c r="F636"/>
      <c r="J636"/>
    </row>
    <row r="637" spans="1:10" x14ac:dyDescent="0.25">
      <c r="A637" s="37" t="s">
        <v>209</v>
      </c>
      <c r="B637" s="37" t="s">
        <v>174</v>
      </c>
      <c r="C637" s="37" t="s">
        <v>202</v>
      </c>
      <c r="D637" s="37">
        <v>8515</v>
      </c>
      <c r="F637"/>
      <c r="J637"/>
    </row>
    <row r="638" spans="1:10" x14ac:dyDescent="0.25">
      <c r="A638" s="37" t="s">
        <v>210</v>
      </c>
      <c r="B638" s="37" t="s">
        <v>174</v>
      </c>
      <c r="C638" s="37" t="s">
        <v>203</v>
      </c>
      <c r="D638" s="37">
        <v>6787</v>
      </c>
      <c r="F638"/>
      <c r="J638"/>
    </row>
    <row r="639" spans="1:10" x14ac:dyDescent="0.25">
      <c r="A639" s="37" t="s">
        <v>211</v>
      </c>
      <c r="B639" s="37" t="s">
        <v>174</v>
      </c>
      <c r="C639" s="37" t="s">
        <v>204</v>
      </c>
      <c r="D639" s="37">
        <v>3677</v>
      </c>
      <c r="F639"/>
      <c r="J639"/>
    </row>
    <row r="640" spans="1:10" x14ac:dyDescent="0.25">
      <c r="A640" s="37" t="s">
        <v>207</v>
      </c>
      <c r="B640" s="37" t="s">
        <v>174</v>
      </c>
      <c r="C640" s="37" t="s">
        <v>201</v>
      </c>
      <c r="D640" s="37">
        <v>8594</v>
      </c>
      <c r="F640"/>
      <c r="J640"/>
    </row>
    <row r="641" spans="1:10" x14ac:dyDescent="0.25">
      <c r="A641" s="37" t="s">
        <v>208</v>
      </c>
      <c r="B641" s="37" t="s">
        <v>174</v>
      </c>
      <c r="C641" s="37" t="s">
        <v>202</v>
      </c>
      <c r="D641" s="37">
        <v>2959</v>
      </c>
      <c r="F641"/>
      <c r="J641"/>
    </row>
    <row r="642" spans="1:10" x14ac:dyDescent="0.25">
      <c r="A642" s="37" t="s">
        <v>209</v>
      </c>
      <c r="B642" s="37" t="s">
        <v>174</v>
      </c>
      <c r="C642" s="37" t="s">
        <v>203</v>
      </c>
      <c r="D642" s="37">
        <v>2325</v>
      </c>
      <c r="F642"/>
      <c r="J642"/>
    </row>
    <row r="643" spans="1:10" x14ac:dyDescent="0.25">
      <c r="A643" s="37" t="s">
        <v>210</v>
      </c>
      <c r="B643" s="37" t="s">
        <v>174</v>
      </c>
      <c r="C643" s="37" t="s">
        <v>204</v>
      </c>
      <c r="D643" s="37">
        <v>1789</v>
      </c>
      <c r="F643"/>
      <c r="J643"/>
    </row>
    <row r="644" spans="1:10" x14ac:dyDescent="0.25">
      <c r="A644" s="37" t="s">
        <v>211</v>
      </c>
      <c r="B644" s="37" t="s">
        <v>174</v>
      </c>
      <c r="C644" s="37" t="s">
        <v>201</v>
      </c>
      <c r="D644" s="37">
        <v>4681</v>
      </c>
      <c r="F644"/>
      <c r="J644"/>
    </row>
    <row r="645" spans="1:10" x14ac:dyDescent="0.25">
      <c r="A645" s="37" t="s">
        <v>212</v>
      </c>
      <c r="B645" s="37" t="s">
        <v>174</v>
      </c>
      <c r="C645" s="37" t="s">
        <v>202</v>
      </c>
      <c r="D645" s="37">
        <v>7317</v>
      </c>
      <c r="F645"/>
      <c r="J645"/>
    </row>
    <row r="646" spans="1:10" x14ac:dyDescent="0.25">
      <c r="A646" s="37" t="s">
        <v>207</v>
      </c>
      <c r="B646" s="37" t="s">
        <v>174</v>
      </c>
      <c r="C646" s="37" t="s">
        <v>203</v>
      </c>
      <c r="D646" s="37">
        <v>4961</v>
      </c>
      <c r="F646"/>
      <c r="J646"/>
    </row>
    <row r="647" spans="1:10" x14ac:dyDescent="0.25">
      <c r="A647" s="37" t="s">
        <v>208</v>
      </c>
      <c r="B647" s="37" t="s">
        <v>174</v>
      </c>
      <c r="C647" s="37" t="s">
        <v>204</v>
      </c>
      <c r="D647" s="37">
        <v>3416</v>
      </c>
      <c r="F647"/>
      <c r="J647"/>
    </row>
    <row r="648" spans="1:10" x14ac:dyDescent="0.25">
      <c r="A648" s="37" t="s">
        <v>209</v>
      </c>
      <c r="B648" s="37" t="s">
        <v>174</v>
      </c>
      <c r="C648" s="37" t="s">
        <v>201</v>
      </c>
      <c r="D648" s="37">
        <v>2423</v>
      </c>
      <c r="F648"/>
      <c r="J648"/>
    </row>
    <row r="649" spans="1:10" x14ac:dyDescent="0.25">
      <c r="A649" s="37" t="s">
        <v>210</v>
      </c>
      <c r="B649" s="37" t="s">
        <v>174</v>
      </c>
      <c r="C649" s="37" t="s">
        <v>202</v>
      </c>
      <c r="D649" s="37">
        <v>2488</v>
      </c>
      <c r="F649"/>
      <c r="J649"/>
    </row>
    <row r="650" spans="1:10" x14ac:dyDescent="0.25">
      <c r="A650" s="37" t="s">
        <v>211</v>
      </c>
      <c r="B650" s="37" t="s">
        <v>174</v>
      </c>
      <c r="C650" s="37" t="s">
        <v>203</v>
      </c>
      <c r="D650" s="37">
        <v>1622</v>
      </c>
      <c r="F650"/>
      <c r="J650"/>
    </row>
    <row r="651" spans="1:10" x14ac:dyDescent="0.25">
      <c r="A651" s="37" t="s">
        <v>207</v>
      </c>
      <c r="B651" s="37" t="s">
        <v>174</v>
      </c>
      <c r="C651" s="37" t="s">
        <v>204</v>
      </c>
      <c r="D651" s="37">
        <v>9692</v>
      </c>
      <c r="F651"/>
      <c r="J651"/>
    </row>
    <row r="652" spans="1:10" x14ac:dyDescent="0.25">
      <c r="A652" s="37" t="s">
        <v>208</v>
      </c>
      <c r="B652" s="37" t="s">
        <v>174</v>
      </c>
      <c r="C652" s="37" t="s">
        <v>201</v>
      </c>
      <c r="D652" s="37">
        <v>1605</v>
      </c>
      <c r="F652"/>
      <c r="J652"/>
    </row>
    <row r="653" spans="1:10" x14ac:dyDescent="0.25">
      <c r="A653" s="37" t="s">
        <v>209</v>
      </c>
      <c r="B653" s="37" t="s">
        <v>174</v>
      </c>
      <c r="C653" s="37" t="s">
        <v>202</v>
      </c>
      <c r="D653" s="37">
        <v>1752</v>
      </c>
      <c r="F653"/>
      <c r="J653"/>
    </row>
    <row r="654" spans="1:10" x14ac:dyDescent="0.25">
      <c r="A654" s="37" t="s">
        <v>210</v>
      </c>
      <c r="B654" s="37" t="s">
        <v>174</v>
      </c>
      <c r="C654" s="37" t="s">
        <v>203</v>
      </c>
      <c r="D654" s="37">
        <v>9510</v>
      </c>
      <c r="F654"/>
      <c r="J654"/>
    </row>
    <row r="655" spans="1:10" x14ac:dyDescent="0.25">
      <c r="A655" s="37" t="s">
        <v>211</v>
      </c>
      <c r="B655" s="37" t="s">
        <v>174</v>
      </c>
      <c r="C655" s="37" t="s">
        <v>204</v>
      </c>
      <c r="D655" s="37">
        <v>8284</v>
      </c>
      <c r="F655"/>
      <c r="J655"/>
    </row>
    <row r="656" spans="1:10" x14ac:dyDescent="0.25">
      <c r="A656" s="37" t="s">
        <v>207</v>
      </c>
      <c r="B656" s="37" t="s">
        <v>174</v>
      </c>
      <c r="C656" s="37" t="s">
        <v>201</v>
      </c>
      <c r="D656" s="37">
        <v>3548</v>
      </c>
      <c r="F656"/>
      <c r="J656"/>
    </row>
    <row r="657" spans="1:10" x14ac:dyDescent="0.25">
      <c r="A657" s="37" t="s">
        <v>208</v>
      </c>
      <c r="B657" s="37" t="s">
        <v>174</v>
      </c>
      <c r="C657" s="37" t="s">
        <v>202</v>
      </c>
      <c r="D657" s="37">
        <v>1708</v>
      </c>
      <c r="F657"/>
      <c r="J657"/>
    </row>
    <row r="658" spans="1:10" x14ac:dyDescent="0.25">
      <c r="A658" s="37" t="s">
        <v>209</v>
      </c>
      <c r="B658" s="37" t="s">
        <v>174</v>
      </c>
      <c r="C658" s="37" t="s">
        <v>203</v>
      </c>
      <c r="D658" s="37">
        <v>3120</v>
      </c>
      <c r="F658"/>
      <c r="J658"/>
    </row>
    <row r="659" spans="1:10" x14ac:dyDescent="0.25">
      <c r="A659" s="37" t="s">
        <v>210</v>
      </c>
      <c r="B659" s="37" t="s">
        <v>174</v>
      </c>
      <c r="C659" s="37" t="s">
        <v>204</v>
      </c>
      <c r="D659" s="37">
        <v>3145</v>
      </c>
      <c r="F659"/>
      <c r="J659"/>
    </row>
    <row r="660" spans="1:10" x14ac:dyDescent="0.25">
      <c r="A660" s="37" t="s">
        <v>211</v>
      </c>
      <c r="B660" s="37" t="s">
        <v>174</v>
      </c>
      <c r="C660" s="37" t="s">
        <v>201</v>
      </c>
      <c r="D660" s="37">
        <v>9731</v>
      </c>
      <c r="F660"/>
      <c r="J660"/>
    </row>
    <row r="661" spans="1:10" x14ac:dyDescent="0.25">
      <c r="A661" s="37" t="s">
        <v>207</v>
      </c>
      <c r="B661" s="37" t="s">
        <v>174</v>
      </c>
      <c r="C661" s="37" t="s">
        <v>202</v>
      </c>
      <c r="D661" s="37">
        <v>7590</v>
      </c>
      <c r="F661"/>
      <c r="J661"/>
    </row>
    <row r="662" spans="1:10" x14ac:dyDescent="0.25">
      <c r="A662" s="37" t="s">
        <v>208</v>
      </c>
      <c r="B662" s="37" t="s">
        <v>174</v>
      </c>
      <c r="C662" s="37" t="s">
        <v>203</v>
      </c>
      <c r="D662" s="37">
        <v>1111</v>
      </c>
      <c r="F662"/>
      <c r="J662"/>
    </row>
    <row r="663" spans="1:10" x14ac:dyDescent="0.25">
      <c r="A663" s="37" t="s">
        <v>209</v>
      </c>
      <c r="B663" s="37" t="s">
        <v>174</v>
      </c>
      <c r="C663" s="37" t="s">
        <v>204</v>
      </c>
      <c r="D663" s="37">
        <v>2991</v>
      </c>
      <c r="F663"/>
      <c r="J663"/>
    </row>
    <row r="664" spans="1:10" x14ac:dyDescent="0.25">
      <c r="A664" s="37" t="s">
        <v>210</v>
      </c>
      <c r="B664" s="37" t="s">
        <v>174</v>
      </c>
      <c r="C664" s="37" t="s">
        <v>201</v>
      </c>
      <c r="D664" s="37">
        <v>2427</v>
      </c>
      <c r="F664"/>
      <c r="J664"/>
    </row>
    <row r="665" spans="1:10" x14ac:dyDescent="0.25">
      <c r="A665" s="37" t="s">
        <v>211</v>
      </c>
      <c r="B665" s="37" t="s">
        <v>174</v>
      </c>
      <c r="C665" s="37" t="s">
        <v>202</v>
      </c>
      <c r="D665" s="37">
        <v>1219</v>
      </c>
      <c r="F665"/>
      <c r="J665"/>
    </row>
    <row r="666" spans="1:10" x14ac:dyDescent="0.25">
      <c r="A666" s="37" t="s">
        <v>207</v>
      </c>
      <c r="B666" s="37" t="s">
        <v>174</v>
      </c>
      <c r="C666" s="37" t="s">
        <v>203</v>
      </c>
      <c r="D666" s="37">
        <v>4174</v>
      </c>
      <c r="F666"/>
      <c r="J666"/>
    </row>
    <row r="667" spans="1:10" x14ac:dyDescent="0.25">
      <c r="A667" s="37" t="s">
        <v>208</v>
      </c>
      <c r="B667" s="37" t="s">
        <v>174</v>
      </c>
      <c r="C667" s="37" t="s">
        <v>204</v>
      </c>
      <c r="D667" s="37">
        <v>7523</v>
      </c>
      <c r="F667"/>
      <c r="J667"/>
    </row>
    <row r="668" spans="1:10" x14ac:dyDescent="0.25">
      <c r="A668" s="37" t="s">
        <v>209</v>
      </c>
      <c r="B668" s="37" t="s">
        <v>174</v>
      </c>
      <c r="C668" s="37" t="s">
        <v>205</v>
      </c>
      <c r="D668" s="37">
        <v>7013</v>
      </c>
      <c r="F668"/>
      <c r="J668"/>
    </row>
    <row r="669" spans="1:10" x14ac:dyDescent="0.25">
      <c r="A669" s="37" t="s">
        <v>210</v>
      </c>
      <c r="B669" s="37" t="s">
        <v>174</v>
      </c>
      <c r="C669" s="37" t="s">
        <v>201</v>
      </c>
      <c r="D669" s="37">
        <v>2575</v>
      </c>
      <c r="F669"/>
      <c r="J669"/>
    </row>
    <row r="670" spans="1:10" x14ac:dyDescent="0.25">
      <c r="A670" s="37" t="s">
        <v>211</v>
      </c>
      <c r="B670" s="37" t="s">
        <v>174</v>
      </c>
      <c r="C670" s="37" t="s">
        <v>202</v>
      </c>
      <c r="D670" s="37">
        <v>6859</v>
      </c>
      <c r="F670"/>
      <c r="J670"/>
    </row>
    <row r="671" spans="1:10" x14ac:dyDescent="0.25">
      <c r="A671" s="37" t="s">
        <v>207</v>
      </c>
      <c r="B671" s="37" t="s">
        <v>174</v>
      </c>
      <c r="C671" s="37" t="s">
        <v>203</v>
      </c>
      <c r="D671" s="37">
        <v>7826</v>
      </c>
      <c r="F671"/>
      <c r="J671"/>
    </row>
    <row r="672" spans="1:10" x14ac:dyDescent="0.25">
      <c r="A672" s="37" t="s">
        <v>208</v>
      </c>
      <c r="B672" s="37" t="s">
        <v>174</v>
      </c>
      <c r="C672" s="37" t="s">
        <v>204</v>
      </c>
      <c r="D672" s="37">
        <v>9723</v>
      </c>
      <c r="F672"/>
      <c r="J672"/>
    </row>
    <row r="673" spans="1:10" x14ac:dyDescent="0.25">
      <c r="A673" s="37" t="s">
        <v>209</v>
      </c>
      <c r="B673" s="37" t="s">
        <v>174</v>
      </c>
      <c r="C673" s="37" t="s">
        <v>201</v>
      </c>
      <c r="D673" s="37">
        <v>8981</v>
      </c>
      <c r="F673"/>
      <c r="J673"/>
    </row>
    <row r="674" spans="1:10" x14ac:dyDescent="0.25">
      <c r="A674" s="37" t="s">
        <v>210</v>
      </c>
      <c r="B674" s="37" t="s">
        <v>174</v>
      </c>
      <c r="C674" s="37" t="s">
        <v>202</v>
      </c>
      <c r="D674" s="37">
        <v>4276</v>
      </c>
      <c r="F674"/>
      <c r="J674"/>
    </row>
    <row r="675" spans="1:10" x14ac:dyDescent="0.25">
      <c r="A675" s="37" t="s">
        <v>211</v>
      </c>
      <c r="B675" s="37" t="s">
        <v>174</v>
      </c>
      <c r="C675" s="37" t="s">
        <v>203</v>
      </c>
      <c r="D675" s="37">
        <v>8253</v>
      </c>
      <c r="F675"/>
      <c r="J675"/>
    </row>
    <row r="676" spans="1:10" x14ac:dyDescent="0.25">
      <c r="A676" s="37" t="s">
        <v>207</v>
      </c>
      <c r="B676" s="37" t="s">
        <v>174</v>
      </c>
      <c r="C676" s="37" t="s">
        <v>204</v>
      </c>
      <c r="D676" s="37">
        <v>6771</v>
      </c>
      <c r="F676"/>
      <c r="J676"/>
    </row>
    <row r="677" spans="1:10" x14ac:dyDescent="0.25">
      <c r="A677" s="37" t="s">
        <v>208</v>
      </c>
      <c r="B677" s="37" t="s">
        <v>174</v>
      </c>
      <c r="C677" s="37" t="s">
        <v>201</v>
      </c>
      <c r="D677" s="37">
        <v>1285</v>
      </c>
      <c r="F677"/>
      <c r="J677"/>
    </row>
    <row r="678" spans="1:10" x14ac:dyDescent="0.25">
      <c r="A678" s="37" t="s">
        <v>209</v>
      </c>
      <c r="B678" s="37" t="s">
        <v>174</v>
      </c>
      <c r="C678" s="37" t="s">
        <v>202</v>
      </c>
      <c r="D678" s="37">
        <v>7689</v>
      </c>
      <c r="F678"/>
      <c r="J678"/>
    </row>
    <row r="679" spans="1:10" x14ac:dyDescent="0.25">
      <c r="A679" s="37" t="s">
        <v>210</v>
      </c>
      <c r="B679" s="37" t="s">
        <v>174</v>
      </c>
      <c r="C679" s="37" t="s">
        <v>203</v>
      </c>
      <c r="D679" s="37">
        <v>5989</v>
      </c>
      <c r="F679"/>
      <c r="J679"/>
    </row>
    <row r="680" spans="1:10" x14ac:dyDescent="0.25">
      <c r="A680" s="37" t="s">
        <v>211</v>
      </c>
      <c r="B680" s="37" t="s">
        <v>174</v>
      </c>
      <c r="C680" s="37" t="s">
        <v>204</v>
      </c>
      <c r="D680" s="37">
        <v>3724</v>
      </c>
      <c r="F680"/>
      <c r="J680"/>
    </row>
    <row r="681" spans="1:10" x14ac:dyDescent="0.25">
      <c r="A681" s="37" t="s">
        <v>207</v>
      </c>
      <c r="B681" s="37" t="s">
        <v>174</v>
      </c>
      <c r="C681" s="37" t="s">
        <v>201</v>
      </c>
      <c r="D681" s="37">
        <v>6021</v>
      </c>
      <c r="F681"/>
      <c r="J681"/>
    </row>
    <row r="682" spans="1:10" x14ac:dyDescent="0.25">
      <c r="A682" s="37" t="s">
        <v>208</v>
      </c>
      <c r="B682" s="37" t="s">
        <v>174</v>
      </c>
      <c r="C682" s="37" t="s">
        <v>202</v>
      </c>
      <c r="D682" s="37">
        <v>3754</v>
      </c>
      <c r="F682"/>
      <c r="J682"/>
    </row>
    <row r="683" spans="1:10" x14ac:dyDescent="0.25">
      <c r="A683" s="37" t="s">
        <v>209</v>
      </c>
      <c r="B683" s="37" t="s">
        <v>174</v>
      </c>
      <c r="C683" s="37" t="s">
        <v>203</v>
      </c>
      <c r="D683" s="37">
        <v>6214</v>
      </c>
      <c r="F683"/>
      <c r="J683"/>
    </row>
    <row r="684" spans="1:10" x14ac:dyDescent="0.25">
      <c r="A684" s="37" t="s">
        <v>210</v>
      </c>
      <c r="B684" s="37" t="s">
        <v>174</v>
      </c>
      <c r="C684" s="37" t="s">
        <v>204</v>
      </c>
      <c r="D684" s="37">
        <v>9824</v>
      </c>
      <c r="F684"/>
      <c r="J684"/>
    </row>
    <row r="685" spans="1:10" x14ac:dyDescent="0.25">
      <c r="A685" s="37" t="s">
        <v>211</v>
      </c>
      <c r="B685" s="37" t="s">
        <v>174</v>
      </c>
      <c r="C685" s="37" t="s">
        <v>201</v>
      </c>
      <c r="D685" s="37">
        <v>5525</v>
      </c>
      <c r="F685"/>
      <c r="J685"/>
    </row>
    <row r="686" spans="1:10" x14ac:dyDescent="0.25">
      <c r="A686" s="37" t="s">
        <v>207</v>
      </c>
      <c r="B686" s="37" t="s">
        <v>174</v>
      </c>
      <c r="C686" s="37" t="s">
        <v>202</v>
      </c>
      <c r="D686" s="37">
        <v>8518</v>
      </c>
      <c r="F686"/>
      <c r="J686"/>
    </row>
    <row r="687" spans="1:10" x14ac:dyDescent="0.25">
      <c r="A687" s="37" t="s">
        <v>208</v>
      </c>
      <c r="B687" s="37" t="s">
        <v>174</v>
      </c>
      <c r="C687" s="37" t="s">
        <v>203</v>
      </c>
      <c r="D687" s="37">
        <v>6443</v>
      </c>
      <c r="F687"/>
      <c r="J687"/>
    </row>
    <row r="688" spans="1:10" x14ac:dyDescent="0.25">
      <c r="A688" s="37" t="s">
        <v>209</v>
      </c>
      <c r="B688" s="37" t="s">
        <v>174</v>
      </c>
      <c r="C688" s="37" t="s">
        <v>204</v>
      </c>
      <c r="D688" s="37">
        <v>9784</v>
      </c>
      <c r="F688"/>
      <c r="J688"/>
    </row>
    <row r="689" spans="1:10" x14ac:dyDescent="0.25">
      <c r="A689" s="37" t="s">
        <v>210</v>
      </c>
      <c r="B689" s="37" t="s">
        <v>174</v>
      </c>
      <c r="C689" s="37" t="s">
        <v>201</v>
      </c>
      <c r="D689" s="37">
        <v>4805</v>
      </c>
      <c r="F689"/>
      <c r="J689"/>
    </row>
    <row r="690" spans="1:10" x14ac:dyDescent="0.25">
      <c r="A690" s="37" t="s">
        <v>211</v>
      </c>
      <c r="B690" s="37" t="s">
        <v>174</v>
      </c>
      <c r="C690" s="37" t="s">
        <v>202</v>
      </c>
      <c r="D690" s="37">
        <v>6675</v>
      </c>
      <c r="F690"/>
      <c r="J690"/>
    </row>
    <row r="691" spans="1:10" x14ac:dyDescent="0.25">
      <c r="A691" s="37" t="s">
        <v>207</v>
      </c>
      <c r="B691" s="37" t="s">
        <v>174</v>
      </c>
      <c r="C691" s="37" t="s">
        <v>203</v>
      </c>
      <c r="D691" s="37">
        <v>2920</v>
      </c>
      <c r="F691"/>
      <c r="J691"/>
    </row>
    <row r="692" spans="1:10" x14ac:dyDescent="0.25">
      <c r="A692" s="37" t="s">
        <v>208</v>
      </c>
      <c r="B692" s="37" t="s">
        <v>174</v>
      </c>
      <c r="C692" s="37" t="s">
        <v>204</v>
      </c>
      <c r="D692" s="37">
        <v>7220</v>
      </c>
      <c r="F692"/>
      <c r="J692"/>
    </row>
    <row r="693" spans="1:10" x14ac:dyDescent="0.25">
      <c r="A693" s="37" t="s">
        <v>209</v>
      </c>
      <c r="B693" s="37" t="s">
        <v>174</v>
      </c>
      <c r="C693" s="37" t="s">
        <v>201</v>
      </c>
      <c r="D693" s="37">
        <v>5367</v>
      </c>
      <c r="F693"/>
      <c r="J693"/>
    </row>
    <row r="694" spans="1:10" x14ac:dyDescent="0.25">
      <c r="A694" s="37" t="s">
        <v>210</v>
      </c>
      <c r="B694" s="37" t="s">
        <v>174</v>
      </c>
      <c r="C694" s="37" t="s">
        <v>202</v>
      </c>
      <c r="D694" s="37">
        <v>4676</v>
      </c>
      <c r="F694"/>
      <c r="J694"/>
    </row>
    <row r="695" spans="1:10" x14ac:dyDescent="0.25">
      <c r="A695" s="37" t="s">
        <v>211</v>
      </c>
      <c r="B695" s="37" t="s">
        <v>174</v>
      </c>
      <c r="C695" s="37" t="s">
        <v>203</v>
      </c>
      <c r="D695" s="37">
        <v>2850</v>
      </c>
      <c r="F695"/>
      <c r="J695"/>
    </row>
    <row r="696" spans="1:10" x14ac:dyDescent="0.25">
      <c r="A696" s="37" t="s">
        <v>207</v>
      </c>
      <c r="B696" s="37" t="s">
        <v>174</v>
      </c>
      <c r="C696" s="37" t="s">
        <v>204</v>
      </c>
      <c r="D696" s="37">
        <v>7492</v>
      </c>
      <c r="F696"/>
      <c r="J696"/>
    </row>
    <row r="697" spans="1:10" x14ac:dyDescent="0.25">
      <c r="A697" s="37" t="s">
        <v>208</v>
      </c>
      <c r="B697" s="37" t="s">
        <v>174</v>
      </c>
      <c r="C697" s="37" t="s">
        <v>201</v>
      </c>
      <c r="D697" s="37">
        <v>1207</v>
      </c>
      <c r="F697"/>
      <c r="J697"/>
    </row>
    <row r="698" spans="1:10" x14ac:dyDescent="0.25">
      <c r="A698" s="37" t="s">
        <v>209</v>
      </c>
      <c r="B698" s="37" t="s">
        <v>174</v>
      </c>
      <c r="C698" s="37" t="s">
        <v>202</v>
      </c>
      <c r="D698" s="37">
        <v>2175</v>
      </c>
      <c r="F698"/>
      <c r="J698"/>
    </row>
    <row r="699" spans="1:10" x14ac:dyDescent="0.25">
      <c r="A699" s="37" t="s">
        <v>210</v>
      </c>
      <c r="B699" s="37" t="s">
        <v>174</v>
      </c>
      <c r="C699" s="37" t="s">
        <v>203</v>
      </c>
      <c r="D699" s="37">
        <v>7926</v>
      </c>
      <c r="F699"/>
      <c r="J699"/>
    </row>
    <row r="700" spans="1:10" x14ac:dyDescent="0.25">
      <c r="A700" s="37" t="s">
        <v>211</v>
      </c>
      <c r="B700" s="37" t="s">
        <v>174</v>
      </c>
      <c r="C700" s="37" t="s">
        <v>204</v>
      </c>
      <c r="D700" s="37">
        <v>3364</v>
      </c>
      <c r="F700"/>
      <c r="J700"/>
    </row>
    <row r="701" spans="1:10" x14ac:dyDescent="0.25">
      <c r="A701" s="37" t="s">
        <v>207</v>
      </c>
      <c r="B701" s="37" t="s">
        <v>174</v>
      </c>
      <c r="C701" s="37" t="s">
        <v>201</v>
      </c>
      <c r="D701" s="37">
        <v>3139</v>
      </c>
      <c r="F701"/>
      <c r="J701"/>
    </row>
    <row r="702" spans="1:10" x14ac:dyDescent="0.25">
      <c r="A702" s="37" t="s">
        <v>208</v>
      </c>
      <c r="B702" s="37" t="s">
        <v>174</v>
      </c>
      <c r="C702" s="37" t="s">
        <v>202</v>
      </c>
      <c r="D702" s="37">
        <v>5386</v>
      </c>
      <c r="F702"/>
      <c r="J702"/>
    </row>
    <row r="703" spans="1:10" x14ac:dyDescent="0.25">
      <c r="A703" s="37" t="s">
        <v>209</v>
      </c>
      <c r="B703" s="37" t="s">
        <v>174</v>
      </c>
      <c r="C703" s="37" t="s">
        <v>203</v>
      </c>
      <c r="D703" s="37">
        <v>5296</v>
      </c>
      <c r="F703"/>
      <c r="J703"/>
    </row>
    <row r="704" spans="1:10" x14ac:dyDescent="0.25">
      <c r="A704" s="37" t="s">
        <v>210</v>
      </c>
      <c r="B704" s="37" t="s">
        <v>174</v>
      </c>
      <c r="C704" s="37" t="s">
        <v>204</v>
      </c>
      <c r="D704" s="37">
        <v>7742</v>
      </c>
      <c r="F704"/>
      <c r="J704"/>
    </row>
    <row r="705" spans="1:10" x14ac:dyDescent="0.25">
      <c r="A705" s="37" t="s">
        <v>211</v>
      </c>
      <c r="B705" s="37" t="s">
        <v>174</v>
      </c>
      <c r="C705" s="37" t="s">
        <v>201</v>
      </c>
      <c r="D705" s="37">
        <v>1375</v>
      </c>
      <c r="F705"/>
      <c r="J705"/>
    </row>
    <row r="706" spans="1:10" x14ac:dyDescent="0.25">
      <c r="A706" s="37" t="s">
        <v>207</v>
      </c>
      <c r="B706" s="37" t="s">
        <v>174</v>
      </c>
      <c r="C706" s="37" t="s">
        <v>202</v>
      </c>
      <c r="D706" s="37">
        <v>2071</v>
      </c>
      <c r="F706"/>
      <c r="J706"/>
    </row>
    <row r="707" spans="1:10" x14ac:dyDescent="0.25">
      <c r="A707" s="37" t="s">
        <v>208</v>
      </c>
      <c r="B707" s="37" t="s">
        <v>174</v>
      </c>
      <c r="C707" s="37" t="s">
        <v>203</v>
      </c>
      <c r="D707" s="37">
        <v>2628</v>
      </c>
      <c r="F707"/>
      <c r="J707"/>
    </row>
    <row r="708" spans="1:10" x14ac:dyDescent="0.25">
      <c r="A708" s="37" t="s">
        <v>209</v>
      </c>
      <c r="B708" s="37" t="s">
        <v>174</v>
      </c>
      <c r="C708" s="37" t="s">
        <v>204</v>
      </c>
      <c r="D708" s="37">
        <v>6953</v>
      </c>
      <c r="F708"/>
      <c r="J708"/>
    </row>
    <row r="709" spans="1:10" x14ac:dyDescent="0.25">
      <c r="A709" s="37" t="s">
        <v>210</v>
      </c>
      <c r="B709" s="37" t="s">
        <v>174</v>
      </c>
      <c r="C709" s="37" t="s">
        <v>201</v>
      </c>
      <c r="D709" s="37">
        <v>5528</v>
      </c>
      <c r="F709"/>
      <c r="J709"/>
    </row>
    <row r="710" spans="1:10" x14ac:dyDescent="0.25">
      <c r="A710" s="37" t="s">
        <v>211</v>
      </c>
      <c r="B710" s="37" t="s">
        <v>174</v>
      </c>
      <c r="C710" s="37" t="s">
        <v>202</v>
      </c>
      <c r="D710" s="37">
        <v>6413</v>
      </c>
      <c r="F710"/>
      <c r="J710"/>
    </row>
    <row r="711" spans="1:10" x14ac:dyDescent="0.25">
      <c r="A711" s="37" t="s">
        <v>207</v>
      </c>
      <c r="B711" s="37" t="s">
        <v>174</v>
      </c>
      <c r="C711" s="37" t="s">
        <v>203</v>
      </c>
      <c r="D711" s="37">
        <v>3909</v>
      </c>
      <c r="F711"/>
      <c r="J711"/>
    </row>
    <row r="712" spans="1:10" x14ac:dyDescent="0.25">
      <c r="A712" s="37" t="s">
        <v>208</v>
      </c>
      <c r="B712" s="37" t="s">
        <v>174</v>
      </c>
      <c r="C712" s="37" t="s">
        <v>204</v>
      </c>
      <c r="D712" s="37">
        <v>4112</v>
      </c>
      <c r="F712"/>
      <c r="J712"/>
    </row>
    <row r="713" spans="1:10" x14ac:dyDescent="0.25">
      <c r="A713" s="37" t="s">
        <v>209</v>
      </c>
      <c r="B713" s="37" t="s">
        <v>174</v>
      </c>
      <c r="C713" s="37" t="s">
        <v>201</v>
      </c>
      <c r="D713" s="37">
        <v>2909</v>
      </c>
      <c r="F713"/>
      <c r="J713"/>
    </row>
    <row r="714" spans="1:10" x14ac:dyDescent="0.25">
      <c r="A714" s="37" t="s">
        <v>210</v>
      </c>
      <c r="B714" s="37" t="s">
        <v>174</v>
      </c>
      <c r="C714" s="37" t="s">
        <v>202</v>
      </c>
      <c r="D714" s="37">
        <v>6802</v>
      </c>
      <c r="F714"/>
      <c r="J714"/>
    </row>
    <row r="715" spans="1:10" x14ac:dyDescent="0.25">
      <c r="A715" s="37" t="s">
        <v>211</v>
      </c>
      <c r="B715" s="37" t="s">
        <v>174</v>
      </c>
      <c r="C715" s="37" t="s">
        <v>203</v>
      </c>
      <c r="D715" s="37">
        <v>3113</v>
      </c>
      <c r="F715"/>
      <c r="J715"/>
    </row>
    <row r="716" spans="1:10" x14ac:dyDescent="0.25">
      <c r="A716" s="37" t="s">
        <v>207</v>
      </c>
      <c r="B716" s="37" t="s">
        <v>174</v>
      </c>
      <c r="C716" s="37" t="s">
        <v>204</v>
      </c>
      <c r="D716" s="37">
        <v>2564</v>
      </c>
      <c r="F716"/>
      <c r="J716"/>
    </row>
    <row r="717" spans="1:10" x14ac:dyDescent="0.25">
      <c r="A717" s="37" t="s">
        <v>208</v>
      </c>
      <c r="B717" s="37" t="s">
        <v>174</v>
      </c>
      <c r="C717" s="37" t="s">
        <v>201</v>
      </c>
      <c r="D717" s="37">
        <v>1624</v>
      </c>
      <c r="F717"/>
      <c r="J717"/>
    </row>
    <row r="718" spans="1:10" x14ac:dyDescent="0.25">
      <c r="A718" s="37" t="s">
        <v>209</v>
      </c>
      <c r="B718" s="37" t="s">
        <v>174</v>
      </c>
      <c r="C718" s="37" t="s">
        <v>202</v>
      </c>
      <c r="D718" s="37">
        <v>4359</v>
      </c>
      <c r="F718"/>
      <c r="J718"/>
    </row>
    <row r="719" spans="1:10" x14ac:dyDescent="0.25">
      <c r="A719" s="37" t="s">
        <v>210</v>
      </c>
      <c r="B719" s="37" t="s">
        <v>174</v>
      </c>
      <c r="C719" s="37" t="s">
        <v>203</v>
      </c>
      <c r="D719" s="37">
        <v>7209</v>
      </c>
      <c r="F719"/>
      <c r="J719"/>
    </row>
    <row r="720" spans="1:10" x14ac:dyDescent="0.25">
      <c r="A720" s="37" t="s">
        <v>211</v>
      </c>
      <c r="B720" s="37" t="s">
        <v>174</v>
      </c>
      <c r="C720" s="37" t="s">
        <v>204</v>
      </c>
      <c r="D720" s="37">
        <v>6134</v>
      </c>
      <c r="F720"/>
      <c r="J720"/>
    </row>
    <row r="721" spans="1:10" x14ac:dyDescent="0.25">
      <c r="A721" s="37" t="s">
        <v>207</v>
      </c>
      <c r="B721" s="37" t="s">
        <v>174</v>
      </c>
      <c r="C721" s="37" t="s">
        <v>201</v>
      </c>
      <c r="D721" s="37">
        <v>8076</v>
      </c>
      <c r="F721"/>
      <c r="J721"/>
    </row>
    <row r="722" spans="1:10" x14ac:dyDescent="0.25">
      <c r="A722" s="37" t="s">
        <v>208</v>
      </c>
      <c r="B722" s="37" t="s">
        <v>174</v>
      </c>
      <c r="C722" s="37" t="s">
        <v>202</v>
      </c>
      <c r="D722" s="37">
        <v>9418</v>
      </c>
      <c r="F722"/>
      <c r="J722"/>
    </row>
    <row r="723" spans="1:10" x14ac:dyDescent="0.25">
      <c r="A723" s="37" t="s">
        <v>209</v>
      </c>
      <c r="B723" s="37" t="s">
        <v>174</v>
      </c>
      <c r="C723" s="37" t="s">
        <v>203</v>
      </c>
      <c r="D723" s="37">
        <v>5293</v>
      </c>
      <c r="F723"/>
      <c r="J723"/>
    </row>
    <row r="724" spans="1:10" x14ac:dyDescent="0.25">
      <c r="A724" s="37" t="s">
        <v>210</v>
      </c>
      <c r="B724" s="37" t="s">
        <v>174</v>
      </c>
      <c r="C724" s="37" t="s">
        <v>204</v>
      </c>
      <c r="D724" s="37">
        <v>1308</v>
      </c>
      <c r="F724"/>
      <c r="J724"/>
    </row>
    <row r="725" spans="1:10" x14ac:dyDescent="0.25">
      <c r="A725" s="37" t="s">
        <v>211</v>
      </c>
      <c r="B725" s="37" t="s">
        <v>174</v>
      </c>
      <c r="C725" s="37" t="s">
        <v>201</v>
      </c>
      <c r="D725" s="37">
        <v>5687</v>
      </c>
      <c r="F725"/>
      <c r="J725"/>
    </row>
    <row r="726" spans="1:10" x14ac:dyDescent="0.25">
      <c r="A726" s="37" t="s">
        <v>207</v>
      </c>
      <c r="B726" s="37" t="s">
        <v>174</v>
      </c>
      <c r="C726" s="37" t="s">
        <v>202</v>
      </c>
      <c r="D726" s="37">
        <v>7192</v>
      </c>
      <c r="F726"/>
      <c r="J726"/>
    </row>
    <row r="727" spans="1:10" x14ac:dyDescent="0.25">
      <c r="A727" s="37" t="s">
        <v>208</v>
      </c>
      <c r="B727" s="37" t="s">
        <v>174</v>
      </c>
      <c r="C727" s="37" t="s">
        <v>203</v>
      </c>
      <c r="D727" s="37">
        <v>2432</v>
      </c>
      <c r="F727"/>
      <c r="J727"/>
    </row>
    <row r="728" spans="1:10" x14ac:dyDescent="0.25">
      <c r="A728" s="37" t="s">
        <v>209</v>
      </c>
      <c r="B728" s="37" t="s">
        <v>174</v>
      </c>
      <c r="C728" s="37" t="s">
        <v>204</v>
      </c>
      <c r="D728" s="37">
        <v>2706</v>
      </c>
      <c r="F728"/>
      <c r="J728"/>
    </row>
    <row r="729" spans="1:10" x14ac:dyDescent="0.25">
      <c r="A729" s="37" t="s">
        <v>210</v>
      </c>
      <c r="B729" s="37" t="s">
        <v>174</v>
      </c>
      <c r="C729" s="37" t="s">
        <v>205</v>
      </c>
      <c r="D729" s="37">
        <v>8724</v>
      </c>
      <c r="F729"/>
      <c r="J729"/>
    </row>
    <row r="730" spans="1:10" x14ac:dyDescent="0.25">
      <c r="A730" s="37" t="s">
        <v>211</v>
      </c>
      <c r="B730" s="37" t="s">
        <v>174</v>
      </c>
      <c r="C730" s="37" t="s">
        <v>201</v>
      </c>
      <c r="D730" s="37">
        <v>7522</v>
      </c>
      <c r="F730"/>
      <c r="J730"/>
    </row>
    <row r="731" spans="1:10" x14ac:dyDescent="0.25">
      <c r="A731" s="37" t="s">
        <v>212</v>
      </c>
      <c r="B731" s="37" t="s">
        <v>174</v>
      </c>
      <c r="C731" s="37" t="s">
        <v>202</v>
      </c>
      <c r="D731" s="37">
        <v>3547</v>
      </c>
      <c r="F731"/>
      <c r="J731"/>
    </row>
    <row r="732" spans="1:10" x14ac:dyDescent="0.25">
      <c r="A732" s="37" t="s">
        <v>207</v>
      </c>
      <c r="B732" s="37" t="s">
        <v>174</v>
      </c>
      <c r="C732" s="37" t="s">
        <v>203</v>
      </c>
      <c r="D732" s="37">
        <v>3619</v>
      </c>
      <c r="F732"/>
      <c r="J732"/>
    </row>
    <row r="733" spans="1:10" x14ac:dyDescent="0.25">
      <c r="A733" s="37" t="s">
        <v>208</v>
      </c>
      <c r="B733" s="37" t="s">
        <v>174</v>
      </c>
      <c r="C733" s="37" t="s">
        <v>204</v>
      </c>
      <c r="D733" s="37">
        <v>9630</v>
      </c>
      <c r="F733"/>
      <c r="J733"/>
    </row>
    <row r="734" spans="1:10" x14ac:dyDescent="0.25">
      <c r="A734" s="37" t="s">
        <v>209</v>
      </c>
      <c r="B734" s="37" t="s">
        <v>174</v>
      </c>
      <c r="C734" s="37" t="s">
        <v>201</v>
      </c>
      <c r="D734" s="37">
        <v>6760</v>
      </c>
      <c r="F734"/>
      <c r="J734"/>
    </row>
    <row r="735" spans="1:10" x14ac:dyDescent="0.25">
      <c r="A735" s="37" t="s">
        <v>210</v>
      </c>
      <c r="B735" s="37" t="s">
        <v>174</v>
      </c>
      <c r="C735" s="37" t="s">
        <v>202</v>
      </c>
      <c r="D735" s="37">
        <v>2325</v>
      </c>
      <c r="F735"/>
      <c r="J735"/>
    </row>
    <row r="736" spans="1:10" x14ac:dyDescent="0.25">
      <c r="A736" s="37" t="s">
        <v>211</v>
      </c>
      <c r="B736" s="37" t="s">
        <v>174</v>
      </c>
      <c r="C736" s="37" t="s">
        <v>203</v>
      </c>
      <c r="D736" s="37">
        <v>1104</v>
      </c>
      <c r="F736"/>
      <c r="J736"/>
    </row>
    <row r="737" spans="1:10" x14ac:dyDescent="0.25">
      <c r="A737" s="37" t="s">
        <v>212</v>
      </c>
      <c r="B737" s="37" t="s">
        <v>174</v>
      </c>
      <c r="C737" s="37" t="s">
        <v>204</v>
      </c>
      <c r="D737" s="37">
        <v>2379</v>
      </c>
      <c r="F737"/>
      <c r="J737"/>
    </row>
    <row r="738" spans="1:10" x14ac:dyDescent="0.25">
      <c r="A738" s="37" t="s">
        <v>207</v>
      </c>
      <c r="B738" s="37" t="s">
        <v>174</v>
      </c>
      <c r="C738" s="37" t="s">
        <v>201</v>
      </c>
      <c r="D738" s="37">
        <v>9448</v>
      </c>
      <c r="F738"/>
      <c r="J738"/>
    </row>
    <row r="739" spans="1:10" x14ac:dyDescent="0.25">
      <c r="A739" s="37" t="s">
        <v>208</v>
      </c>
      <c r="B739" s="37" t="s">
        <v>174</v>
      </c>
      <c r="C739" s="37" t="s">
        <v>202</v>
      </c>
      <c r="D739" s="37">
        <v>8844</v>
      </c>
      <c r="F739"/>
      <c r="J739"/>
    </row>
    <row r="740" spans="1:10" x14ac:dyDescent="0.25">
      <c r="A740" s="37" t="s">
        <v>209</v>
      </c>
      <c r="B740" s="37" t="s">
        <v>174</v>
      </c>
      <c r="C740" s="37" t="s">
        <v>203</v>
      </c>
      <c r="D740" s="37">
        <v>3356</v>
      </c>
      <c r="F740"/>
      <c r="J740"/>
    </row>
    <row r="741" spans="1:10" x14ac:dyDescent="0.25">
      <c r="A741" s="37" t="s">
        <v>210</v>
      </c>
      <c r="B741" s="37" t="s">
        <v>174</v>
      </c>
      <c r="C741" s="37" t="s">
        <v>204</v>
      </c>
      <c r="D741" s="37">
        <v>4158</v>
      </c>
      <c r="F741"/>
      <c r="J741"/>
    </row>
    <row r="742" spans="1:10" x14ac:dyDescent="0.25">
      <c r="A742" s="37" t="s">
        <v>211</v>
      </c>
      <c r="B742" s="37" t="s">
        <v>174</v>
      </c>
      <c r="C742" s="37" t="s">
        <v>201</v>
      </c>
      <c r="D742" s="37">
        <v>2963</v>
      </c>
      <c r="F742"/>
      <c r="J742"/>
    </row>
    <row r="743" spans="1:10" x14ac:dyDescent="0.25">
      <c r="A743" s="37" t="s">
        <v>207</v>
      </c>
      <c r="B743" s="37" t="s">
        <v>174</v>
      </c>
      <c r="C743" s="37" t="s">
        <v>202</v>
      </c>
      <c r="D743" s="37">
        <v>2971</v>
      </c>
      <c r="F743"/>
      <c r="J743"/>
    </row>
    <row r="744" spans="1:10" x14ac:dyDescent="0.25">
      <c r="A744" s="37" t="s">
        <v>208</v>
      </c>
      <c r="B744" s="37" t="s">
        <v>174</v>
      </c>
      <c r="C744" s="37" t="s">
        <v>203</v>
      </c>
      <c r="D744" s="37">
        <v>9345</v>
      </c>
      <c r="F744"/>
      <c r="J744"/>
    </row>
    <row r="745" spans="1:10" x14ac:dyDescent="0.25">
      <c r="A745" s="37" t="s">
        <v>209</v>
      </c>
      <c r="B745" s="37" t="s">
        <v>174</v>
      </c>
      <c r="C745" s="37" t="s">
        <v>204</v>
      </c>
      <c r="D745" s="37">
        <v>7727</v>
      </c>
      <c r="F745"/>
      <c r="J745"/>
    </row>
    <row r="746" spans="1:10" x14ac:dyDescent="0.25">
      <c r="A746" s="37" t="s">
        <v>210</v>
      </c>
      <c r="B746" s="37" t="s">
        <v>174</v>
      </c>
      <c r="C746" s="37" t="s">
        <v>201</v>
      </c>
      <c r="D746" s="37">
        <v>4119</v>
      </c>
      <c r="F746"/>
      <c r="J746"/>
    </row>
    <row r="747" spans="1:10" x14ac:dyDescent="0.25">
      <c r="A747" s="37" t="s">
        <v>211</v>
      </c>
      <c r="B747" s="37" t="s">
        <v>174</v>
      </c>
      <c r="C747" s="37" t="s">
        <v>202</v>
      </c>
      <c r="D747" s="37">
        <v>7747</v>
      </c>
      <c r="F747"/>
      <c r="J747"/>
    </row>
    <row r="748" spans="1:10" x14ac:dyDescent="0.25">
      <c r="A748" s="37" t="s">
        <v>207</v>
      </c>
      <c r="B748" s="37" t="s">
        <v>174</v>
      </c>
      <c r="C748" s="37" t="s">
        <v>203</v>
      </c>
      <c r="D748" s="37">
        <v>9082</v>
      </c>
      <c r="F748"/>
      <c r="J748"/>
    </row>
    <row r="749" spans="1:10" x14ac:dyDescent="0.25">
      <c r="A749" s="37" t="s">
        <v>208</v>
      </c>
      <c r="B749" s="37" t="s">
        <v>177</v>
      </c>
      <c r="C749" s="37" t="s">
        <v>204</v>
      </c>
      <c r="D749" s="37">
        <v>2852</v>
      </c>
      <c r="F749"/>
      <c r="J749"/>
    </row>
    <row r="750" spans="1:10" x14ac:dyDescent="0.25">
      <c r="A750" s="37" t="s">
        <v>209</v>
      </c>
      <c r="B750" s="37" t="s">
        <v>177</v>
      </c>
      <c r="C750" s="37" t="s">
        <v>201</v>
      </c>
      <c r="D750" s="37">
        <v>7273</v>
      </c>
      <c r="F750"/>
      <c r="J750"/>
    </row>
    <row r="751" spans="1:10" x14ac:dyDescent="0.25">
      <c r="A751" s="37" t="s">
        <v>210</v>
      </c>
      <c r="B751" s="37" t="s">
        <v>177</v>
      </c>
      <c r="C751" s="37" t="s">
        <v>202</v>
      </c>
      <c r="D751" s="37">
        <v>2086</v>
      </c>
      <c r="F751"/>
      <c r="J751"/>
    </row>
    <row r="752" spans="1:10" x14ac:dyDescent="0.25">
      <c r="A752" s="37" t="s">
        <v>211</v>
      </c>
      <c r="B752" s="37" t="s">
        <v>177</v>
      </c>
      <c r="C752" s="37" t="s">
        <v>203</v>
      </c>
      <c r="D752" s="37">
        <v>8004</v>
      </c>
      <c r="F752"/>
      <c r="J752"/>
    </row>
    <row r="753" spans="1:10" x14ac:dyDescent="0.25">
      <c r="A753" s="37" t="s">
        <v>207</v>
      </c>
      <c r="B753" s="37" t="s">
        <v>177</v>
      </c>
      <c r="C753" s="37" t="s">
        <v>204</v>
      </c>
      <c r="D753" s="37">
        <v>2829</v>
      </c>
      <c r="F753"/>
      <c r="J753"/>
    </row>
    <row r="754" spans="1:10" x14ac:dyDescent="0.25">
      <c r="A754" s="37" t="s">
        <v>208</v>
      </c>
      <c r="B754" s="37" t="s">
        <v>177</v>
      </c>
      <c r="C754" s="37" t="s">
        <v>201</v>
      </c>
      <c r="D754" s="37">
        <v>1902</v>
      </c>
      <c r="F754"/>
      <c r="J754"/>
    </row>
    <row r="755" spans="1:10" x14ac:dyDescent="0.25">
      <c r="A755" s="37" t="s">
        <v>209</v>
      </c>
      <c r="B755" s="37" t="s">
        <v>177</v>
      </c>
      <c r="C755" s="37" t="s">
        <v>202</v>
      </c>
      <c r="D755" s="37">
        <v>4585</v>
      </c>
      <c r="F755"/>
      <c r="J755"/>
    </row>
    <row r="756" spans="1:10" x14ac:dyDescent="0.25">
      <c r="A756" s="37" t="s">
        <v>210</v>
      </c>
      <c r="B756" s="37" t="s">
        <v>177</v>
      </c>
      <c r="C756" s="37" t="s">
        <v>203</v>
      </c>
      <c r="D756" s="37">
        <v>4403</v>
      </c>
      <c r="F756"/>
      <c r="J756"/>
    </row>
    <row r="757" spans="1:10" x14ac:dyDescent="0.25">
      <c r="A757" s="37" t="s">
        <v>211</v>
      </c>
      <c r="B757" s="37" t="s">
        <v>177</v>
      </c>
      <c r="C757" s="37" t="s">
        <v>204</v>
      </c>
      <c r="D757" s="37">
        <v>3177</v>
      </c>
      <c r="F757"/>
      <c r="J757"/>
    </row>
    <row r="758" spans="1:10" x14ac:dyDescent="0.25">
      <c r="A758" s="37" t="s">
        <v>207</v>
      </c>
      <c r="B758" s="37" t="s">
        <v>177</v>
      </c>
      <c r="C758" s="37" t="s">
        <v>201</v>
      </c>
      <c r="D758" s="37">
        <v>9175</v>
      </c>
      <c r="F758"/>
      <c r="J758"/>
    </row>
    <row r="759" spans="1:10" x14ac:dyDescent="0.25">
      <c r="A759" s="37" t="s">
        <v>208</v>
      </c>
      <c r="B759" s="37" t="s">
        <v>177</v>
      </c>
      <c r="C759" s="37" t="s">
        <v>202</v>
      </c>
      <c r="D759" s="37">
        <v>1936</v>
      </c>
      <c r="F759"/>
      <c r="J759"/>
    </row>
    <row r="760" spans="1:10" x14ac:dyDescent="0.25">
      <c r="A760" s="37" t="s">
        <v>209</v>
      </c>
      <c r="B760" s="37" t="s">
        <v>177</v>
      </c>
      <c r="C760" s="37" t="s">
        <v>203</v>
      </c>
      <c r="D760" s="37">
        <v>6878</v>
      </c>
      <c r="F760"/>
      <c r="J760"/>
    </row>
    <row r="761" spans="1:10" x14ac:dyDescent="0.25">
      <c r="A761" s="37" t="s">
        <v>210</v>
      </c>
      <c r="B761" s="37" t="s">
        <v>177</v>
      </c>
      <c r="C761" s="37" t="s">
        <v>204</v>
      </c>
      <c r="D761" s="37">
        <v>6172</v>
      </c>
      <c r="F761"/>
      <c r="J761"/>
    </row>
    <row r="762" spans="1:10" x14ac:dyDescent="0.25">
      <c r="A762" s="37" t="s">
        <v>211</v>
      </c>
      <c r="B762" s="37" t="s">
        <v>177</v>
      </c>
      <c r="C762" s="37" t="s">
        <v>201</v>
      </c>
      <c r="D762" s="37">
        <v>3527</v>
      </c>
      <c r="F762"/>
      <c r="J762"/>
    </row>
    <row r="763" spans="1:10" x14ac:dyDescent="0.25">
      <c r="A763" s="37" t="s">
        <v>207</v>
      </c>
      <c r="B763" s="37" t="s">
        <v>177</v>
      </c>
      <c r="C763" s="37" t="s">
        <v>202</v>
      </c>
      <c r="D763" s="37">
        <v>4295</v>
      </c>
      <c r="F763"/>
      <c r="J763"/>
    </row>
    <row r="764" spans="1:10" x14ac:dyDescent="0.25">
      <c r="A764" s="37" t="s">
        <v>208</v>
      </c>
      <c r="B764" s="37" t="s">
        <v>177</v>
      </c>
      <c r="C764" s="37" t="s">
        <v>203</v>
      </c>
      <c r="D764" s="37">
        <v>8507</v>
      </c>
      <c r="F764"/>
      <c r="J764"/>
    </row>
    <row r="765" spans="1:10" x14ac:dyDescent="0.25">
      <c r="A765" s="37" t="s">
        <v>209</v>
      </c>
      <c r="B765" s="37" t="s">
        <v>177</v>
      </c>
      <c r="C765" s="37" t="s">
        <v>204</v>
      </c>
      <c r="D765" s="37">
        <v>9161</v>
      </c>
      <c r="F765"/>
      <c r="J765"/>
    </row>
    <row r="766" spans="1:10" x14ac:dyDescent="0.25">
      <c r="A766" s="37" t="s">
        <v>210</v>
      </c>
      <c r="B766" s="37" t="s">
        <v>177</v>
      </c>
      <c r="C766" s="37" t="s">
        <v>201</v>
      </c>
      <c r="D766" s="37">
        <v>6084</v>
      </c>
      <c r="F766"/>
      <c r="J766"/>
    </row>
    <row r="767" spans="1:10" x14ac:dyDescent="0.25">
      <c r="A767" s="37" t="s">
        <v>211</v>
      </c>
      <c r="B767" s="37" t="s">
        <v>177</v>
      </c>
      <c r="C767" s="37" t="s">
        <v>202</v>
      </c>
      <c r="D767" s="37">
        <v>1086</v>
      </c>
      <c r="F767"/>
      <c r="J767"/>
    </row>
    <row r="768" spans="1:10" x14ac:dyDescent="0.25">
      <c r="A768" s="37" t="s">
        <v>207</v>
      </c>
      <c r="B768" s="37" t="s">
        <v>177</v>
      </c>
      <c r="C768" s="37" t="s">
        <v>203</v>
      </c>
      <c r="D768" s="37">
        <v>5972</v>
      </c>
      <c r="F768"/>
      <c r="J768"/>
    </row>
    <row r="769" spans="1:10" x14ac:dyDescent="0.25">
      <c r="A769" s="37" t="s">
        <v>208</v>
      </c>
      <c r="B769" s="37" t="s">
        <v>177</v>
      </c>
      <c r="C769" s="37" t="s">
        <v>204</v>
      </c>
      <c r="D769" s="37">
        <v>1037</v>
      </c>
      <c r="F769"/>
      <c r="J769"/>
    </row>
    <row r="770" spans="1:10" x14ac:dyDescent="0.25">
      <c r="A770" s="37" t="s">
        <v>209</v>
      </c>
      <c r="B770" s="37" t="s">
        <v>177</v>
      </c>
      <c r="C770" s="37" t="s">
        <v>201</v>
      </c>
      <c r="D770" s="37">
        <v>4560</v>
      </c>
      <c r="F770"/>
      <c r="J770"/>
    </row>
    <row r="771" spans="1:10" x14ac:dyDescent="0.25">
      <c r="A771" s="37" t="s">
        <v>210</v>
      </c>
      <c r="B771" s="37" t="s">
        <v>177</v>
      </c>
      <c r="C771" s="37" t="s">
        <v>202</v>
      </c>
      <c r="D771" s="37">
        <v>3635</v>
      </c>
      <c r="F771"/>
      <c r="J771"/>
    </row>
    <row r="772" spans="1:10" x14ac:dyDescent="0.25">
      <c r="A772" s="37" t="s">
        <v>211</v>
      </c>
      <c r="B772" s="37" t="s">
        <v>177</v>
      </c>
      <c r="C772" s="37" t="s">
        <v>203</v>
      </c>
      <c r="D772" s="37">
        <v>3652</v>
      </c>
      <c r="F772"/>
      <c r="J772"/>
    </row>
    <row r="773" spans="1:10" x14ac:dyDescent="0.25">
      <c r="A773" s="37" t="s">
        <v>207</v>
      </c>
      <c r="B773" s="37" t="s">
        <v>177</v>
      </c>
      <c r="C773" s="37" t="s">
        <v>204</v>
      </c>
      <c r="D773" s="37">
        <v>1977</v>
      </c>
      <c r="F773"/>
      <c r="J773"/>
    </row>
    <row r="774" spans="1:10" x14ac:dyDescent="0.25">
      <c r="A774" s="37" t="s">
        <v>208</v>
      </c>
      <c r="B774" s="37" t="s">
        <v>177</v>
      </c>
      <c r="C774" s="37" t="s">
        <v>201</v>
      </c>
      <c r="D774" s="37">
        <v>9943</v>
      </c>
      <c r="F774"/>
      <c r="J774"/>
    </row>
    <row r="775" spans="1:10" x14ac:dyDescent="0.25">
      <c r="A775" s="37" t="s">
        <v>209</v>
      </c>
      <c r="B775" s="37" t="s">
        <v>177</v>
      </c>
      <c r="C775" s="37" t="s">
        <v>202</v>
      </c>
      <c r="D775" s="37">
        <v>7633</v>
      </c>
      <c r="F775"/>
      <c r="J775"/>
    </row>
    <row r="776" spans="1:10" x14ac:dyDescent="0.25">
      <c r="A776" s="37" t="s">
        <v>210</v>
      </c>
      <c r="B776" s="37" t="s">
        <v>177</v>
      </c>
      <c r="C776" s="37" t="s">
        <v>203</v>
      </c>
      <c r="D776" s="37">
        <v>3556</v>
      </c>
      <c r="F776"/>
      <c r="J776"/>
    </row>
    <row r="777" spans="1:10" x14ac:dyDescent="0.25">
      <c r="A777" s="37" t="s">
        <v>211</v>
      </c>
      <c r="B777" s="37" t="s">
        <v>177</v>
      </c>
      <c r="C777" s="37" t="s">
        <v>204</v>
      </c>
      <c r="D777" s="37">
        <v>2986</v>
      </c>
      <c r="F777"/>
      <c r="J777"/>
    </row>
    <row r="778" spans="1:10" x14ac:dyDescent="0.25">
      <c r="A778" s="37" t="s">
        <v>207</v>
      </c>
      <c r="B778" s="37" t="s">
        <v>177</v>
      </c>
      <c r="C778" s="37" t="s">
        <v>201</v>
      </c>
      <c r="D778" s="37">
        <v>7968</v>
      </c>
      <c r="F778"/>
      <c r="J778"/>
    </row>
    <row r="779" spans="1:10" x14ac:dyDescent="0.25">
      <c r="A779" s="37" t="s">
        <v>208</v>
      </c>
      <c r="B779" s="37" t="s">
        <v>177</v>
      </c>
      <c r="C779" s="37" t="s">
        <v>202</v>
      </c>
      <c r="D779" s="37">
        <v>6676</v>
      </c>
      <c r="F779"/>
      <c r="J779"/>
    </row>
    <row r="780" spans="1:10" x14ac:dyDescent="0.25">
      <c r="A780" s="37" t="s">
        <v>209</v>
      </c>
      <c r="B780" s="37" t="s">
        <v>177</v>
      </c>
      <c r="C780" s="37" t="s">
        <v>203</v>
      </c>
      <c r="D780" s="37">
        <v>3442</v>
      </c>
      <c r="F780"/>
      <c r="J780"/>
    </row>
    <row r="781" spans="1:10" x14ac:dyDescent="0.25">
      <c r="A781" s="37" t="s">
        <v>210</v>
      </c>
      <c r="B781" s="37" t="s">
        <v>177</v>
      </c>
      <c r="C781" s="37" t="s">
        <v>204</v>
      </c>
      <c r="D781" s="37">
        <v>6310</v>
      </c>
      <c r="F781"/>
      <c r="J781"/>
    </row>
    <row r="782" spans="1:10" x14ac:dyDescent="0.25">
      <c r="A782" s="37" t="s">
        <v>211</v>
      </c>
      <c r="B782" s="37" t="s">
        <v>177</v>
      </c>
      <c r="C782" s="37" t="s">
        <v>201</v>
      </c>
      <c r="D782" s="37">
        <v>9341</v>
      </c>
      <c r="F782"/>
      <c r="J782"/>
    </row>
    <row r="783" spans="1:10" x14ac:dyDescent="0.25">
      <c r="A783" s="37" t="s">
        <v>207</v>
      </c>
      <c r="B783" s="37" t="s">
        <v>177</v>
      </c>
      <c r="C783" s="37" t="s">
        <v>202</v>
      </c>
      <c r="D783" s="37">
        <v>6515</v>
      </c>
      <c r="F783"/>
      <c r="J783"/>
    </row>
    <row r="784" spans="1:10" x14ac:dyDescent="0.25">
      <c r="A784" s="37" t="s">
        <v>208</v>
      </c>
      <c r="B784" s="37" t="s">
        <v>177</v>
      </c>
      <c r="C784" s="37" t="s">
        <v>203</v>
      </c>
      <c r="D784" s="37">
        <v>4948</v>
      </c>
      <c r="F784"/>
      <c r="J784"/>
    </row>
    <row r="785" spans="1:10" x14ac:dyDescent="0.25">
      <c r="A785" s="37" t="s">
        <v>209</v>
      </c>
      <c r="B785" s="37" t="s">
        <v>177</v>
      </c>
      <c r="C785" s="37" t="s">
        <v>204</v>
      </c>
      <c r="D785" s="37">
        <v>8904</v>
      </c>
      <c r="F785"/>
      <c r="J785"/>
    </row>
    <row r="786" spans="1:10" x14ac:dyDescent="0.25">
      <c r="A786" s="37" t="s">
        <v>210</v>
      </c>
      <c r="B786" s="37" t="s">
        <v>177</v>
      </c>
      <c r="C786" s="37" t="s">
        <v>205</v>
      </c>
      <c r="D786" s="37">
        <v>6387</v>
      </c>
      <c r="F786"/>
      <c r="J786"/>
    </row>
    <row r="787" spans="1:10" x14ac:dyDescent="0.25">
      <c r="A787" s="37" t="s">
        <v>211</v>
      </c>
      <c r="B787" s="37" t="s">
        <v>177</v>
      </c>
      <c r="C787" s="37" t="s">
        <v>205</v>
      </c>
      <c r="D787" s="37">
        <v>6482</v>
      </c>
      <c r="F787"/>
      <c r="J787"/>
    </row>
    <row r="788" spans="1:10" x14ac:dyDescent="0.25">
      <c r="A788" s="37" t="s">
        <v>207</v>
      </c>
      <c r="B788" s="37" t="s">
        <v>177</v>
      </c>
      <c r="C788" s="37" t="s">
        <v>205</v>
      </c>
      <c r="D788" s="37">
        <v>5114</v>
      </c>
      <c r="F788"/>
      <c r="J788"/>
    </row>
    <row r="789" spans="1:10" x14ac:dyDescent="0.25">
      <c r="A789" s="37" t="s">
        <v>208</v>
      </c>
      <c r="B789" s="37" t="s">
        <v>177</v>
      </c>
      <c r="C789" s="37" t="s">
        <v>205</v>
      </c>
      <c r="D789" s="37">
        <v>3348</v>
      </c>
      <c r="F789"/>
      <c r="J789"/>
    </row>
    <row r="790" spans="1:10" x14ac:dyDescent="0.25">
      <c r="A790" s="37" t="s">
        <v>209</v>
      </c>
      <c r="B790" s="37" t="s">
        <v>177</v>
      </c>
      <c r="C790" s="37" t="s">
        <v>205</v>
      </c>
      <c r="D790" s="37">
        <v>2732</v>
      </c>
      <c r="F790"/>
      <c r="J790"/>
    </row>
    <row r="791" spans="1:10" x14ac:dyDescent="0.25">
      <c r="A791" s="37" t="s">
        <v>210</v>
      </c>
      <c r="B791" s="37" t="s">
        <v>177</v>
      </c>
      <c r="C791" s="37" t="s">
        <v>205</v>
      </c>
      <c r="D791" s="37">
        <v>2762</v>
      </c>
      <c r="F791"/>
      <c r="J791"/>
    </row>
    <row r="792" spans="1:10" x14ac:dyDescent="0.25">
      <c r="A792" s="37" t="s">
        <v>211</v>
      </c>
      <c r="B792" s="37" t="s">
        <v>177</v>
      </c>
      <c r="C792" s="37" t="s">
        <v>205</v>
      </c>
      <c r="D792" s="37">
        <v>2746</v>
      </c>
      <c r="F792"/>
      <c r="J792"/>
    </row>
    <row r="793" spans="1:10" x14ac:dyDescent="0.25">
      <c r="A793" s="37" t="s">
        <v>207</v>
      </c>
      <c r="B793" s="37" t="s">
        <v>177</v>
      </c>
      <c r="C793" s="37" t="s">
        <v>205</v>
      </c>
      <c r="D793" s="37">
        <v>9156</v>
      </c>
      <c r="F793"/>
      <c r="J793"/>
    </row>
    <row r="794" spans="1:10" x14ac:dyDescent="0.25">
      <c r="A794" s="37" t="s">
        <v>208</v>
      </c>
      <c r="B794" s="37" t="s">
        <v>177</v>
      </c>
      <c r="C794" s="37" t="s">
        <v>205</v>
      </c>
      <c r="D794" s="37">
        <v>8471</v>
      </c>
      <c r="F794"/>
      <c r="J794"/>
    </row>
    <row r="795" spans="1:10" x14ac:dyDescent="0.25">
      <c r="A795" s="37" t="s">
        <v>209</v>
      </c>
      <c r="B795" s="37" t="s">
        <v>177</v>
      </c>
      <c r="C795" s="37" t="s">
        <v>205</v>
      </c>
      <c r="D795" s="37">
        <v>5019</v>
      </c>
      <c r="F795"/>
      <c r="J795"/>
    </row>
    <row r="796" spans="1:10" x14ac:dyDescent="0.25">
      <c r="A796" s="37" t="s">
        <v>210</v>
      </c>
      <c r="B796" s="37" t="s">
        <v>177</v>
      </c>
      <c r="C796" s="37" t="s">
        <v>205</v>
      </c>
      <c r="D796" s="37">
        <v>2387</v>
      </c>
      <c r="F796"/>
      <c r="J796"/>
    </row>
    <row r="797" spans="1:10" x14ac:dyDescent="0.25">
      <c r="A797" s="37" t="s">
        <v>211</v>
      </c>
      <c r="B797" s="37" t="s">
        <v>177</v>
      </c>
      <c r="C797" s="37" t="s">
        <v>205</v>
      </c>
      <c r="D797" s="37">
        <v>9154</v>
      </c>
      <c r="F797"/>
      <c r="J797"/>
    </row>
    <row r="798" spans="1:10" x14ac:dyDescent="0.25">
      <c r="A798" s="37" t="s">
        <v>207</v>
      </c>
      <c r="B798" s="37" t="s">
        <v>177</v>
      </c>
      <c r="C798" s="37" t="s">
        <v>205</v>
      </c>
      <c r="D798" s="37">
        <v>3151</v>
      </c>
      <c r="F798"/>
      <c r="J798"/>
    </row>
    <row r="799" spans="1:10" x14ac:dyDescent="0.25">
      <c r="A799" s="37" t="s">
        <v>208</v>
      </c>
      <c r="B799" s="37" t="s">
        <v>177</v>
      </c>
      <c r="C799" s="37" t="s">
        <v>205</v>
      </c>
      <c r="D799" s="37">
        <v>9649</v>
      </c>
      <c r="F799"/>
      <c r="J799"/>
    </row>
    <row r="800" spans="1:10" x14ac:dyDescent="0.25">
      <c r="A800" s="37" t="s">
        <v>209</v>
      </c>
      <c r="B800" s="37" t="s">
        <v>177</v>
      </c>
      <c r="C800" s="37" t="s">
        <v>205</v>
      </c>
      <c r="D800" s="37">
        <v>8643</v>
      </c>
      <c r="F800"/>
      <c r="J800"/>
    </row>
    <row r="801" spans="1:10" x14ac:dyDescent="0.25">
      <c r="A801" s="37" t="s">
        <v>210</v>
      </c>
      <c r="B801" s="37" t="s">
        <v>177</v>
      </c>
      <c r="C801" s="37" t="s">
        <v>205</v>
      </c>
      <c r="D801" s="37">
        <v>4546</v>
      </c>
      <c r="F801"/>
      <c r="J801"/>
    </row>
    <row r="802" spans="1:10" x14ac:dyDescent="0.25">
      <c r="A802" s="37" t="s">
        <v>211</v>
      </c>
      <c r="B802" s="37" t="s">
        <v>177</v>
      </c>
      <c r="C802" s="37" t="s">
        <v>205</v>
      </c>
      <c r="D802" s="37">
        <v>9355</v>
      </c>
      <c r="F802"/>
      <c r="J802"/>
    </row>
    <row r="803" spans="1:10" x14ac:dyDescent="0.25">
      <c r="A803" s="37" t="s">
        <v>207</v>
      </c>
      <c r="B803" s="37" t="s">
        <v>177</v>
      </c>
      <c r="C803" s="37" t="s">
        <v>205</v>
      </c>
      <c r="D803" s="37">
        <v>5120</v>
      </c>
      <c r="F803"/>
      <c r="J803"/>
    </row>
    <row r="804" spans="1:10" x14ac:dyDescent="0.25">
      <c r="A804" s="37" t="s">
        <v>208</v>
      </c>
      <c r="B804" s="37" t="s">
        <v>177</v>
      </c>
      <c r="C804" s="37" t="s">
        <v>205</v>
      </c>
      <c r="D804" s="37">
        <v>1313</v>
      </c>
      <c r="F804"/>
      <c r="J804"/>
    </row>
    <row r="805" spans="1:10" x14ac:dyDescent="0.25">
      <c r="A805" s="37" t="s">
        <v>209</v>
      </c>
      <c r="B805" s="37" t="s">
        <v>177</v>
      </c>
      <c r="C805" s="37" t="s">
        <v>205</v>
      </c>
      <c r="D805" s="37">
        <v>1566</v>
      </c>
      <c r="F805"/>
      <c r="J805"/>
    </row>
    <row r="806" spans="1:10" x14ac:dyDescent="0.25">
      <c r="A806" s="37" t="s">
        <v>210</v>
      </c>
      <c r="B806" s="37" t="s">
        <v>177</v>
      </c>
      <c r="C806" s="37" t="s">
        <v>205</v>
      </c>
      <c r="D806" s="37">
        <v>8997</v>
      </c>
      <c r="F806"/>
      <c r="J806"/>
    </row>
    <row r="807" spans="1:10" x14ac:dyDescent="0.25">
      <c r="A807" s="37" t="s">
        <v>211</v>
      </c>
      <c r="B807" s="37" t="s">
        <v>177</v>
      </c>
      <c r="C807" s="37" t="s">
        <v>205</v>
      </c>
      <c r="D807" s="37">
        <v>8085</v>
      </c>
      <c r="F807"/>
      <c r="J807"/>
    </row>
    <row r="808" spans="1:10" x14ac:dyDescent="0.25">
      <c r="A808" s="37" t="s">
        <v>207</v>
      </c>
      <c r="B808" s="37" t="s">
        <v>177</v>
      </c>
      <c r="C808" s="37" t="s">
        <v>205</v>
      </c>
      <c r="D808" s="37">
        <v>5214</v>
      </c>
      <c r="F808"/>
      <c r="J808"/>
    </row>
    <row r="809" spans="1:10" x14ac:dyDescent="0.25">
      <c r="A809" s="37" t="s">
        <v>208</v>
      </c>
      <c r="B809" s="37" t="s">
        <v>177</v>
      </c>
      <c r="C809" s="37" t="s">
        <v>205</v>
      </c>
      <c r="D809" s="37">
        <v>2091</v>
      </c>
      <c r="F809"/>
      <c r="J809"/>
    </row>
    <row r="810" spans="1:10" x14ac:dyDescent="0.25">
      <c r="A810" s="37" t="s">
        <v>209</v>
      </c>
      <c r="B810" s="37" t="s">
        <v>177</v>
      </c>
      <c r="C810" s="37" t="s">
        <v>205</v>
      </c>
      <c r="D810" s="37">
        <v>1206</v>
      </c>
      <c r="F810"/>
      <c r="J810"/>
    </row>
    <row r="811" spans="1:10" x14ac:dyDescent="0.25">
      <c r="A811" s="37" t="s">
        <v>210</v>
      </c>
      <c r="B811" s="37" t="s">
        <v>177</v>
      </c>
      <c r="C811" s="37" t="s">
        <v>205</v>
      </c>
      <c r="D811" s="37">
        <v>3477</v>
      </c>
      <c r="F811"/>
      <c r="J811"/>
    </row>
    <row r="812" spans="1:10" x14ac:dyDescent="0.25">
      <c r="A812" s="37" t="s">
        <v>211</v>
      </c>
      <c r="B812" s="37" t="s">
        <v>177</v>
      </c>
      <c r="C812" s="37" t="s">
        <v>205</v>
      </c>
      <c r="D812" s="37">
        <v>1487</v>
      </c>
      <c r="F812"/>
      <c r="J812"/>
    </row>
    <row r="813" spans="1:10" x14ac:dyDescent="0.25">
      <c r="A813" s="37" t="s">
        <v>207</v>
      </c>
      <c r="B813" s="37" t="s">
        <v>177</v>
      </c>
      <c r="C813" s="37" t="s">
        <v>205</v>
      </c>
      <c r="D813" s="37">
        <v>6023</v>
      </c>
      <c r="F813"/>
      <c r="J813"/>
    </row>
    <row r="814" spans="1:10" x14ac:dyDescent="0.25">
      <c r="A814" s="37" t="s">
        <v>208</v>
      </c>
      <c r="B814" s="37" t="s">
        <v>177</v>
      </c>
      <c r="C814" s="37" t="s">
        <v>205</v>
      </c>
      <c r="D814" s="37">
        <v>4281</v>
      </c>
      <c r="F814"/>
      <c r="J814"/>
    </row>
    <row r="815" spans="1:10" x14ac:dyDescent="0.25">
      <c r="A815" s="37" t="s">
        <v>209</v>
      </c>
      <c r="B815" s="37" t="s">
        <v>177</v>
      </c>
      <c r="C815" s="37" t="s">
        <v>205</v>
      </c>
      <c r="D815" s="37">
        <v>6838</v>
      </c>
      <c r="F815"/>
      <c r="J815"/>
    </row>
    <row r="816" spans="1:10" x14ac:dyDescent="0.25">
      <c r="A816" s="37" t="s">
        <v>210</v>
      </c>
      <c r="B816" s="37" t="s">
        <v>177</v>
      </c>
      <c r="C816" s="37" t="s">
        <v>205</v>
      </c>
      <c r="D816" s="37">
        <v>1752</v>
      </c>
      <c r="F816"/>
      <c r="J816"/>
    </row>
    <row r="817" spans="1:10" x14ac:dyDescent="0.25">
      <c r="A817" s="37" t="s">
        <v>211</v>
      </c>
      <c r="B817" s="37" t="s">
        <v>177</v>
      </c>
      <c r="C817" s="37" t="s">
        <v>205</v>
      </c>
      <c r="D817" s="37">
        <v>3474</v>
      </c>
      <c r="F817"/>
      <c r="J817"/>
    </row>
    <row r="818" spans="1:10" x14ac:dyDescent="0.25">
      <c r="A818" s="37" t="s">
        <v>207</v>
      </c>
      <c r="B818" s="37" t="s">
        <v>177</v>
      </c>
      <c r="C818" s="37" t="s">
        <v>205</v>
      </c>
      <c r="D818" s="37">
        <v>2746</v>
      </c>
      <c r="F818"/>
      <c r="J818"/>
    </row>
    <row r="819" spans="1:10" x14ac:dyDescent="0.25">
      <c r="A819" s="37" t="s">
        <v>208</v>
      </c>
      <c r="B819" s="37" t="s">
        <v>177</v>
      </c>
      <c r="C819" s="37" t="s">
        <v>205</v>
      </c>
      <c r="D819" s="37">
        <v>6306</v>
      </c>
      <c r="F819"/>
      <c r="J819"/>
    </row>
    <row r="820" spans="1:10" x14ac:dyDescent="0.25">
      <c r="A820" s="37" t="s">
        <v>209</v>
      </c>
      <c r="B820" s="37" t="s">
        <v>177</v>
      </c>
      <c r="C820" s="37" t="s">
        <v>205</v>
      </c>
      <c r="D820" s="37">
        <v>6519</v>
      </c>
      <c r="F820"/>
      <c r="J820"/>
    </row>
    <row r="821" spans="1:10" x14ac:dyDescent="0.25">
      <c r="A821" s="37" t="s">
        <v>210</v>
      </c>
      <c r="B821" s="37" t="s">
        <v>177</v>
      </c>
      <c r="C821" s="37" t="s">
        <v>205</v>
      </c>
      <c r="D821" s="37">
        <v>3399</v>
      </c>
      <c r="F821"/>
      <c r="J821"/>
    </row>
    <row r="822" spans="1:10" x14ac:dyDescent="0.25">
      <c r="A822" s="37" t="s">
        <v>211</v>
      </c>
      <c r="B822" s="37" t="s">
        <v>177</v>
      </c>
      <c r="C822" s="37" t="s">
        <v>205</v>
      </c>
      <c r="D822" s="37">
        <v>7229</v>
      </c>
      <c r="F822"/>
      <c r="J822"/>
    </row>
    <row r="823" spans="1:10" x14ac:dyDescent="0.25">
      <c r="A823" s="37" t="s">
        <v>212</v>
      </c>
      <c r="B823" s="37" t="s">
        <v>177</v>
      </c>
      <c r="C823" s="37" t="s">
        <v>205</v>
      </c>
      <c r="D823" s="37">
        <v>9954</v>
      </c>
      <c r="F823"/>
      <c r="J823"/>
    </row>
    <row r="824" spans="1:10" x14ac:dyDescent="0.25">
      <c r="A824" s="37" t="s">
        <v>207</v>
      </c>
      <c r="B824" s="37" t="s">
        <v>177</v>
      </c>
      <c r="C824" s="37" t="s">
        <v>205</v>
      </c>
      <c r="D824" s="37">
        <v>6496</v>
      </c>
      <c r="F824"/>
      <c r="J824"/>
    </row>
    <row r="825" spans="1:10" x14ac:dyDescent="0.25">
      <c r="A825" s="37" t="s">
        <v>208</v>
      </c>
      <c r="B825" s="37" t="s">
        <v>177</v>
      </c>
      <c r="C825" s="37" t="s">
        <v>205</v>
      </c>
      <c r="D825" s="37">
        <v>4386</v>
      </c>
      <c r="F825"/>
      <c r="J825"/>
    </row>
    <row r="826" spans="1:10" x14ac:dyDescent="0.25">
      <c r="A826" s="37" t="s">
        <v>209</v>
      </c>
      <c r="B826" s="37" t="s">
        <v>177</v>
      </c>
      <c r="C826" s="37" t="s">
        <v>205</v>
      </c>
      <c r="D826" s="37">
        <v>2478</v>
      </c>
      <c r="F826"/>
      <c r="J826"/>
    </row>
    <row r="827" spans="1:10" x14ac:dyDescent="0.25">
      <c r="A827" s="37" t="s">
        <v>210</v>
      </c>
      <c r="B827" s="37" t="s">
        <v>177</v>
      </c>
      <c r="C827" s="37" t="s">
        <v>205</v>
      </c>
      <c r="D827" s="37">
        <v>5364</v>
      </c>
      <c r="F827"/>
      <c r="J827"/>
    </row>
    <row r="828" spans="1:10" x14ac:dyDescent="0.25">
      <c r="A828" s="37" t="s">
        <v>211</v>
      </c>
      <c r="B828" s="37" t="s">
        <v>177</v>
      </c>
      <c r="C828" s="37" t="s">
        <v>205</v>
      </c>
      <c r="D828" s="37">
        <v>3671</v>
      </c>
      <c r="F828"/>
      <c r="J828"/>
    </row>
    <row r="829" spans="1:10" x14ac:dyDescent="0.25">
      <c r="A829" s="37" t="s">
        <v>212</v>
      </c>
      <c r="B829" s="37" t="s">
        <v>177</v>
      </c>
      <c r="C829" s="37" t="s">
        <v>205</v>
      </c>
      <c r="D829" s="37">
        <v>7968</v>
      </c>
      <c r="F829"/>
      <c r="J829"/>
    </row>
    <row r="830" spans="1:10" x14ac:dyDescent="0.25">
      <c r="A830" s="37" t="s">
        <v>207</v>
      </c>
      <c r="B830" s="37" t="s">
        <v>177</v>
      </c>
      <c r="C830" s="37" t="s">
        <v>205</v>
      </c>
      <c r="D830" s="37">
        <v>7372</v>
      </c>
      <c r="F830"/>
      <c r="J830"/>
    </row>
    <row r="831" spans="1:10" x14ac:dyDescent="0.25">
      <c r="A831" s="37" t="s">
        <v>208</v>
      </c>
      <c r="B831" s="37" t="s">
        <v>177</v>
      </c>
      <c r="C831" s="37" t="s">
        <v>205</v>
      </c>
      <c r="D831" s="37">
        <v>7183</v>
      </c>
      <c r="F831"/>
      <c r="J831"/>
    </row>
    <row r="832" spans="1:10" x14ac:dyDescent="0.25">
      <c r="A832" s="37" t="s">
        <v>209</v>
      </c>
      <c r="B832" s="37" t="s">
        <v>177</v>
      </c>
      <c r="C832" s="37" t="s">
        <v>205</v>
      </c>
      <c r="D832" s="37">
        <v>6464</v>
      </c>
      <c r="F832"/>
      <c r="J832"/>
    </row>
    <row r="833" spans="1:10" x14ac:dyDescent="0.25">
      <c r="A833" s="37" t="s">
        <v>210</v>
      </c>
      <c r="B833" s="37" t="s">
        <v>177</v>
      </c>
      <c r="C833" s="37" t="s">
        <v>205</v>
      </c>
      <c r="D833" s="37">
        <v>8672</v>
      </c>
      <c r="F833"/>
      <c r="J833"/>
    </row>
    <row r="834" spans="1:10" x14ac:dyDescent="0.25">
      <c r="A834" s="37" t="s">
        <v>211</v>
      </c>
      <c r="B834" s="37" t="s">
        <v>177</v>
      </c>
      <c r="C834" s="37" t="s">
        <v>205</v>
      </c>
      <c r="D834" s="37">
        <v>3079</v>
      </c>
      <c r="F834"/>
      <c r="J834"/>
    </row>
    <row r="835" spans="1:10" x14ac:dyDescent="0.25">
      <c r="A835" s="37" t="s">
        <v>207</v>
      </c>
      <c r="B835" s="37" t="s">
        <v>177</v>
      </c>
      <c r="C835" s="37" t="s">
        <v>205</v>
      </c>
      <c r="D835" s="37">
        <v>9883</v>
      </c>
      <c r="F835"/>
      <c r="J835"/>
    </row>
    <row r="836" spans="1:10" x14ac:dyDescent="0.25">
      <c r="A836" s="37" t="s">
        <v>208</v>
      </c>
      <c r="B836" s="37" t="s">
        <v>177</v>
      </c>
      <c r="C836" s="37" t="s">
        <v>205</v>
      </c>
      <c r="D836" s="37">
        <v>7127</v>
      </c>
      <c r="F836"/>
      <c r="J836"/>
    </row>
    <row r="837" spans="1:10" x14ac:dyDescent="0.25">
      <c r="A837" s="37" t="s">
        <v>209</v>
      </c>
      <c r="B837" s="37" t="s">
        <v>177</v>
      </c>
      <c r="C837" s="37" t="s">
        <v>205</v>
      </c>
      <c r="D837" s="37">
        <v>9598</v>
      </c>
      <c r="F837"/>
      <c r="J837"/>
    </row>
    <row r="838" spans="1:10" x14ac:dyDescent="0.25">
      <c r="A838" s="37" t="s">
        <v>210</v>
      </c>
      <c r="B838" s="37" t="s">
        <v>177</v>
      </c>
      <c r="C838" s="37" t="s">
        <v>205</v>
      </c>
      <c r="D838" s="37">
        <v>9743</v>
      </c>
      <c r="F838"/>
      <c r="J838"/>
    </row>
    <row r="839" spans="1:10" x14ac:dyDescent="0.25">
      <c r="A839" s="37" t="s">
        <v>211</v>
      </c>
      <c r="B839" s="37" t="s">
        <v>177</v>
      </c>
      <c r="C839" s="37" t="s">
        <v>205</v>
      </c>
      <c r="D839" s="37">
        <v>6896</v>
      </c>
      <c r="F839"/>
      <c r="J839"/>
    </row>
    <row r="840" spans="1:10" x14ac:dyDescent="0.25">
      <c r="A840" s="37" t="s">
        <v>207</v>
      </c>
      <c r="B840" s="37" t="s">
        <v>177</v>
      </c>
      <c r="C840" s="37" t="s">
        <v>205</v>
      </c>
      <c r="D840" s="37">
        <v>5043</v>
      </c>
      <c r="F840"/>
      <c r="J840"/>
    </row>
    <row r="841" spans="1:10" x14ac:dyDescent="0.25">
      <c r="A841" s="37" t="s">
        <v>208</v>
      </c>
      <c r="B841" s="37" t="s">
        <v>177</v>
      </c>
      <c r="C841" s="37" t="s">
        <v>205</v>
      </c>
      <c r="D841" s="37">
        <v>6374</v>
      </c>
      <c r="F841"/>
      <c r="J841"/>
    </row>
    <row r="842" spans="1:10" x14ac:dyDescent="0.25">
      <c r="A842" s="37" t="s">
        <v>209</v>
      </c>
      <c r="B842" s="37" t="s">
        <v>177</v>
      </c>
      <c r="C842" s="37" t="s">
        <v>205</v>
      </c>
      <c r="D842" s="37">
        <v>5581</v>
      </c>
      <c r="F842"/>
      <c r="J842"/>
    </row>
    <row r="843" spans="1:10" x14ac:dyDescent="0.25">
      <c r="A843" s="37" t="s">
        <v>210</v>
      </c>
      <c r="B843" s="37" t="s">
        <v>177</v>
      </c>
      <c r="C843" s="37" t="s">
        <v>205</v>
      </c>
      <c r="D843" s="37">
        <v>7777</v>
      </c>
      <c r="F843"/>
      <c r="J843"/>
    </row>
    <row r="844" spans="1:10" x14ac:dyDescent="0.25">
      <c r="A844" s="37" t="s">
        <v>211</v>
      </c>
      <c r="B844" s="37" t="s">
        <v>177</v>
      </c>
      <c r="C844" s="37" t="s">
        <v>205</v>
      </c>
      <c r="D844" s="37">
        <v>1305</v>
      </c>
      <c r="F844"/>
      <c r="J844"/>
    </row>
    <row r="845" spans="1:10" x14ac:dyDescent="0.25">
      <c r="A845" s="37" t="s">
        <v>207</v>
      </c>
      <c r="B845" s="37" t="s">
        <v>177</v>
      </c>
      <c r="C845" s="37" t="s">
        <v>205</v>
      </c>
      <c r="D845" s="37">
        <v>3064</v>
      </c>
      <c r="F845"/>
      <c r="J845"/>
    </row>
    <row r="846" spans="1:10" x14ac:dyDescent="0.25">
      <c r="A846" s="37" t="s">
        <v>208</v>
      </c>
      <c r="B846" s="37" t="s">
        <v>177</v>
      </c>
      <c r="C846" s="37" t="s">
        <v>205</v>
      </c>
      <c r="D846" s="37">
        <v>9331</v>
      </c>
      <c r="F846"/>
      <c r="J846"/>
    </row>
    <row r="847" spans="1:10" x14ac:dyDescent="0.25">
      <c r="A847" s="37" t="s">
        <v>209</v>
      </c>
      <c r="B847" s="37" t="s">
        <v>177</v>
      </c>
      <c r="C847" s="37" t="s">
        <v>205</v>
      </c>
      <c r="D847" s="37">
        <v>3138</v>
      </c>
      <c r="F847"/>
      <c r="J847"/>
    </row>
    <row r="848" spans="1:10" x14ac:dyDescent="0.25">
      <c r="A848" s="37" t="s">
        <v>210</v>
      </c>
      <c r="B848" s="37" t="s">
        <v>177</v>
      </c>
      <c r="C848" s="37" t="s">
        <v>205</v>
      </c>
      <c r="D848" s="37">
        <v>2263</v>
      </c>
      <c r="F848"/>
      <c r="J848"/>
    </row>
    <row r="849" spans="1:10" x14ac:dyDescent="0.25">
      <c r="A849" s="37" t="s">
        <v>211</v>
      </c>
      <c r="B849" s="37" t="s">
        <v>177</v>
      </c>
      <c r="C849" s="37" t="s">
        <v>205</v>
      </c>
      <c r="D849" s="37">
        <v>5270</v>
      </c>
      <c r="F849"/>
      <c r="J849"/>
    </row>
    <row r="850" spans="1:10" x14ac:dyDescent="0.25">
      <c r="A850" s="37" t="s">
        <v>207</v>
      </c>
      <c r="B850" s="37" t="s">
        <v>177</v>
      </c>
      <c r="C850" s="37" t="s">
        <v>205</v>
      </c>
      <c r="D850" s="37">
        <v>7263</v>
      </c>
      <c r="F850"/>
      <c r="J850"/>
    </row>
    <row r="851" spans="1:10" x14ac:dyDescent="0.25">
      <c r="A851" s="37" t="s">
        <v>208</v>
      </c>
      <c r="B851" s="37" t="s">
        <v>177</v>
      </c>
      <c r="C851" s="37" t="s">
        <v>205</v>
      </c>
      <c r="D851" s="37">
        <v>8301</v>
      </c>
      <c r="F851"/>
      <c r="J851"/>
    </row>
    <row r="852" spans="1:10" x14ac:dyDescent="0.25">
      <c r="A852" s="37" t="s">
        <v>209</v>
      </c>
      <c r="B852" s="37" t="s">
        <v>177</v>
      </c>
      <c r="C852" s="37" t="s">
        <v>205</v>
      </c>
      <c r="D852" s="37">
        <v>9892</v>
      </c>
      <c r="F852"/>
      <c r="J852"/>
    </row>
    <row r="853" spans="1:10" x14ac:dyDescent="0.25">
      <c r="A853" s="37" t="s">
        <v>210</v>
      </c>
      <c r="B853" s="37" t="s">
        <v>177</v>
      </c>
      <c r="C853" s="37" t="s">
        <v>205</v>
      </c>
      <c r="D853" s="37">
        <v>2433</v>
      </c>
      <c r="F853"/>
      <c r="J853"/>
    </row>
    <row r="854" spans="1:10" x14ac:dyDescent="0.25">
      <c r="A854" s="37" t="s">
        <v>211</v>
      </c>
      <c r="B854" s="37" t="s">
        <v>177</v>
      </c>
      <c r="C854" s="37" t="s">
        <v>205</v>
      </c>
      <c r="D854" s="37">
        <v>4526</v>
      </c>
      <c r="F854"/>
      <c r="J854"/>
    </row>
    <row r="855" spans="1:10" x14ac:dyDescent="0.25">
      <c r="A855" s="37" t="s">
        <v>207</v>
      </c>
      <c r="B855" s="37" t="s">
        <v>177</v>
      </c>
      <c r="C855" s="37" t="s">
        <v>205</v>
      </c>
      <c r="D855" s="37">
        <v>8279</v>
      </c>
      <c r="F855"/>
      <c r="J855"/>
    </row>
    <row r="856" spans="1:10" x14ac:dyDescent="0.25">
      <c r="A856" s="37" t="s">
        <v>208</v>
      </c>
      <c r="B856" s="37" t="s">
        <v>177</v>
      </c>
      <c r="C856" s="37" t="s">
        <v>205</v>
      </c>
      <c r="D856" s="37">
        <v>5072</v>
      </c>
      <c r="F856"/>
      <c r="J856"/>
    </row>
    <row r="857" spans="1:10" x14ac:dyDescent="0.25">
      <c r="A857" s="37" t="s">
        <v>209</v>
      </c>
      <c r="B857" s="37" t="s">
        <v>177</v>
      </c>
      <c r="C857" s="37" t="s">
        <v>205</v>
      </c>
      <c r="D857" s="37">
        <v>2516</v>
      </c>
      <c r="F857"/>
      <c r="J857"/>
    </row>
    <row r="858" spans="1:10" x14ac:dyDescent="0.25">
      <c r="A858" s="37" t="s">
        <v>210</v>
      </c>
      <c r="B858" s="37" t="s">
        <v>177</v>
      </c>
      <c r="C858" s="37" t="s">
        <v>205</v>
      </c>
      <c r="D858" s="37">
        <v>8963</v>
      </c>
      <c r="F858"/>
      <c r="J858"/>
    </row>
    <row r="859" spans="1:10" x14ac:dyDescent="0.25">
      <c r="A859" s="37" t="s">
        <v>211</v>
      </c>
      <c r="B859" s="37" t="s">
        <v>177</v>
      </c>
      <c r="C859" s="37" t="s">
        <v>205</v>
      </c>
      <c r="D859" s="37">
        <v>1254</v>
      </c>
      <c r="F859"/>
      <c r="J859"/>
    </row>
    <row r="860" spans="1:10" x14ac:dyDescent="0.25">
      <c r="A860" s="37" t="s">
        <v>207</v>
      </c>
      <c r="B860" s="37" t="s">
        <v>177</v>
      </c>
      <c r="C860" s="37" t="s">
        <v>205</v>
      </c>
      <c r="D860" s="37">
        <v>1495</v>
      </c>
      <c r="F860"/>
      <c r="J860"/>
    </row>
    <row r="861" spans="1:10" x14ac:dyDescent="0.25">
      <c r="A861" s="37" t="s">
        <v>208</v>
      </c>
      <c r="B861" s="37" t="s">
        <v>177</v>
      </c>
      <c r="C861" s="37" t="s">
        <v>205</v>
      </c>
      <c r="D861" s="37">
        <v>3716</v>
      </c>
      <c r="F861"/>
      <c r="J861"/>
    </row>
    <row r="862" spans="1:10" x14ac:dyDescent="0.25">
      <c r="A862" s="37" t="s">
        <v>209</v>
      </c>
      <c r="B862" s="37" t="s">
        <v>177</v>
      </c>
      <c r="C862" s="37" t="s">
        <v>205</v>
      </c>
      <c r="D862" s="37">
        <v>2161</v>
      </c>
      <c r="F862"/>
      <c r="J862"/>
    </row>
    <row r="863" spans="1:10" x14ac:dyDescent="0.25">
      <c r="A863" s="37" t="s">
        <v>210</v>
      </c>
      <c r="B863" s="37" t="s">
        <v>177</v>
      </c>
      <c r="C863" s="37" t="s">
        <v>205</v>
      </c>
      <c r="D863" s="37">
        <v>3124</v>
      </c>
      <c r="F863"/>
      <c r="J863"/>
    </row>
    <row r="864" spans="1:10" x14ac:dyDescent="0.25">
      <c r="A864" s="37" t="s">
        <v>211</v>
      </c>
      <c r="B864" s="37" t="s">
        <v>177</v>
      </c>
      <c r="C864" s="37" t="s">
        <v>205</v>
      </c>
      <c r="D864" s="37">
        <v>9287</v>
      </c>
      <c r="F864"/>
      <c r="J864"/>
    </row>
    <row r="865" spans="1:10" x14ac:dyDescent="0.25">
      <c r="A865" s="37" t="s">
        <v>207</v>
      </c>
      <c r="B865" s="37" t="s">
        <v>177</v>
      </c>
      <c r="C865" s="37" t="s">
        <v>205</v>
      </c>
      <c r="D865" s="37">
        <v>1761</v>
      </c>
      <c r="F865"/>
      <c r="J865"/>
    </row>
    <row r="866" spans="1:10" x14ac:dyDescent="0.25">
      <c r="A866" s="37" t="s">
        <v>208</v>
      </c>
      <c r="B866" s="37" t="s">
        <v>177</v>
      </c>
      <c r="C866" s="37" t="s">
        <v>205</v>
      </c>
      <c r="D866" s="37">
        <v>1904</v>
      </c>
      <c r="F866"/>
      <c r="J866"/>
    </row>
    <row r="867" spans="1:10" x14ac:dyDescent="0.25">
      <c r="A867" s="37" t="s">
        <v>209</v>
      </c>
      <c r="B867" s="37" t="s">
        <v>177</v>
      </c>
      <c r="C867" s="37" t="s">
        <v>205</v>
      </c>
      <c r="D867" s="37">
        <v>2107</v>
      </c>
      <c r="F867"/>
      <c r="J867"/>
    </row>
    <row r="868" spans="1:10" x14ac:dyDescent="0.25">
      <c r="A868" s="37" t="s">
        <v>210</v>
      </c>
      <c r="B868" s="37" t="s">
        <v>177</v>
      </c>
      <c r="C868" s="37" t="s">
        <v>205</v>
      </c>
      <c r="D868" s="37">
        <v>8812</v>
      </c>
      <c r="F868"/>
      <c r="J868"/>
    </row>
    <row r="869" spans="1:10" x14ac:dyDescent="0.25">
      <c r="A869" s="37" t="s">
        <v>211</v>
      </c>
      <c r="B869" s="37" t="s">
        <v>177</v>
      </c>
      <c r="C869" s="37" t="s">
        <v>205</v>
      </c>
      <c r="D869" s="37">
        <v>9105</v>
      </c>
      <c r="F869"/>
      <c r="J869"/>
    </row>
    <row r="870" spans="1:10" x14ac:dyDescent="0.25">
      <c r="A870" s="37" t="s">
        <v>207</v>
      </c>
      <c r="B870" s="37" t="s">
        <v>177</v>
      </c>
      <c r="C870" s="37" t="s">
        <v>205</v>
      </c>
      <c r="D870" s="37">
        <v>4263</v>
      </c>
      <c r="F870"/>
      <c r="J870"/>
    </row>
    <row r="871" spans="1:10" x14ac:dyDescent="0.25">
      <c r="A871" s="37" t="s">
        <v>208</v>
      </c>
      <c r="B871" s="37" t="s">
        <v>177</v>
      </c>
      <c r="C871" s="37" t="s">
        <v>205</v>
      </c>
      <c r="D871" s="37">
        <v>7220</v>
      </c>
      <c r="F871"/>
      <c r="J871"/>
    </row>
    <row r="872" spans="1:10" x14ac:dyDescent="0.25">
      <c r="A872" s="37" t="s">
        <v>209</v>
      </c>
      <c r="B872" s="37" t="s">
        <v>177</v>
      </c>
      <c r="C872" s="37" t="s">
        <v>205</v>
      </c>
      <c r="D872" s="37">
        <v>3567</v>
      </c>
      <c r="F872"/>
      <c r="J872"/>
    </row>
    <row r="873" spans="1:10" x14ac:dyDescent="0.25">
      <c r="A873" s="37" t="s">
        <v>210</v>
      </c>
      <c r="B873" s="37" t="s">
        <v>177</v>
      </c>
      <c r="C873" s="37" t="s">
        <v>205</v>
      </c>
      <c r="D873" s="37">
        <v>5826</v>
      </c>
      <c r="F873"/>
      <c r="J873"/>
    </row>
    <row r="874" spans="1:10" x14ac:dyDescent="0.25">
      <c r="A874" s="37" t="s">
        <v>211</v>
      </c>
      <c r="B874" s="37" t="s">
        <v>177</v>
      </c>
      <c r="C874" s="37" t="s">
        <v>205</v>
      </c>
      <c r="D874" s="37">
        <v>7904</v>
      </c>
      <c r="F874"/>
      <c r="J874"/>
    </row>
    <row r="875" spans="1:10" x14ac:dyDescent="0.25">
      <c r="A875" s="37" t="s">
        <v>207</v>
      </c>
      <c r="B875" s="37" t="s">
        <v>177</v>
      </c>
      <c r="C875" s="37" t="s">
        <v>205</v>
      </c>
      <c r="D875" s="37">
        <v>1256</v>
      </c>
      <c r="F875"/>
      <c r="J875"/>
    </row>
    <row r="876" spans="1:10" x14ac:dyDescent="0.25">
      <c r="A876" s="37" t="s">
        <v>208</v>
      </c>
      <c r="B876" s="37" t="s">
        <v>177</v>
      </c>
      <c r="C876" s="37" t="s">
        <v>205</v>
      </c>
      <c r="D876" s="37">
        <v>8992</v>
      </c>
      <c r="F876"/>
      <c r="J876"/>
    </row>
    <row r="877" spans="1:10" x14ac:dyDescent="0.25">
      <c r="A877" s="37" t="s">
        <v>209</v>
      </c>
      <c r="B877" s="37" t="s">
        <v>177</v>
      </c>
      <c r="C877" s="37" t="s">
        <v>205</v>
      </c>
      <c r="D877" s="37">
        <v>7761</v>
      </c>
      <c r="F877"/>
      <c r="J877"/>
    </row>
    <row r="878" spans="1:10" x14ac:dyDescent="0.25">
      <c r="A878" s="37" t="s">
        <v>210</v>
      </c>
      <c r="B878" s="37" t="s">
        <v>177</v>
      </c>
      <c r="C878" s="37" t="s">
        <v>205</v>
      </c>
      <c r="D878" s="37">
        <v>3910</v>
      </c>
      <c r="F878"/>
      <c r="J878"/>
    </row>
    <row r="879" spans="1:10" x14ac:dyDescent="0.25">
      <c r="A879" s="37" t="s">
        <v>211</v>
      </c>
      <c r="B879" s="37" t="s">
        <v>177</v>
      </c>
      <c r="C879" s="37" t="s">
        <v>205</v>
      </c>
      <c r="D879" s="37">
        <v>2259</v>
      </c>
      <c r="F879"/>
      <c r="J879"/>
    </row>
    <row r="880" spans="1:10" x14ac:dyDescent="0.25">
      <c r="A880" s="37" t="s">
        <v>207</v>
      </c>
      <c r="B880" s="37" t="s">
        <v>177</v>
      </c>
      <c r="C880" s="37" t="s">
        <v>205</v>
      </c>
      <c r="D880" s="37">
        <v>3708</v>
      </c>
      <c r="F880"/>
      <c r="J880"/>
    </row>
    <row r="881" spans="1:10" x14ac:dyDescent="0.25">
      <c r="A881" s="37" t="s">
        <v>208</v>
      </c>
      <c r="B881" s="37" t="s">
        <v>177</v>
      </c>
      <c r="C881" s="37" t="s">
        <v>205</v>
      </c>
      <c r="D881" s="37">
        <v>6490</v>
      </c>
      <c r="F881"/>
      <c r="J881"/>
    </row>
    <row r="882" spans="1:10" x14ac:dyDescent="0.25">
      <c r="A882" s="37" t="s">
        <v>209</v>
      </c>
      <c r="B882" s="37" t="s">
        <v>177</v>
      </c>
      <c r="C882" s="37" t="s">
        <v>205</v>
      </c>
      <c r="D882" s="37">
        <v>4001</v>
      </c>
      <c r="F882"/>
      <c r="J882"/>
    </row>
    <row r="883" spans="1:10" x14ac:dyDescent="0.25">
      <c r="A883" s="37" t="s">
        <v>210</v>
      </c>
      <c r="B883" s="37" t="s">
        <v>177</v>
      </c>
      <c r="C883" s="37" t="s">
        <v>205</v>
      </c>
      <c r="D883" s="37">
        <v>7591</v>
      </c>
      <c r="F883"/>
      <c r="J883"/>
    </row>
    <row r="884" spans="1:10" x14ac:dyDescent="0.25">
      <c r="A884" s="37" t="s">
        <v>211</v>
      </c>
      <c r="B884" s="37" t="s">
        <v>177</v>
      </c>
      <c r="C884" s="37" t="s">
        <v>205</v>
      </c>
      <c r="D884" s="37">
        <v>6623</v>
      </c>
      <c r="F884"/>
      <c r="J884"/>
    </row>
    <row r="885" spans="1:10" x14ac:dyDescent="0.25">
      <c r="A885" s="37" t="s">
        <v>207</v>
      </c>
      <c r="B885" s="37" t="s">
        <v>177</v>
      </c>
      <c r="C885" s="37" t="s">
        <v>205</v>
      </c>
      <c r="D885" s="37">
        <v>8542</v>
      </c>
      <c r="F885"/>
      <c r="J885"/>
    </row>
    <row r="886" spans="1:10" x14ac:dyDescent="0.25">
      <c r="A886" s="37" t="s">
        <v>208</v>
      </c>
      <c r="B886" s="37" t="s">
        <v>177</v>
      </c>
      <c r="C886" s="37" t="s">
        <v>205</v>
      </c>
      <c r="D886" s="37">
        <v>2549</v>
      </c>
      <c r="F886"/>
      <c r="J886"/>
    </row>
    <row r="887" spans="1:10" x14ac:dyDescent="0.25">
      <c r="A887" s="37" t="s">
        <v>209</v>
      </c>
      <c r="B887" s="37" t="s">
        <v>177</v>
      </c>
      <c r="C887" s="37" t="s">
        <v>205</v>
      </c>
      <c r="D887" s="37">
        <v>2419</v>
      </c>
      <c r="F887"/>
      <c r="J887"/>
    </row>
    <row r="888" spans="1:10" x14ac:dyDescent="0.25">
      <c r="A888" s="37" t="s">
        <v>210</v>
      </c>
      <c r="B888" s="37" t="s">
        <v>177</v>
      </c>
      <c r="C888" s="37" t="s">
        <v>205</v>
      </c>
      <c r="D888" s="37">
        <v>2784</v>
      </c>
      <c r="F888"/>
      <c r="J888"/>
    </row>
    <row r="889" spans="1:10" x14ac:dyDescent="0.25">
      <c r="A889" s="37" t="s">
        <v>211</v>
      </c>
      <c r="B889" s="37" t="s">
        <v>177</v>
      </c>
      <c r="C889" s="37" t="s">
        <v>205</v>
      </c>
      <c r="D889" s="37">
        <v>5128</v>
      </c>
      <c r="F889"/>
      <c r="J889"/>
    </row>
    <row r="890" spans="1:10" x14ac:dyDescent="0.25">
      <c r="A890" s="37" t="s">
        <v>207</v>
      </c>
      <c r="B890" s="37" t="s">
        <v>177</v>
      </c>
      <c r="C890" s="37" t="s">
        <v>205</v>
      </c>
      <c r="D890" s="37">
        <v>3241</v>
      </c>
      <c r="F890"/>
      <c r="J890"/>
    </row>
    <row r="891" spans="1:10" x14ac:dyDescent="0.25">
      <c r="A891" s="37" t="s">
        <v>208</v>
      </c>
      <c r="B891" s="37" t="s">
        <v>177</v>
      </c>
      <c r="C891" s="37" t="s">
        <v>205</v>
      </c>
      <c r="D891" s="37">
        <v>9733</v>
      </c>
      <c r="F891"/>
      <c r="J891"/>
    </row>
    <row r="892" spans="1:10" x14ac:dyDescent="0.25">
      <c r="A892" s="37" t="s">
        <v>209</v>
      </c>
      <c r="B892" s="37" t="s">
        <v>177</v>
      </c>
      <c r="C892" s="37" t="s">
        <v>205</v>
      </c>
      <c r="D892" s="37">
        <v>3635</v>
      </c>
      <c r="F892"/>
      <c r="J892"/>
    </row>
    <row r="893" spans="1:10" x14ac:dyDescent="0.25">
      <c r="A893" s="37" t="s">
        <v>210</v>
      </c>
      <c r="B893" s="37" t="s">
        <v>177</v>
      </c>
      <c r="C893" s="37" t="s">
        <v>205</v>
      </c>
      <c r="D893" s="37">
        <v>4288</v>
      </c>
      <c r="F893"/>
      <c r="J893"/>
    </row>
    <row r="894" spans="1:10" x14ac:dyDescent="0.25">
      <c r="A894" s="37" t="s">
        <v>211</v>
      </c>
      <c r="B894" s="37" t="s">
        <v>177</v>
      </c>
      <c r="C894" s="37" t="s">
        <v>205</v>
      </c>
      <c r="D894" s="37">
        <v>1044</v>
      </c>
      <c r="F894"/>
      <c r="J894"/>
    </row>
    <row r="895" spans="1:10" x14ac:dyDescent="0.25">
      <c r="A895" s="37" t="s">
        <v>207</v>
      </c>
      <c r="B895" s="37" t="s">
        <v>177</v>
      </c>
      <c r="C895" s="37" t="s">
        <v>205</v>
      </c>
      <c r="D895" s="37">
        <v>1575</v>
      </c>
      <c r="F895"/>
      <c r="J895"/>
    </row>
    <row r="896" spans="1:10" x14ac:dyDescent="0.25">
      <c r="A896" s="37" t="s">
        <v>208</v>
      </c>
      <c r="B896" s="37" t="s">
        <v>177</v>
      </c>
      <c r="C896" s="37" t="s">
        <v>205</v>
      </c>
      <c r="D896" s="37">
        <v>2743</v>
      </c>
      <c r="F896"/>
      <c r="J896"/>
    </row>
    <row r="897" spans="1:10" x14ac:dyDescent="0.25">
      <c r="A897" s="37" t="s">
        <v>209</v>
      </c>
      <c r="B897" s="37" t="s">
        <v>177</v>
      </c>
      <c r="C897" s="37" t="s">
        <v>205</v>
      </c>
      <c r="D897" s="37">
        <v>5665</v>
      </c>
      <c r="F897"/>
      <c r="J897"/>
    </row>
    <row r="898" spans="1:10" x14ac:dyDescent="0.25">
      <c r="A898" s="37" t="s">
        <v>210</v>
      </c>
      <c r="B898" s="37" t="s">
        <v>177</v>
      </c>
      <c r="C898" s="37" t="s">
        <v>205</v>
      </c>
      <c r="D898" s="37">
        <v>1348</v>
      </c>
      <c r="F898"/>
      <c r="J898"/>
    </row>
    <row r="899" spans="1:10" x14ac:dyDescent="0.25">
      <c r="A899" s="37" t="s">
        <v>211</v>
      </c>
      <c r="B899" s="37" t="s">
        <v>177</v>
      </c>
      <c r="C899" s="37" t="s">
        <v>205</v>
      </c>
      <c r="D899" s="37">
        <v>6666</v>
      </c>
      <c r="F899"/>
      <c r="J899"/>
    </row>
    <row r="900" spans="1:10" x14ac:dyDescent="0.25">
      <c r="A900" s="37" t="s">
        <v>207</v>
      </c>
      <c r="B900" s="37" t="s">
        <v>177</v>
      </c>
      <c r="C900" s="37" t="s">
        <v>205</v>
      </c>
      <c r="D900" s="37">
        <v>5877</v>
      </c>
      <c r="F900"/>
      <c r="J900"/>
    </row>
    <row r="901" spans="1:10" x14ac:dyDescent="0.25">
      <c r="A901" s="37" t="s">
        <v>208</v>
      </c>
      <c r="B901" s="37" t="s">
        <v>177</v>
      </c>
      <c r="C901" s="37" t="s">
        <v>205</v>
      </c>
      <c r="D901" s="37">
        <v>5492</v>
      </c>
      <c r="F901"/>
      <c r="J901"/>
    </row>
    <row r="902" spans="1:10" x14ac:dyDescent="0.25">
      <c r="A902" s="37" t="s">
        <v>209</v>
      </c>
      <c r="B902" s="37" t="s">
        <v>177</v>
      </c>
      <c r="C902" s="37" t="s">
        <v>205</v>
      </c>
      <c r="D902" s="37">
        <v>2232</v>
      </c>
      <c r="F902"/>
      <c r="J902"/>
    </row>
    <row r="903" spans="1:10" x14ac:dyDescent="0.25">
      <c r="A903" s="37" t="s">
        <v>210</v>
      </c>
      <c r="B903" s="37" t="s">
        <v>177</v>
      </c>
      <c r="C903" s="37" t="s">
        <v>205</v>
      </c>
      <c r="D903" s="37">
        <v>2788</v>
      </c>
      <c r="F903"/>
      <c r="J903"/>
    </row>
    <row r="904" spans="1:10" x14ac:dyDescent="0.25">
      <c r="A904" s="37" t="s">
        <v>211</v>
      </c>
      <c r="B904" s="37" t="s">
        <v>177</v>
      </c>
      <c r="C904" s="37" t="s">
        <v>205</v>
      </c>
      <c r="D904" s="37">
        <v>1390</v>
      </c>
      <c r="F904"/>
      <c r="J904"/>
    </row>
    <row r="905" spans="1:10" x14ac:dyDescent="0.25">
      <c r="A905" s="37" t="s">
        <v>207</v>
      </c>
      <c r="B905" s="37" t="s">
        <v>177</v>
      </c>
      <c r="C905" s="37" t="s">
        <v>205</v>
      </c>
      <c r="D905" s="37">
        <v>2459</v>
      </c>
      <c r="F905"/>
      <c r="J905"/>
    </row>
    <row r="906" spans="1:10" x14ac:dyDescent="0.25">
      <c r="A906" s="37" t="s">
        <v>208</v>
      </c>
      <c r="B906" s="37" t="s">
        <v>177</v>
      </c>
      <c r="C906" s="37" t="s">
        <v>205</v>
      </c>
      <c r="D906" s="37">
        <v>5214</v>
      </c>
      <c r="F906"/>
      <c r="J906"/>
    </row>
    <row r="907" spans="1:10" x14ac:dyDescent="0.25">
      <c r="A907" s="37" t="s">
        <v>209</v>
      </c>
      <c r="B907" s="37" t="s">
        <v>177</v>
      </c>
      <c r="C907" s="37" t="s">
        <v>205</v>
      </c>
      <c r="D907" s="37">
        <v>6482</v>
      </c>
      <c r="F907"/>
      <c r="J907"/>
    </row>
    <row r="908" spans="1:10" x14ac:dyDescent="0.25">
      <c r="A908" s="37" t="s">
        <v>210</v>
      </c>
      <c r="B908" s="37" t="s">
        <v>177</v>
      </c>
      <c r="C908" s="37" t="s">
        <v>205</v>
      </c>
      <c r="D908" s="37">
        <v>4878</v>
      </c>
      <c r="F908"/>
      <c r="J908"/>
    </row>
    <row r="909" spans="1:10" x14ac:dyDescent="0.25">
      <c r="A909" s="37" t="s">
        <v>211</v>
      </c>
      <c r="B909" s="37" t="s">
        <v>177</v>
      </c>
      <c r="C909" s="37" t="s">
        <v>205</v>
      </c>
      <c r="D909" s="37">
        <v>4285</v>
      </c>
      <c r="F909"/>
      <c r="J909"/>
    </row>
    <row r="910" spans="1:10" x14ac:dyDescent="0.25">
      <c r="A910" s="37" t="s">
        <v>207</v>
      </c>
      <c r="B910" s="37" t="s">
        <v>177</v>
      </c>
      <c r="C910" s="37" t="s">
        <v>205</v>
      </c>
      <c r="D910" s="37">
        <v>6896</v>
      </c>
      <c r="F910"/>
      <c r="J910"/>
    </row>
    <row r="911" spans="1:10" x14ac:dyDescent="0.25">
      <c r="A911" s="37" t="s">
        <v>208</v>
      </c>
      <c r="B911" s="37" t="s">
        <v>177</v>
      </c>
      <c r="C911" s="37" t="s">
        <v>205</v>
      </c>
      <c r="D911" s="37">
        <v>9418</v>
      </c>
      <c r="F911"/>
      <c r="J911"/>
    </row>
    <row r="912" spans="1:10" x14ac:dyDescent="0.25">
      <c r="A912" s="37" t="s">
        <v>209</v>
      </c>
      <c r="B912" s="37" t="s">
        <v>177</v>
      </c>
      <c r="C912" s="37" t="s">
        <v>205</v>
      </c>
      <c r="D912" s="37">
        <v>8081</v>
      </c>
      <c r="F912"/>
      <c r="J912"/>
    </row>
    <row r="913" spans="1:10" x14ac:dyDescent="0.25">
      <c r="A913" s="37" t="s">
        <v>210</v>
      </c>
      <c r="B913" s="37" t="s">
        <v>177</v>
      </c>
      <c r="C913" s="37" t="s">
        <v>205</v>
      </c>
      <c r="D913" s="37">
        <v>1861</v>
      </c>
      <c r="F913"/>
      <c r="J913"/>
    </row>
    <row r="914" spans="1:10" x14ac:dyDescent="0.25">
      <c r="A914" s="37" t="s">
        <v>211</v>
      </c>
      <c r="B914" s="37" t="s">
        <v>177</v>
      </c>
      <c r="C914" s="37" t="s">
        <v>205</v>
      </c>
      <c r="D914" s="37">
        <v>2196</v>
      </c>
      <c r="F914"/>
      <c r="J914"/>
    </row>
    <row r="915" spans="1:10" x14ac:dyDescent="0.25">
      <c r="A915" s="37" t="s">
        <v>212</v>
      </c>
      <c r="B915" s="37" t="s">
        <v>177</v>
      </c>
      <c r="C915" s="37" t="s">
        <v>205</v>
      </c>
      <c r="D915" s="37">
        <v>2857</v>
      </c>
      <c r="F915"/>
      <c r="J915"/>
    </row>
    <row r="916" spans="1:10" x14ac:dyDescent="0.25">
      <c r="A916" s="37" t="s">
        <v>207</v>
      </c>
      <c r="B916" s="37" t="s">
        <v>177</v>
      </c>
      <c r="C916" s="37" t="s">
        <v>205</v>
      </c>
      <c r="D916" s="37">
        <v>2105</v>
      </c>
      <c r="F916"/>
      <c r="J916"/>
    </row>
    <row r="917" spans="1:10" x14ac:dyDescent="0.25">
      <c r="A917" s="37" t="s">
        <v>208</v>
      </c>
      <c r="B917" s="37" t="s">
        <v>177</v>
      </c>
      <c r="C917" s="37" t="s">
        <v>205</v>
      </c>
      <c r="D917" s="37">
        <v>4887</v>
      </c>
      <c r="F917"/>
      <c r="J917"/>
    </row>
    <row r="918" spans="1:10" x14ac:dyDescent="0.25">
      <c r="A918" s="37" t="s">
        <v>209</v>
      </c>
      <c r="B918" s="37" t="s">
        <v>177</v>
      </c>
      <c r="C918" s="37" t="s">
        <v>205</v>
      </c>
      <c r="D918" s="37">
        <v>8993</v>
      </c>
      <c r="F918"/>
      <c r="J918"/>
    </row>
    <row r="919" spans="1:10" x14ac:dyDescent="0.25">
      <c r="A919" s="37" t="s">
        <v>210</v>
      </c>
      <c r="B919" s="37" t="s">
        <v>177</v>
      </c>
      <c r="C919" s="37" t="s">
        <v>205</v>
      </c>
      <c r="D919" s="37">
        <v>2832</v>
      </c>
      <c r="F919"/>
      <c r="J919"/>
    </row>
    <row r="920" spans="1:10" x14ac:dyDescent="0.25">
      <c r="A920" s="37" t="s">
        <v>211</v>
      </c>
      <c r="B920" s="37" t="s">
        <v>177</v>
      </c>
      <c r="C920" s="37" t="s">
        <v>205</v>
      </c>
      <c r="D920" s="37">
        <v>8949</v>
      </c>
      <c r="F920"/>
      <c r="J920"/>
    </row>
    <row r="921" spans="1:10" x14ac:dyDescent="0.25">
      <c r="A921" s="37" t="s">
        <v>212</v>
      </c>
      <c r="B921" s="37" t="s">
        <v>177</v>
      </c>
      <c r="C921" s="37" t="s">
        <v>205</v>
      </c>
      <c r="D921" s="37">
        <v>8167</v>
      </c>
      <c r="F921"/>
      <c r="J921"/>
    </row>
    <row r="922" spans="1:10" x14ac:dyDescent="0.25">
      <c r="A922" s="37" t="s">
        <v>207</v>
      </c>
      <c r="B922" s="37" t="s">
        <v>177</v>
      </c>
      <c r="C922" s="37" t="s">
        <v>205</v>
      </c>
      <c r="D922" s="37">
        <v>1982</v>
      </c>
      <c r="F922"/>
      <c r="J922"/>
    </row>
    <row r="923" spans="1:10" x14ac:dyDescent="0.25">
      <c r="A923" s="37" t="s">
        <v>208</v>
      </c>
      <c r="B923" s="37" t="s">
        <v>177</v>
      </c>
      <c r="C923" s="37" t="s">
        <v>205</v>
      </c>
      <c r="D923" s="37">
        <v>9393</v>
      </c>
      <c r="F923"/>
      <c r="J923"/>
    </row>
    <row r="924" spans="1:10" x14ac:dyDescent="0.25">
      <c r="A924" s="37" t="s">
        <v>209</v>
      </c>
      <c r="B924" s="37" t="s">
        <v>177</v>
      </c>
      <c r="C924" s="37" t="s">
        <v>205</v>
      </c>
      <c r="D924" s="37">
        <v>3595</v>
      </c>
      <c r="F924"/>
      <c r="J924"/>
    </row>
    <row r="925" spans="1:10" x14ac:dyDescent="0.25">
      <c r="A925" s="37" t="s">
        <v>210</v>
      </c>
      <c r="B925" s="37" t="s">
        <v>177</v>
      </c>
      <c r="C925" s="37" t="s">
        <v>205</v>
      </c>
      <c r="D925" s="37">
        <v>7052</v>
      </c>
      <c r="F925"/>
      <c r="J925"/>
    </row>
    <row r="926" spans="1:10" x14ac:dyDescent="0.25">
      <c r="A926" s="37" t="s">
        <v>211</v>
      </c>
      <c r="B926" s="37" t="s">
        <v>177</v>
      </c>
      <c r="C926" s="37" t="s">
        <v>205</v>
      </c>
      <c r="D926" s="37">
        <v>7636</v>
      </c>
      <c r="F926"/>
      <c r="J926"/>
    </row>
    <row r="927" spans="1:10" x14ac:dyDescent="0.25">
      <c r="A927" s="37" t="s">
        <v>207</v>
      </c>
      <c r="B927" s="37" t="s">
        <v>177</v>
      </c>
      <c r="C927" s="37" t="s">
        <v>205</v>
      </c>
      <c r="D927" s="37">
        <v>3162</v>
      </c>
      <c r="F927"/>
      <c r="J927"/>
    </row>
    <row r="928" spans="1:10" x14ac:dyDescent="0.25">
      <c r="A928" s="37" t="s">
        <v>208</v>
      </c>
      <c r="B928" s="37" t="s">
        <v>177</v>
      </c>
      <c r="C928" s="37" t="s">
        <v>205</v>
      </c>
      <c r="D928" s="37">
        <v>9702</v>
      </c>
      <c r="F928"/>
      <c r="J928"/>
    </row>
    <row r="929" spans="1:10" x14ac:dyDescent="0.25">
      <c r="A929" s="37" t="s">
        <v>209</v>
      </c>
      <c r="B929" s="37" t="s">
        <v>177</v>
      </c>
      <c r="C929" s="37" t="s">
        <v>205</v>
      </c>
      <c r="D929" s="37">
        <v>4652</v>
      </c>
      <c r="F929"/>
      <c r="J929"/>
    </row>
    <row r="930" spans="1:10" x14ac:dyDescent="0.25">
      <c r="A930" s="37" t="s">
        <v>210</v>
      </c>
      <c r="B930" s="37" t="s">
        <v>177</v>
      </c>
      <c r="C930" s="37" t="s">
        <v>205</v>
      </c>
      <c r="D930" s="37">
        <v>2827</v>
      </c>
      <c r="F930"/>
      <c r="J930"/>
    </row>
    <row r="931" spans="1:10" x14ac:dyDescent="0.25">
      <c r="A931" s="37" t="s">
        <v>211</v>
      </c>
      <c r="B931" s="37" t="s">
        <v>177</v>
      </c>
      <c r="C931" s="37" t="s">
        <v>205</v>
      </c>
      <c r="D931" s="37">
        <v>1006</v>
      </c>
      <c r="F931"/>
      <c r="J931"/>
    </row>
    <row r="932" spans="1:10" x14ac:dyDescent="0.25">
      <c r="A932" s="37" t="s">
        <v>207</v>
      </c>
      <c r="B932" s="37" t="s">
        <v>177</v>
      </c>
      <c r="C932" s="37" t="s">
        <v>205</v>
      </c>
      <c r="D932" s="37">
        <v>1963</v>
      </c>
      <c r="F932"/>
      <c r="J932"/>
    </row>
    <row r="933" spans="1:10" x14ac:dyDescent="0.25">
      <c r="A933" s="37" t="s">
        <v>208</v>
      </c>
      <c r="B933" s="37" t="s">
        <v>177</v>
      </c>
      <c r="C933" s="37" t="s">
        <v>205</v>
      </c>
      <c r="D933" s="37">
        <v>1780</v>
      </c>
      <c r="F933"/>
      <c r="J933"/>
    </row>
    <row r="934" spans="1:10" x14ac:dyDescent="0.25">
      <c r="A934" s="37" t="s">
        <v>209</v>
      </c>
      <c r="B934" s="37" t="s">
        <v>177</v>
      </c>
      <c r="C934" s="37" t="s">
        <v>205</v>
      </c>
      <c r="D934" s="37">
        <v>7901</v>
      </c>
      <c r="F934"/>
      <c r="J934"/>
    </row>
    <row r="935" spans="1:10" x14ac:dyDescent="0.25">
      <c r="A935" s="37" t="s">
        <v>210</v>
      </c>
      <c r="B935" s="37" t="s">
        <v>177</v>
      </c>
      <c r="C935" s="37" t="s">
        <v>205</v>
      </c>
      <c r="D935" s="37">
        <v>1048</v>
      </c>
      <c r="F935"/>
      <c r="J935"/>
    </row>
    <row r="936" spans="1:10" x14ac:dyDescent="0.25">
      <c r="A936" s="37" t="s">
        <v>211</v>
      </c>
      <c r="B936" s="37" t="s">
        <v>177</v>
      </c>
      <c r="C936" s="37" t="s">
        <v>205</v>
      </c>
      <c r="D936" s="37">
        <v>2969</v>
      </c>
      <c r="F936"/>
      <c r="J936"/>
    </row>
    <row r="937" spans="1:10" x14ac:dyDescent="0.25">
      <c r="A937" s="37" t="s">
        <v>207</v>
      </c>
      <c r="B937" s="37" t="s">
        <v>177</v>
      </c>
      <c r="C937" s="37" t="s">
        <v>205</v>
      </c>
      <c r="D937" s="37">
        <v>1458</v>
      </c>
      <c r="F937"/>
      <c r="J937"/>
    </row>
    <row r="938" spans="1:10" x14ac:dyDescent="0.25">
      <c r="A938" s="37" t="s">
        <v>208</v>
      </c>
      <c r="B938" s="37" t="s">
        <v>177</v>
      </c>
      <c r="C938" s="37" t="s">
        <v>205</v>
      </c>
      <c r="D938" s="37">
        <v>7998</v>
      </c>
      <c r="F938"/>
      <c r="J938"/>
    </row>
    <row r="939" spans="1:10" x14ac:dyDescent="0.25">
      <c r="A939" s="37" t="s">
        <v>209</v>
      </c>
      <c r="B939" s="37" t="s">
        <v>177</v>
      </c>
      <c r="C939" s="37" t="s">
        <v>205</v>
      </c>
      <c r="D939" s="37">
        <v>7163</v>
      </c>
      <c r="F939"/>
      <c r="J939"/>
    </row>
    <row r="940" spans="1:10" x14ac:dyDescent="0.25">
      <c r="A940" s="37" t="s">
        <v>210</v>
      </c>
      <c r="B940" s="37" t="s">
        <v>177</v>
      </c>
      <c r="C940" s="37" t="s">
        <v>205</v>
      </c>
      <c r="D940" s="37">
        <v>4412</v>
      </c>
      <c r="F940"/>
      <c r="J940"/>
    </row>
    <row r="941" spans="1:10" x14ac:dyDescent="0.25">
      <c r="A941" s="37" t="s">
        <v>211</v>
      </c>
      <c r="B941" s="37" t="s">
        <v>177</v>
      </c>
      <c r="C941" s="37" t="s">
        <v>205</v>
      </c>
      <c r="D941" s="37">
        <v>5767</v>
      </c>
      <c r="F941"/>
      <c r="J941"/>
    </row>
    <row r="942" spans="1:10" x14ac:dyDescent="0.25">
      <c r="A942" s="37" t="s">
        <v>207</v>
      </c>
      <c r="B942" s="37" t="s">
        <v>177</v>
      </c>
      <c r="C942" s="37" t="s">
        <v>205</v>
      </c>
      <c r="D942" s="37">
        <v>3919</v>
      </c>
      <c r="F942"/>
      <c r="J942"/>
    </row>
    <row r="943" spans="1:10" x14ac:dyDescent="0.25">
      <c r="A943" s="37" t="s">
        <v>208</v>
      </c>
      <c r="B943" s="37" t="s">
        <v>177</v>
      </c>
      <c r="C943" s="37" t="s">
        <v>205</v>
      </c>
      <c r="D943" s="37">
        <v>2179</v>
      </c>
      <c r="F943"/>
      <c r="J943"/>
    </row>
    <row r="944" spans="1:10" x14ac:dyDescent="0.25">
      <c r="A944" s="37" t="s">
        <v>209</v>
      </c>
      <c r="B944" s="37" t="s">
        <v>177</v>
      </c>
      <c r="C944" s="37" t="s">
        <v>205</v>
      </c>
      <c r="D944" s="37">
        <v>7919</v>
      </c>
      <c r="F944"/>
      <c r="J944"/>
    </row>
    <row r="945" spans="1:10" x14ac:dyDescent="0.25">
      <c r="A945" s="37" t="s">
        <v>210</v>
      </c>
      <c r="B945" s="37" t="s">
        <v>177</v>
      </c>
      <c r="C945" s="37" t="s">
        <v>205</v>
      </c>
      <c r="D945" s="37">
        <v>3437</v>
      </c>
      <c r="F945"/>
      <c r="J945"/>
    </row>
    <row r="946" spans="1:10" x14ac:dyDescent="0.25">
      <c r="A946" s="37" t="s">
        <v>211</v>
      </c>
      <c r="B946" s="37" t="s">
        <v>177</v>
      </c>
      <c r="C946" s="37" t="s">
        <v>205</v>
      </c>
      <c r="D946" s="37">
        <v>8707</v>
      </c>
      <c r="F946"/>
      <c r="J946"/>
    </row>
    <row r="947" spans="1:10" x14ac:dyDescent="0.25">
      <c r="A947" s="37" t="s">
        <v>207</v>
      </c>
      <c r="B947" s="37" t="s">
        <v>177</v>
      </c>
      <c r="C947" s="37" t="s">
        <v>205</v>
      </c>
      <c r="D947" s="37">
        <v>8131</v>
      </c>
      <c r="F947"/>
      <c r="J947"/>
    </row>
    <row r="948" spans="1:10" x14ac:dyDescent="0.25">
      <c r="A948" s="37" t="s">
        <v>208</v>
      </c>
      <c r="B948" s="37" t="s">
        <v>177</v>
      </c>
      <c r="C948" s="37" t="s">
        <v>205</v>
      </c>
      <c r="D948" s="37">
        <v>1589</v>
      </c>
      <c r="F948"/>
      <c r="J948"/>
    </row>
    <row r="949" spans="1:10" x14ac:dyDescent="0.25">
      <c r="A949" s="37" t="s">
        <v>209</v>
      </c>
      <c r="B949" s="37" t="s">
        <v>177</v>
      </c>
      <c r="C949" s="37" t="s">
        <v>205</v>
      </c>
      <c r="D949" s="37">
        <v>9837</v>
      </c>
      <c r="F949"/>
      <c r="J949"/>
    </row>
    <row r="950" spans="1:10" x14ac:dyDescent="0.25">
      <c r="A950" s="37" t="s">
        <v>210</v>
      </c>
      <c r="B950" s="37" t="s">
        <v>177</v>
      </c>
      <c r="C950" s="37" t="s">
        <v>201</v>
      </c>
      <c r="D950" s="37">
        <v>6853</v>
      </c>
      <c r="F950"/>
      <c r="J950"/>
    </row>
    <row r="951" spans="1:10" x14ac:dyDescent="0.25">
      <c r="A951" s="37" t="s">
        <v>211</v>
      </c>
      <c r="B951" s="37" t="s">
        <v>177</v>
      </c>
      <c r="C951" s="37" t="s">
        <v>201</v>
      </c>
      <c r="D951" s="37">
        <v>9997</v>
      </c>
      <c r="F951"/>
      <c r="J951"/>
    </row>
    <row r="952" spans="1:10" x14ac:dyDescent="0.25">
      <c r="A952" s="37" t="s">
        <v>207</v>
      </c>
      <c r="B952" s="37" t="s">
        <v>177</v>
      </c>
      <c r="C952" s="37" t="s">
        <v>201</v>
      </c>
      <c r="D952" s="37">
        <v>6667</v>
      </c>
      <c r="F952"/>
      <c r="J952"/>
    </row>
    <row r="953" spans="1:10" x14ac:dyDescent="0.25">
      <c r="A953" s="37" t="s">
        <v>208</v>
      </c>
      <c r="B953" s="37" t="s">
        <v>177</v>
      </c>
      <c r="C953" s="37" t="s">
        <v>201</v>
      </c>
      <c r="D953" s="37">
        <v>9924</v>
      </c>
      <c r="F953"/>
      <c r="J953"/>
    </row>
    <row r="954" spans="1:10" x14ac:dyDescent="0.25">
      <c r="A954" s="37" t="s">
        <v>209</v>
      </c>
      <c r="B954" s="37" t="s">
        <v>177</v>
      </c>
      <c r="C954" s="37" t="s">
        <v>201</v>
      </c>
      <c r="D954" s="37">
        <v>5896</v>
      </c>
      <c r="F954"/>
      <c r="J954"/>
    </row>
    <row r="955" spans="1:10" x14ac:dyDescent="0.25">
      <c r="A955" s="37" t="s">
        <v>210</v>
      </c>
      <c r="B955" s="37" t="s">
        <v>177</v>
      </c>
      <c r="C955" s="37" t="s">
        <v>201</v>
      </c>
      <c r="D955" s="37">
        <v>5367</v>
      </c>
      <c r="F955"/>
      <c r="J955"/>
    </row>
    <row r="956" spans="1:10" x14ac:dyDescent="0.25">
      <c r="A956" s="37" t="s">
        <v>211</v>
      </c>
      <c r="B956" s="37" t="s">
        <v>177</v>
      </c>
      <c r="C956" s="37" t="s">
        <v>201</v>
      </c>
      <c r="D956" s="37">
        <v>8163</v>
      </c>
      <c r="F956"/>
      <c r="J956"/>
    </row>
    <row r="957" spans="1:10" x14ac:dyDescent="0.25">
      <c r="A957" s="37" t="s">
        <v>207</v>
      </c>
      <c r="B957" s="37" t="s">
        <v>177</v>
      </c>
      <c r="C957" s="37" t="s">
        <v>201</v>
      </c>
      <c r="D957" s="37">
        <v>3021</v>
      </c>
      <c r="F957"/>
      <c r="J957"/>
    </row>
    <row r="958" spans="1:10" x14ac:dyDescent="0.25">
      <c r="A958" s="37" t="s">
        <v>208</v>
      </c>
      <c r="B958" s="37" t="s">
        <v>177</v>
      </c>
      <c r="C958" s="37" t="s">
        <v>201</v>
      </c>
      <c r="D958" s="37">
        <v>9767</v>
      </c>
      <c r="F958"/>
      <c r="J958"/>
    </row>
    <row r="959" spans="1:10" x14ac:dyDescent="0.25">
      <c r="A959" s="37" t="s">
        <v>209</v>
      </c>
      <c r="B959" s="37" t="s">
        <v>177</v>
      </c>
      <c r="C959" s="37" t="s">
        <v>201</v>
      </c>
      <c r="D959" s="37">
        <v>9818</v>
      </c>
      <c r="F959"/>
      <c r="J959"/>
    </row>
    <row r="960" spans="1:10" x14ac:dyDescent="0.25">
      <c r="A960" s="37" t="s">
        <v>210</v>
      </c>
      <c r="B960" s="37" t="s">
        <v>177</v>
      </c>
      <c r="C960" s="37" t="s">
        <v>201</v>
      </c>
      <c r="D960" s="37">
        <v>5174</v>
      </c>
      <c r="F960"/>
      <c r="J960"/>
    </row>
    <row r="961" spans="1:10" x14ac:dyDescent="0.25">
      <c r="A961" s="37" t="s">
        <v>211</v>
      </c>
      <c r="B961" s="37" t="s">
        <v>177</v>
      </c>
      <c r="C961" s="37" t="s">
        <v>201</v>
      </c>
      <c r="D961" s="37">
        <v>2162</v>
      </c>
      <c r="F961"/>
      <c r="J961"/>
    </row>
    <row r="962" spans="1:10" x14ac:dyDescent="0.25">
      <c r="A962" s="37" t="s">
        <v>207</v>
      </c>
      <c r="B962" s="37" t="s">
        <v>177</v>
      </c>
      <c r="C962" s="37" t="s">
        <v>201</v>
      </c>
      <c r="D962" s="37">
        <v>6832</v>
      </c>
      <c r="F962"/>
      <c r="J962"/>
    </row>
    <row r="963" spans="1:10" x14ac:dyDescent="0.25">
      <c r="A963" s="37" t="s">
        <v>208</v>
      </c>
      <c r="B963" s="37" t="s">
        <v>177</v>
      </c>
      <c r="C963" s="37" t="s">
        <v>201</v>
      </c>
      <c r="D963" s="37">
        <v>8135</v>
      </c>
      <c r="F963"/>
      <c r="J963"/>
    </row>
    <row r="964" spans="1:10" x14ac:dyDescent="0.25">
      <c r="A964" s="37" t="s">
        <v>209</v>
      </c>
      <c r="B964" s="37" t="s">
        <v>177</v>
      </c>
      <c r="C964" s="37" t="s">
        <v>201</v>
      </c>
      <c r="D964" s="37">
        <v>9846</v>
      </c>
      <c r="F964"/>
      <c r="J964"/>
    </row>
    <row r="965" spans="1:10" x14ac:dyDescent="0.25">
      <c r="A965" s="37" t="s">
        <v>210</v>
      </c>
      <c r="B965" s="37" t="s">
        <v>177</v>
      </c>
      <c r="C965" s="37" t="s">
        <v>201</v>
      </c>
      <c r="D965" s="37">
        <v>1329</v>
      </c>
      <c r="F965"/>
      <c r="J965"/>
    </row>
    <row r="966" spans="1:10" x14ac:dyDescent="0.25">
      <c r="A966" s="37" t="s">
        <v>211</v>
      </c>
      <c r="B966" s="37" t="s">
        <v>177</v>
      </c>
      <c r="C966" s="37" t="s">
        <v>201</v>
      </c>
      <c r="D966" s="37">
        <v>6356</v>
      </c>
      <c r="F966"/>
      <c r="J966"/>
    </row>
    <row r="967" spans="1:10" x14ac:dyDescent="0.25">
      <c r="A967" s="37" t="s">
        <v>207</v>
      </c>
      <c r="B967" s="37" t="s">
        <v>177</v>
      </c>
      <c r="C967" s="37" t="s">
        <v>201</v>
      </c>
      <c r="D967" s="37">
        <v>9322</v>
      </c>
      <c r="F967"/>
      <c r="J967"/>
    </row>
    <row r="968" spans="1:10" x14ac:dyDescent="0.25">
      <c r="A968" s="37" t="s">
        <v>208</v>
      </c>
      <c r="B968" s="37" t="s">
        <v>177</v>
      </c>
      <c r="C968" s="37" t="s">
        <v>201</v>
      </c>
      <c r="D968" s="37">
        <v>8173</v>
      </c>
      <c r="F968"/>
      <c r="J968"/>
    </row>
    <row r="969" spans="1:10" x14ac:dyDescent="0.25">
      <c r="A969" s="37" t="s">
        <v>209</v>
      </c>
      <c r="B969" s="37" t="s">
        <v>177</v>
      </c>
      <c r="C969" s="37" t="s">
        <v>201</v>
      </c>
      <c r="D969" s="37">
        <v>6861</v>
      </c>
      <c r="F969"/>
      <c r="J969"/>
    </row>
    <row r="970" spans="1:10" x14ac:dyDescent="0.25">
      <c r="A970" s="37" t="s">
        <v>210</v>
      </c>
      <c r="B970" s="37" t="s">
        <v>177</v>
      </c>
      <c r="C970" s="37" t="s">
        <v>204</v>
      </c>
      <c r="D970" s="37">
        <v>5863</v>
      </c>
      <c r="F970"/>
      <c r="J970"/>
    </row>
    <row r="971" spans="1:10" x14ac:dyDescent="0.25">
      <c r="A971" s="37" t="s">
        <v>211</v>
      </c>
      <c r="B971" s="37" t="s">
        <v>177</v>
      </c>
      <c r="C971" s="37" t="s">
        <v>201</v>
      </c>
      <c r="D971" s="37">
        <v>9098</v>
      </c>
      <c r="F971"/>
      <c r="J971"/>
    </row>
    <row r="972" spans="1:10" x14ac:dyDescent="0.25">
      <c r="A972" s="37" t="s">
        <v>207</v>
      </c>
      <c r="B972" s="37" t="s">
        <v>177</v>
      </c>
      <c r="C972" s="37" t="s">
        <v>202</v>
      </c>
      <c r="D972" s="37">
        <v>7938</v>
      </c>
      <c r="F972"/>
      <c r="J972"/>
    </row>
    <row r="973" spans="1:10" x14ac:dyDescent="0.25">
      <c r="A973" s="37" t="s">
        <v>208</v>
      </c>
      <c r="B973" s="37" t="s">
        <v>177</v>
      </c>
      <c r="C973" s="37" t="s">
        <v>203</v>
      </c>
      <c r="D973" s="37">
        <v>5809</v>
      </c>
      <c r="F973"/>
      <c r="J973"/>
    </row>
    <row r="974" spans="1:10" x14ac:dyDescent="0.25">
      <c r="A974" s="37" t="s">
        <v>209</v>
      </c>
      <c r="B974" s="37" t="s">
        <v>177</v>
      </c>
      <c r="C974" s="37" t="s">
        <v>204</v>
      </c>
      <c r="D974" s="37">
        <v>1280</v>
      </c>
      <c r="F974"/>
      <c r="J974"/>
    </row>
    <row r="975" spans="1:10" x14ac:dyDescent="0.25">
      <c r="A975" s="37" t="s">
        <v>210</v>
      </c>
      <c r="B975" s="37" t="s">
        <v>177</v>
      </c>
      <c r="C975" s="37" t="s">
        <v>201</v>
      </c>
      <c r="D975" s="37">
        <v>1885</v>
      </c>
      <c r="F975"/>
      <c r="J975"/>
    </row>
    <row r="976" spans="1:10" x14ac:dyDescent="0.25">
      <c r="A976" s="37" t="s">
        <v>211</v>
      </c>
      <c r="B976" s="37" t="s">
        <v>177</v>
      </c>
      <c r="C976" s="37" t="s">
        <v>202</v>
      </c>
      <c r="D976" s="37">
        <v>1375</v>
      </c>
      <c r="F976"/>
      <c r="J976"/>
    </row>
    <row r="977" spans="1:10" x14ac:dyDescent="0.25">
      <c r="A977" s="37" t="s">
        <v>207</v>
      </c>
      <c r="B977" s="37" t="s">
        <v>177</v>
      </c>
      <c r="C977" s="37" t="s">
        <v>203</v>
      </c>
      <c r="D977" s="37">
        <v>1003</v>
      </c>
      <c r="F977"/>
      <c r="J977"/>
    </row>
    <row r="978" spans="1:10" x14ac:dyDescent="0.25">
      <c r="A978" s="37" t="s">
        <v>208</v>
      </c>
      <c r="B978" s="37" t="s">
        <v>177</v>
      </c>
      <c r="C978" s="37" t="s">
        <v>204</v>
      </c>
      <c r="D978" s="37">
        <v>2404</v>
      </c>
      <c r="F978"/>
      <c r="J978"/>
    </row>
    <row r="979" spans="1:10" x14ac:dyDescent="0.25">
      <c r="A979" s="37" t="s">
        <v>209</v>
      </c>
      <c r="B979" s="37" t="s">
        <v>177</v>
      </c>
      <c r="C979" s="37" t="s">
        <v>201</v>
      </c>
      <c r="D979" s="37">
        <v>7987</v>
      </c>
      <c r="F979"/>
      <c r="J979"/>
    </row>
    <row r="980" spans="1:10" x14ac:dyDescent="0.25">
      <c r="A980" s="37" t="s">
        <v>210</v>
      </c>
      <c r="B980" s="37" t="s">
        <v>177</v>
      </c>
      <c r="C980" s="37" t="s">
        <v>202</v>
      </c>
      <c r="D980" s="37">
        <v>1560</v>
      </c>
      <c r="F980"/>
      <c r="J980"/>
    </row>
    <row r="981" spans="1:10" x14ac:dyDescent="0.25">
      <c r="A981" s="37" t="s">
        <v>211</v>
      </c>
      <c r="B981" s="37" t="s">
        <v>177</v>
      </c>
      <c r="C981" s="37" t="s">
        <v>203</v>
      </c>
      <c r="D981" s="37">
        <v>8242</v>
      </c>
      <c r="F981"/>
      <c r="J981"/>
    </row>
    <row r="982" spans="1:10" x14ac:dyDescent="0.25">
      <c r="A982" s="37" t="s">
        <v>207</v>
      </c>
      <c r="B982" s="37" t="s">
        <v>177</v>
      </c>
      <c r="C982" s="37" t="s">
        <v>204</v>
      </c>
      <c r="D982" s="37">
        <v>4753</v>
      </c>
      <c r="F982"/>
      <c r="J982"/>
    </row>
    <row r="983" spans="1:10" x14ac:dyDescent="0.25">
      <c r="A983" s="37" t="s">
        <v>208</v>
      </c>
      <c r="B983" s="37" t="s">
        <v>177</v>
      </c>
      <c r="C983" s="37" t="s">
        <v>201</v>
      </c>
      <c r="D983" s="37">
        <v>4193</v>
      </c>
      <c r="F983"/>
      <c r="J983"/>
    </row>
    <row r="984" spans="1:10" x14ac:dyDescent="0.25">
      <c r="A984" s="37" t="s">
        <v>209</v>
      </c>
      <c r="B984" s="37" t="s">
        <v>177</v>
      </c>
      <c r="C984" s="37" t="s">
        <v>202</v>
      </c>
      <c r="D984" s="37">
        <v>7403</v>
      </c>
      <c r="F984"/>
      <c r="J984"/>
    </row>
    <row r="985" spans="1:10" x14ac:dyDescent="0.25">
      <c r="A985" s="37" t="s">
        <v>210</v>
      </c>
      <c r="B985" s="37" t="s">
        <v>177</v>
      </c>
      <c r="C985" s="37" t="s">
        <v>203</v>
      </c>
      <c r="D985" s="37">
        <v>5437</v>
      </c>
      <c r="F985"/>
      <c r="J985"/>
    </row>
    <row r="986" spans="1:10" x14ac:dyDescent="0.25">
      <c r="A986" s="37" t="s">
        <v>211</v>
      </c>
      <c r="B986" s="37" t="s">
        <v>177</v>
      </c>
      <c r="C986" s="37" t="s">
        <v>204</v>
      </c>
      <c r="D986" s="37">
        <v>3107</v>
      </c>
      <c r="F986"/>
      <c r="J986"/>
    </row>
    <row r="987" spans="1:10" x14ac:dyDescent="0.25">
      <c r="A987" s="37" t="s">
        <v>207</v>
      </c>
      <c r="B987" s="37" t="s">
        <v>177</v>
      </c>
      <c r="C987" s="37" t="s">
        <v>201</v>
      </c>
      <c r="D987" s="37">
        <v>9563</v>
      </c>
      <c r="F987"/>
      <c r="J987"/>
    </row>
    <row r="988" spans="1:10" x14ac:dyDescent="0.25">
      <c r="A988" s="37" t="s">
        <v>208</v>
      </c>
      <c r="B988" s="37" t="s">
        <v>177</v>
      </c>
      <c r="C988" s="37" t="s">
        <v>202</v>
      </c>
      <c r="D988" s="37">
        <v>5671</v>
      </c>
      <c r="F988"/>
      <c r="J988"/>
    </row>
    <row r="989" spans="1:10" x14ac:dyDescent="0.25">
      <c r="A989" s="37" t="s">
        <v>209</v>
      </c>
      <c r="B989" s="37" t="s">
        <v>177</v>
      </c>
      <c r="C989" s="37" t="s">
        <v>203</v>
      </c>
      <c r="D989" s="37">
        <v>9974</v>
      </c>
      <c r="F989"/>
      <c r="J989"/>
    </row>
    <row r="990" spans="1:10" x14ac:dyDescent="0.25">
      <c r="A990" s="37" t="s">
        <v>210</v>
      </c>
      <c r="B990" s="37" t="s">
        <v>177</v>
      </c>
      <c r="C990" s="37" t="s">
        <v>204</v>
      </c>
      <c r="D990" s="37">
        <v>7611</v>
      </c>
      <c r="F990"/>
      <c r="J990"/>
    </row>
    <row r="991" spans="1:10" x14ac:dyDescent="0.25">
      <c r="A991" s="37" t="s">
        <v>211</v>
      </c>
      <c r="B991" s="37" t="s">
        <v>177</v>
      </c>
      <c r="C991" s="37" t="s">
        <v>201</v>
      </c>
      <c r="D991" s="37">
        <v>7593</v>
      </c>
      <c r="F991"/>
      <c r="J991"/>
    </row>
    <row r="992" spans="1:10" x14ac:dyDescent="0.25">
      <c r="A992" s="37" t="s">
        <v>207</v>
      </c>
      <c r="B992" s="37" t="s">
        <v>177</v>
      </c>
      <c r="C992" s="37" t="s">
        <v>202</v>
      </c>
      <c r="D992" s="37">
        <v>4841</v>
      </c>
      <c r="F992"/>
      <c r="J992"/>
    </row>
    <row r="993" spans="1:10" x14ac:dyDescent="0.25">
      <c r="A993" s="37" t="s">
        <v>208</v>
      </c>
      <c r="B993" s="37" t="s">
        <v>177</v>
      </c>
      <c r="C993" s="37" t="s">
        <v>203</v>
      </c>
      <c r="D993" s="37">
        <v>3843</v>
      </c>
      <c r="F993"/>
      <c r="J993"/>
    </row>
    <row r="994" spans="1:10" x14ac:dyDescent="0.25">
      <c r="A994" s="37" t="s">
        <v>209</v>
      </c>
      <c r="B994" s="37" t="s">
        <v>177</v>
      </c>
      <c r="C994" s="37" t="s">
        <v>204</v>
      </c>
      <c r="D994" s="37">
        <v>9324</v>
      </c>
      <c r="F994"/>
      <c r="J994"/>
    </row>
    <row r="995" spans="1:10" x14ac:dyDescent="0.25">
      <c r="A995" s="37" t="s">
        <v>210</v>
      </c>
      <c r="B995" s="37" t="s">
        <v>177</v>
      </c>
      <c r="C995" s="37" t="s">
        <v>201</v>
      </c>
      <c r="D995" s="37">
        <v>3279</v>
      </c>
      <c r="F995"/>
      <c r="J995"/>
    </row>
    <row r="996" spans="1:10" x14ac:dyDescent="0.25">
      <c r="A996" s="37" t="s">
        <v>211</v>
      </c>
      <c r="B996" s="37" t="s">
        <v>177</v>
      </c>
      <c r="C996" s="37" t="s">
        <v>202</v>
      </c>
      <c r="D996" s="37">
        <v>9780</v>
      </c>
      <c r="F996"/>
      <c r="J996"/>
    </row>
    <row r="997" spans="1:10" x14ac:dyDescent="0.25">
      <c r="A997" s="37" t="s">
        <v>207</v>
      </c>
      <c r="B997" s="37" t="s">
        <v>177</v>
      </c>
      <c r="C997" s="37" t="s">
        <v>203</v>
      </c>
      <c r="D997" s="37">
        <v>5631</v>
      </c>
      <c r="F997"/>
      <c r="J997"/>
    </row>
    <row r="998" spans="1:10" x14ac:dyDescent="0.25">
      <c r="A998" s="37" t="s">
        <v>208</v>
      </c>
      <c r="B998" s="37" t="s">
        <v>177</v>
      </c>
      <c r="C998" s="37" t="s">
        <v>204</v>
      </c>
      <c r="D998" s="37">
        <v>2904</v>
      </c>
      <c r="F998"/>
      <c r="J998"/>
    </row>
    <row r="999" spans="1:10" x14ac:dyDescent="0.25">
      <c r="A999" s="37" t="s">
        <v>209</v>
      </c>
      <c r="B999" s="37" t="s">
        <v>177</v>
      </c>
      <c r="C999" s="37" t="s">
        <v>201</v>
      </c>
      <c r="D999" s="37">
        <v>4919</v>
      </c>
      <c r="F999"/>
      <c r="J999"/>
    </row>
    <row r="1000" spans="1:10" x14ac:dyDescent="0.25">
      <c r="A1000" s="37" t="s">
        <v>210</v>
      </c>
      <c r="B1000" s="37" t="s">
        <v>177</v>
      </c>
      <c r="C1000" s="37" t="s">
        <v>202</v>
      </c>
      <c r="D1000" s="37">
        <v>6524</v>
      </c>
      <c r="F1000"/>
      <c r="J1000"/>
    </row>
    <row r="1001" spans="1:10" x14ac:dyDescent="0.25">
      <c r="A1001" s="37" t="s">
        <v>211</v>
      </c>
      <c r="B1001" s="37" t="s">
        <v>177</v>
      </c>
      <c r="C1001" s="37" t="s">
        <v>203</v>
      </c>
      <c r="D1001" s="37">
        <v>5332</v>
      </c>
      <c r="F1001"/>
      <c r="J1001"/>
    </row>
    <row r="1002" spans="1:10" x14ac:dyDescent="0.25">
      <c r="A1002" s="37" t="s">
        <v>207</v>
      </c>
      <c r="B1002" s="37" t="s">
        <v>177</v>
      </c>
      <c r="C1002" s="37" t="s">
        <v>204</v>
      </c>
      <c r="D1002" s="37">
        <v>1158</v>
      </c>
      <c r="F1002"/>
      <c r="J1002"/>
    </row>
    <row r="1003" spans="1:10" x14ac:dyDescent="0.25">
      <c r="A1003" s="37" t="s">
        <v>208</v>
      </c>
      <c r="B1003" s="37" t="s">
        <v>177</v>
      </c>
      <c r="C1003" s="37" t="s">
        <v>201</v>
      </c>
      <c r="D1003" s="37">
        <v>2796</v>
      </c>
      <c r="F1003"/>
      <c r="J1003"/>
    </row>
    <row r="1004" spans="1:10" x14ac:dyDescent="0.25">
      <c r="A1004" s="37" t="s">
        <v>209</v>
      </c>
      <c r="B1004" s="37" t="s">
        <v>177</v>
      </c>
      <c r="C1004" s="37" t="s">
        <v>202</v>
      </c>
      <c r="D1004" s="37">
        <v>1232</v>
      </c>
      <c r="F1004"/>
      <c r="J1004"/>
    </row>
    <row r="1005" spans="1:10" x14ac:dyDescent="0.25">
      <c r="A1005" s="37" t="s">
        <v>210</v>
      </c>
      <c r="B1005" s="37" t="s">
        <v>177</v>
      </c>
      <c r="C1005" s="37" t="s">
        <v>203</v>
      </c>
      <c r="D1005" s="37">
        <v>5070</v>
      </c>
      <c r="F1005"/>
      <c r="J1005"/>
    </row>
    <row r="1006" spans="1:10" x14ac:dyDescent="0.25">
      <c r="A1006" s="37" t="s">
        <v>211</v>
      </c>
      <c r="B1006" s="37" t="s">
        <v>177</v>
      </c>
      <c r="C1006" s="37" t="s">
        <v>204</v>
      </c>
      <c r="D1006" s="37">
        <v>7289</v>
      </c>
      <c r="F1006"/>
      <c r="J1006"/>
    </row>
    <row r="1007" spans="1:10" x14ac:dyDescent="0.25">
      <c r="A1007" s="37" t="s">
        <v>212</v>
      </c>
      <c r="B1007" s="37" t="s">
        <v>177</v>
      </c>
      <c r="C1007" s="37" t="s">
        <v>201</v>
      </c>
      <c r="D1007" s="37">
        <v>8519</v>
      </c>
      <c r="F1007"/>
      <c r="J1007"/>
    </row>
    <row r="1008" spans="1:10" x14ac:dyDescent="0.25">
      <c r="A1008" s="37" t="s">
        <v>212</v>
      </c>
      <c r="B1008" s="37" t="s">
        <v>177</v>
      </c>
      <c r="C1008" s="37" t="s">
        <v>202</v>
      </c>
      <c r="D1008" s="37">
        <v>3276</v>
      </c>
      <c r="F1008"/>
      <c r="J1008"/>
    </row>
    <row r="1009" spans="1:10" x14ac:dyDescent="0.25">
      <c r="A1009" s="37" t="s">
        <v>212</v>
      </c>
      <c r="B1009" s="37" t="s">
        <v>177</v>
      </c>
      <c r="C1009" s="37" t="s">
        <v>203</v>
      </c>
      <c r="D1009" s="37">
        <v>3368</v>
      </c>
      <c r="F1009"/>
      <c r="J1009"/>
    </row>
    <row r="1010" spans="1:10" x14ac:dyDescent="0.25">
      <c r="A1010" s="37" t="s">
        <v>212</v>
      </c>
      <c r="B1010" s="37" t="s">
        <v>177</v>
      </c>
      <c r="C1010" s="37" t="s">
        <v>204</v>
      </c>
      <c r="D1010" s="37">
        <v>4623</v>
      </c>
      <c r="F1010"/>
      <c r="J1010"/>
    </row>
    <row r="1011" spans="1:10" x14ac:dyDescent="0.25">
      <c r="A1011" s="37" t="s">
        <v>212</v>
      </c>
      <c r="B1011" s="37" t="s">
        <v>177</v>
      </c>
      <c r="C1011" s="37" t="s">
        <v>205</v>
      </c>
      <c r="D1011" s="37">
        <v>9451</v>
      </c>
      <c r="F1011"/>
      <c r="J1011"/>
    </row>
    <row r="1012" spans="1:10" x14ac:dyDescent="0.25">
      <c r="A1012" s="37" t="s">
        <v>212</v>
      </c>
      <c r="B1012" s="37" t="s">
        <v>177</v>
      </c>
      <c r="C1012" s="37" t="s">
        <v>201</v>
      </c>
      <c r="D1012" s="37">
        <v>5255</v>
      </c>
      <c r="F1012"/>
      <c r="J1012"/>
    </row>
    <row r="1013" spans="1:10" x14ac:dyDescent="0.25">
      <c r="A1013" s="37" t="s">
        <v>212</v>
      </c>
      <c r="B1013" s="37" t="s">
        <v>177</v>
      </c>
      <c r="C1013" s="37" t="s">
        <v>202</v>
      </c>
      <c r="D1013" s="37">
        <v>1285</v>
      </c>
      <c r="F1013"/>
      <c r="J1013"/>
    </row>
    <row r="1014" spans="1:10" x14ac:dyDescent="0.25">
      <c r="A1014" s="37" t="s">
        <v>212</v>
      </c>
      <c r="B1014" s="37" t="s">
        <v>177</v>
      </c>
      <c r="C1014" s="37" t="s">
        <v>203</v>
      </c>
      <c r="D1014" s="37">
        <v>5979</v>
      </c>
      <c r="F1014"/>
      <c r="J1014"/>
    </row>
    <row r="1015" spans="1:10" x14ac:dyDescent="0.25">
      <c r="A1015" s="37" t="s">
        <v>212</v>
      </c>
      <c r="B1015" s="37" t="s">
        <v>177</v>
      </c>
      <c r="C1015" s="37" t="s">
        <v>204</v>
      </c>
      <c r="D1015" s="37">
        <v>5354</v>
      </c>
      <c r="F1015"/>
      <c r="J1015"/>
    </row>
    <row r="1016" spans="1:10" x14ac:dyDescent="0.25">
      <c r="A1016" s="37" t="s">
        <v>212</v>
      </c>
      <c r="B1016" s="37" t="s">
        <v>177</v>
      </c>
      <c r="C1016" s="37" t="s">
        <v>205</v>
      </c>
      <c r="D1016" s="37">
        <v>5230</v>
      </c>
      <c r="F1016"/>
      <c r="J1016"/>
    </row>
    <row r="1017" spans="1:10" x14ac:dyDescent="0.25">
      <c r="A1017" s="37" t="s">
        <v>212</v>
      </c>
      <c r="B1017" s="37" t="s">
        <v>177</v>
      </c>
      <c r="C1017" s="37" t="s">
        <v>201</v>
      </c>
      <c r="D1017" s="37">
        <v>4384</v>
      </c>
      <c r="F1017"/>
      <c r="J1017"/>
    </row>
    <row r="1018" spans="1:10" x14ac:dyDescent="0.25">
      <c r="A1018" s="37" t="s">
        <v>212</v>
      </c>
      <c r="B1018" s="37" t="s">
        <v>177</v>
      </c>
      <c r="C1018" s="37" t="s">
        <v>202</v>
      </c>
      <c r="D1018" s="37">
        <v>8369</v>
      </c>
      <c r="F1018"/>
      <c r="J1018"/>
    </row>
    <row r="1019" spans="1:10" x14ac:dyDescent="0.25">
      <c r="A1019" s="37" t="s">
        <v>212</v>
      </c>
      <c r="B1019" s="37" t="s">
        <v>177</v>
      </c>
      <c r="C1019" s="37" t="s">
        <v>203</v>
      </c>
      <c r="D1019" s="37">
        <v>4353</v>
      </c>
      <c r="F1019"/>
      <c r="J1019"/>
    </row>
    <row r="1020" spans="1:10" x14ac:dyDescent="0.25">
      <c r="A1020" s="37" t="s">
        <v>212</v>
      </c>
      <c r="B1020" s="37" t="s">
        <v>177</v>
      </c>
      <c r="C1020" s="37" t="s">
        <v>204</v>
      </c>
      <c r="D1020" s="37">
        <v>8755</v>
      </c>
      <c r="F1020"/>
      <c r="J1020"/>
    </row>
    <row r="1021" spans="1:10" x14ac:dyDescent="0.25">
      <c r="A1021" s="37" t="s">
        <v>212</v>
      </c>
      <c r="B1021" s="37" t="s">
        <v>177</v>
      </c>
      <c r="C1021" s="37" t="s">
        <v>201</v>
      </c>
      <c r="D1021" s="37">
        <v>8378</v>
      </c>
      <c r="F1021"/>
      <c r="J1021"/>
    </row>
    <row r="1022" spans="1:10" x14ac:dyDescent="0.25">
      <c r="A1022" s="37" t="s">
        <v>212</v>
      </c>
      <c r="B1022" s="37" t="s">
        <v>177</v>
      </c>
      <c r="C1022" s="37" t="s">
        <v>202</v>
      </c>
      <c r="D1022" s="37">
        <v>9793</v>
      </c>
      <c r="F1022"/>
      <c r="J1022"/>
    </row>
    <row r="1023" spans="1:10" x14ac:dyDescent="0.25">
      <c r="A1023" s="37" t="s">
        <v>212</v>
      </c>
      <c r="B1023" s="37" t="s">
        <v>177</v>
      </c>
      <c r="C1023" s="37" t="s">
        <v>203</v>
      </c>
      <c r="D1023" s="37">
        <v>4566</v>
      </c>
      <c r="F1023"/>
      <c r="J1023"/>
    </row>
    <row r="1024" spans="1:10" x14ac:dyDescent="0.25">
      <c r="A1024" s="37" t="s">
        <v>212</v>
      </c>
      <c r="B1024" s="37" t="s">
        <v>177</v>
      </c>
      <c r="C1024" s="37" t="s">
        <v>204</v>
      </c>
      <c r="D1024" s="37">
        <v>9422</v>
      </c>
      <c r="F1024"/>
      <c r="J1024"/>
    </row>
    <row r="1025" spans="1:10" x14ac:dyDescent="0.25">
      <c r="A1025" s="37" t="s">
        <v>212</v>
      </c>
      <c r="B1025" s="37" t="s">
        <v>177</v>
      </c>
      <c r="C1025" s="37" t="s">
        <v>201</v>
      </c>
      <c r="D1025" s="37">
        <v>8537</v>
      </c>
      <c r="F1025"/>
      <c r="J1025"/>
    </row>
    <row r="1026" spans="1:10" x14ac:dyDescent="0.25">
      <c r="A1026" s="37" t="s">
        <v>212</v>
      </c>
      <c r="B1026" s="37" t="s">
        <v>177</v>
      </c>
      <c r="C1026" s="37" t="s">
        <v>202</v>
      </c>
      <c r="D1026" s="37">
        <v>6050</v>
      </c>
      <c r="F1026"/>
      <c r="J1026"/>
    </row>
    <row r="1027" spans="1:10" x14ac:dyDescent="0.25">
      <c r="A1027" s="37" t="s">
        <v>212</v>
      </c>
      <c r="B1027" s="37" t="s">
        <v>177</v>
      </c>
      <c r="C1027" s="37" t="s">
        <v>203</v>
      </c>
      <c r="D1027" s="37">
        <v>9626</v>
      </c>
      <c r="F1027"/>
      <c r="J1027"/>
    </row>
    <row r="1028" spans="1:10" x14ac:dyDescent="0.25">
      <c r="A1028" s="37" t="s">
        <v>212</v>
      </c>
      <c r="B1028" s="37" t="s">
        <v>177</v>
      </c>
      <c r="C1028" s="37" t="s">
        <v>204</v>
      </c>
      <c r="D1028" s="37">
        <v>8187</v>
      </c>
      <c r="F1028"/>
      <c r="J1028"/>
    </row>
    <row r="1029" spans="1:10" x14ac:dyDescent="0.25">
      <c r="A1029" s="37" t="s">
        <v>212</v>
      </c>
      <c r="B1029" s="37" t="s">
        <v>177</v>
      </c>
      <c r="C1029" s="37" t="s">
        <v>201</v>
      </c>
      <c r="D1029" s="37">
        <v>9903</v>
      </c>
      <c r="F1029"/>
      <c r="J1029"/>
    </row>
    <row r="1030" spans="1:10" x14ac:dyDescent="0.25">
      <c r="A1030" s="37" t="s">
        <v>212</v>
      </c>
      <c r="B1030" s="37" t="s">
        <v>177</v>
      </c>
      <c r="C1030" s="37" t="s">
        <v>202</v>
      </c>
      <c r="D1030" s="37">
        <v>1419</v>
      </c>
      <c r="F1030"/>
      <c r="J1030"/>
    </row>
    <row r="1031" spans="1:10" x14ac:dyDescent="0.25">
      <c r="A1031" s="37" t="s">
        <v>212</v>
      </c>
      <c r="B1031" s="37" t="s">
        <v>177</v>
      </c>
      <c r="C1031" s="37" t="s">
        <v>203</v>
      </c>
      <c r="D1031" s="37">
        <v>7936</v>
      </c>
      <c r="F1031"/>
      <c r="J1031"/>
    </row>
    <row r="1032" spans="1:10" x14ac:dyDescent="0.25">
      <c r="A1032" s="37" t="s">
        <v>212</v>
      </c>
      <c r="B1032" s="37" t="s">
        <v>177</v>
      </c>
      <c r="C1032" s="37" t="s">
        <v>204</v>
      </c>
      <c r="D1032" s="37">
        <v>5668</v>
      </c>
      <c r="F1032"/>
      <c r="J1032"/>
    </row>
    <row r="1033" spans="1:10" x14ac:dyDescent="0.25">
      <c r="A1033" s="37" t="s">
        <v>212</v>
      </c>
      <c r="B1033" s="37" t="s">
        <v>177</v>
      </c>
      <c r="C1033" s="37" t="s">
        <v>201</v>
      </c>
      <c r="D1033" s="37">
        <v>7579</v>
      </c>
      <c r="F1033"/>
      <c r="J1033"/>
    </row>
    <row r="1034" spans="1:10" x14ac:dyDescent="0.25">
      <c r="A1034" s="37" t="s">
        <v>212</v>
      </c>
      <c r="B1034" s="37" t="s">
        <v>177</v>
      </c>
      <c r="C1034" s="37" t="s">
        <v>202</v>
      </c>
      <c r="D1034" s="37">
        <v>9097</v>
      </c>
      <c r="F1034"/>
      <c r="J1034"/>
    </row>
    <row r="1035" spans="1:10" x14ac:dyDescent="0.25">
      <c r="A1035" s="37" t="s">
        <v>212</v>
      </c>
      <c r="B1035" s="37" t="s">
        <v>177</v>
      </c>
      <c r="C1035" s="37" t="s">
        <v>203</v>
      </c>
      <c r="D1035" s="37">
        <v>2457</v>
      </c>
      <c r="F1035"/>
      <c r="J1035"/>
    </row>
    <row r="1036" spans="1:10" x14ac:dyDescent="0.25">
      <c r="A1036" s="37" t="s">
        <v>212</v>
      </c>
      <c r="B1036" s="37" t="s">
        <v>177</v>
      </c>
      <c r="C1036" s="37" t="s">
        <v>204</v>
      </c>
      <c r="D1036" s="37">
        <v>4440</v>
      </c>
      <c r="F1036"/>
      <c r="J1036"/>
    </row>
    <row r="1037" spans="1:10" x14ac:dyDescent="0.25">
      <c r="A1037" s="37" t="s">
        <v>212</v>
      </c>
      <c r="B1037" s="37" t="s">
        <v>177</v>
      </c>
      <c r="C1037" s="37" t="s">
        <v>201</v>
      </c>
      <c r="D1037" s="37">
        <v>8908</v>
      </c>
      <c r="F1037"/>
      <c r="J1037"/>
    </row>
    <row r="1038" spans="1:10" x14ac:dyDescent="0.25">
      <c r="A1038" s="37" t="s">
        <v>212</v>
      </c>
      <c r="B1038" s="37" t="s">
        <v>177</v>
      </c>
      <c r="C1038" s="37" t="s">
        <v>202</v>
      </c>
      <c r="D1038" s="37">
        <v>5281</v>
      </c>
      <c r="F1038"/>
      <c r="J1038"/>
    </row>
    <row r="1039" spans="1:10" x14ac:dyDescent="0.25">
      <c r="A1039" s="37" t="s">
        <v>212</v>
      </c>
      <c r="B1039" s="37" t="s">
        <v>177</v>
      </c>
      <c r="C1039" s="37" t="s">
        <v>203</v>
      </c>
      <c r="D1039" s="37">
        <v>3302</v>
      </c>
      <c r="F1039"/>
      <c r="J1039"/>
    </row>
    <row r="1040" spans="1:10" x14ac:dyDescent="0.25">
      <c r="A1040" s="37" t="s">
        <v>212</v>
      </c>
      <c r="B1040" s="37" t="s">
        <v>177</v>
      </c>
      <c r="C1040" s="37" t="s">
        <v>204</v>
      </c>
      <c r="D1040" s="37">
        <v>3717</v>
      </c>
      <c r="F1040"/>
      <c r="J1040"/>
    </row>
    <row r="1041" spans="1:10" x14ac:dyDescent="0.25">
      <c r="A1041" s="37" t="s">
        <v>212</v>
      </c>
      <c r="B1041" s="37" t="s">
        <v>177</v>
      </c>
      <c r="C1041" s="37" t="s">
        <v>201</v>
      </c>
      <c r="D1041" s="37">
        <v>7272</v>
      </c>
      <c r="F1041"/>
      <c r="J1041"/>
    </row>
    <row r="1042" spans="1:10" x14ac:dyDescent="0.25">
      <c r="A1042" s="37" t="s">
        <v>212</v>
      </c>
      <c r="B1042" s="37" t="s">
        <v>177</v>
      </c>
      <c r="C1042" s="37" t="s">
        <v>202</v>
      </c>
      <c r="D1042" s="37">
        <v>8487</v>
      </c>
      <c r="F1042"/>
      <c r="J1042"/>
    </row>
    <row r="1043" spans="1:10" x14ac:dyDescent="0.25">
      <c r="A1043" s="37" t="s">
        <v>212</v>
      </c>
      <c r="B1043" s="37" t="s">
        <v>177</v>
      </c>
      <c r="C1043" s="37" t="s">
        <v>203</v>
      </c>
      <c r="D1043" s="37">
        <v>1657</v>
      </c>
      <c r="F1043"/>
      <c r="J1043"/>
    </row>
    <row r="1044" spans="1:10" x14ac:dyDescent="0.25">
      <c r="A1044" s="37" t="s">
        <v>212</v>
      </c>
      <c r="B1044" s="37" t="s">
        <v>177</v>
      </c>
      <c r="C1044" s="37" t="s">
        <v>204</v>
      </c>
      <c r="D1044" s="37">
        <v>1932</v>
      </c>
      <c r="F1044"/>
      <c r="J1044"/>
    </row>
    <row r="1045" spans="1:10" x14ac:dyDescent="0.25">
      <c r="A1045" s="37" t="s">
        <v>212</v>
      </c>
      <c r="B1045" s="37" t="s">
        <v>177</v>
      </c>
      <c r="C1045" s="37" t="s">
        <v>201</v>
      </c>
      <c r="D1045" s="37">
        <v>2879</v>
      </c>
      <c r="F1045"/>
      <c r="J1045"/>
    </row>
    <row r="1046" spans="1:10" x14ac:dyDescent="0.25">
      <c r="A1046" s="37" t="s">
        <v>212</v>
      </c>
      <c r="B1046" s="37" t="s">
        <v>177</v>
      </c>
      <c r="C1046" s="37" t="s">
        <v>202</v>
      </c>
      <c r="D1046" s="37">
        <v>4477</v>
      </c>
      <c r="F1046"/>
      <c r="J1046"/>
    </row>
    <row r="1047" spans="1:10" x14ac:dyDescent="0.25">
      <c r="A1047" s="37" t="s">
        <v>212</v>
      </c>
      <c r="B1047" s="37" t="s">
        <v>177</v>
      </c>
      <c r="C1047" s="37" t="s">
        <v>203</v>
      </c>
      <c r="D1047" s="37">
        <v>2084</v>
      </c>
      <c r="F1047"/>
      <c r="J1047"/>
    </row>
    <row r="1048" spans="1:10" x14ac:dyDescent="0.25">
      <c r="A1048" s="37" t="s">
        <v>212</v>
      </c>
      <c r="B1048" s="37" t="s">
        <v>177</v>
      </c>
      <c r="C1048" s="37" t="s">
        <v>204</v>
      </c>
      <c r="D1048" s="37">
        <v>5309</v>
      </c>
      <c r="F1048"/>
      <c r="J1048"/>
    </row>
    <row r="1049" spans="1:10" x14ac:dyDescent="0.25">
      <c r="A1049" s="37" t="s">
        <v>212</v>
      </c>
      <c r="B1049" s="37" t="s">
        <v>177</v>
      </c>
      <c r="C1049" s="37" t="s">
        <v>201</v>
      </c>
      <c r="D1049" s="37">
        <v>1078</v>
      </c>
      <c r="F1049"/>
      <c r="J1049"/>
    </row>
    <row r="1050" spans="1:10" x14ac:dyDescent="0.25">
      <c r="A1050" s="37" t="s">
        <v>212</v>
      </c>
      <c r="B1050" s="37" t="s">
        <v>177</v>
      </c>
      <c r="C1050" s="37" t="s">
        <v>202</v>
      </c>
      <c r="D1050" s="37">
        <v>1392</v>
      </c>
      <c r="F1050"/>
      <c r="J1050"/>
    </row>
    <row r="1051" spans="1:10" x14ac:dyDescent="0.25">
      <c r="A1051" s="37" t="s">
        <v>212</v>
      </c>
      <c r="B1051" s="37" t="s">
        <v>177</v>
      </c>
      <c r="C1051" s="37" t="s">
        <v>203</v>
      </c>
      <c r="D1051" s="37">
        <v>4520</v>
      </c>
      <c r="F1051"/>
      <c r="J1051"/>
    </row>
    <row r="1052" spans="1:10" x14ac:dyDescent="0.25">
      <c r="A1052" s="37" t="s">
        <v>212</v>
      </c>
      <c r="B1052" s="37" t="s">
        <v>177</v>
      </c>
      <c r="C1052" s="37" t="s">
        <v>204</v>
      </c>
      <c r="D1052" s="37">
        <v>4103</v>
      </c>
      <c r="F1052"/>
      <c r="J1052"/>
    </row>
    <row r="1053" spans="1:10" x14ac:dyDescent="0.25">
      <c r="A1053" s="37" t="s">
        <v>212</v>
      </c>
      <c r="B1053" s="37" t="s">
        <v>177</v>
      </c>
      <c r="C1053" s="37" t="s">
        <v>201</v>
      </c>
      <c r="D1053" s="37">
        <v>8470</v>
      </c>
      <c r="F1053"/>
      <c r="J1053"/>
    </row>
    <row r="1054" spans="1:10" x14ac:dyDescent="0.25">
      <c r="A1054" s="37" t="s">
        <v>212</v>
      </c>
      <c r="B1054" s="37" t="s">
        <v>177</v>
      </c>
      <c r="C1054" s="37" t="s">
        <v>202</v>
      </c>
      <c r="D1054" s="37">
        <v>2477</v>
      </c>
      <c r="F1054"/>
      <c r="J1054"/>
    </row>
    <row r="1055" spans="1:10" x14ac:dyDescent="0.25">
      <c r="A1055" s="37" t="s">
        <v>212</v>
      </c>
      <c r="B1055" s="37" t="s">
        <v>177</v>
      </c>
      <c r="C1055" s="37" t="s">
        <v>203</v>
      </c>
      <c r="D1055" s="37">
        <v>3456</v>
      </c>
      <c r="F1055"/>
      <c r="J1055"/>
    </row>
    <row r="1056" spans="1:10" x14ac:dyDescent="0.25">
      <c r="A1056" s="37" t="s">
        <v>212</v>
      </c>
      <c r="B1056" s="37" t="s">
        <v>177</v>
      </c>
      <c r="C1056" s="37" t="s">
        <v>204</v>
      </c>
      <c r="D1056" s="37">
        <v>4415</v>
      </c>
      <c r="F1056"/>
      <c r="J1056"/>
    </row>
    <row r="1057" spans="1:10" x14ac:dyDescent="0.25">
      <c r="A1057" s="37" t="s">
        <v>212</v>
      </c>
      <c r="B1057" s="37" t="s">
        <v>177</v>
      </c>
      <c r="C1057" s="37" t="s">
        <v>201</v>
      </c>
      <c r="D1057" s="37">
        <v>7103</v>
      </c>
      <c r="F1057"/>
      <c r="J1057"/>
    </row>
    <row r="1058" spans="1:10" x14ac:dyDescent="0.25">
      <c r="A1058" s="37" t="s">
        <v>212</v>
      </c>
      <c r="B1058" s="37" t="s">
        <v>177</v>
      </c>
      <c r="C1058" s="37" t="s">
        <v>202</v>
      </c>
      <c r="D1058" s="37">
        <v>3669</v>
      </c>
      <c r="F1058"/>
      <c r="J1058"/>
    </row>
    <row r="1059" spans="1:10" x14ac:dyDescent="0.25">
      <c r="A1059" s="37" t="s">
        <v>212</v>
      </c>
      <c r="B1059" s="37" t="s">
        <v>177</v>
      </c>
      <c r="C1059" s="37" t="s">
        <v>203</v>
      </c>
      <c r="D1059" s="37">
        <v>2651</v>
      </c>
      <c r="F1059"/>
      <c r="J1059"/>
    </row>
    <row r="1060" spans="1:10" x14ac:dyDescent="0.25">
      <c r="A1060" s="37" t="s">
        <v>212</v>
      </c>
      <c r="B1060" s="37" t="s">
        <v>177</v>
      </c>
      <c r="C1060" s="37" t="s">
        <v>204</v>
      </c>
      <c r="D1060" s="37">
        <v>8363</v>
      </c>
      <c r="F1060"/>
      <c r="J1060"/>
    </row>
    <row r="1061" spans="1:10" x14ac:dyDescent="0.25">
      <c r="A1061" s="37" t="s">
        <v>212</v>
      </c>
      <c r="B1061" s="37" t="s">
        <v>177</v>
      </c>
      <c r="C1061" s="37" t="s">
        <v>201</v>
      </c>
      <c r="D1061" s="37">
        <v>7553</v>
      </c>
      <c r="F1061"/>
      <c r="J1061"/>
    </row>
    <row r="1062" spans="1:10" x14ac:dyDescent="0.25">
      <c r="A1062" s="37" t="s">
        <v>212</v>
      </c>
      <c r="B1062" s="37" t="s">
        <v>177</v>
      </c>
      <c r="C1062" s="37" t="s">
        <v>202</v>
      </c>
      <c r="D1062" s="37">
        <v>2523</v>
      </c>
      <c r="F1062"/>
      <c r="J1062"/>
    </row>
    <row r="1063" spans="1:10" x14ac:dyDescent="0.25">
      <c r="A1063" s="37" t="s">
        <v>212</v>
      </c>
      <c r="B1063" s="37" t="s">
        <v>177</v>
      </c>
      <c r="C1063" s="37" t="s">
        <v>203</v>
      </c>
      <c r="D1063" s="37">
        <v>1440</v>
      </c>
      <c r="F1063"/>
      <c r="J1063"/>
    </row>
    <row r="1064" spans="1:10" x14ac:dyDescent="0.25">
      <c r="A1064" s="37" t="s">
        <v>212</v>
      </c>
      <c r="B1064" s="37" t="s">
        <v>177</v>
      </c>
      <c r="C1064" s="37" t="s">
        <v>204</v>
      </c>
      <c r="D1064" s="37">
        <v>9315</v>
      </c>
      <c r="F1064"/>
      <c r="J1064"/>
    </row>
    <row r="1065" spans="1:10" x14ac:dyDescent="0.25">
      <c r="A1065" s="37" t="s">
        <v>212</v>
      </c>
      <c r="B1065" s="37" t="s">
        <v>177</v>
      </c>
      <c r="C1065" s="37" t="s">
        <v>201</v>
      </c>
      <c r="D1065" s="37">
        <v>4984</v>
      </c>
      <c r="F1065"/>
      <c r="J1065"/>
    </row>
    <row r="1066" spans="1:10" x14ac:dyDescent="0.25">
      <c r="A1066" s="37" t="s">
        <v>212</v>
      </c>
      <c r="B1066" s="37" t="s">
        <v>177</v>
      </c>
      <c r="C1066" s="37" t="s">
        <v>202</v>
      </c>
      <c r="D1066" s="37">
        <v>8676</v>
      </c>
      <c r="F1066"/>
      <c r="J1066"/>
    </row>
    <row r="1067" spans="1:10" x14ac:dyDescent="0.25">
      <c r="A1067" s="37" t="s">
        <v>212</v>
      </c>
      <c r="B1067" s="37" t="s">
        <v>177</v>
      </c>
      <c r="C1067" s="37" t="s">
        <v>203</v>
      </c>
      <c r="D1067" s="37">
        <v>7104</v>
      </c>
      <c r="F1067"/>
      <c r="J1067"/>
    </row>
    <row r="1068" spans="1:10" x14ac:dyDescent="0.25">
      <c r="A1068" s="37" t="s">
        <v>212</v>
      </c>
      <c r="B1068" s="37" t="s">
        <v>177</v>
      </c>
      <c r="C1068" s="37" t="s">
        <v>204</v>
      </c>
      <c r="D1068" s="37">
        <v>5529</v>
      </c>
      <c r="F1068"/>
      <c r="J1068"/>
    </row>
    <row r="1069" spans="1:10" x14ac:dyDescent="0.25">
      <c r="A1069" s="37" t="s">
        <v>212</v>
      </c>
      <c r="B1069" s="37" t="s">
        <v>177</v>
      </c>
      <c r="C1069" s="37" t="s">
        <v>201</v>
      </c>
      <c r="D1069" s="37">
        <v>4270</v>
      </c>
      <c r="F1069"/>
      <c r="J1069"/>
    </row>
    <row r="1070" spans="1:10" x14ac:dyDescent="0.25">
      <c r="A1070" s="37" t="s">
        <v>212</v>
      </c>
      <c r="B1070" s="37" t="s">
        <v>177</v>
      </c>
      <c r="C1070" s="37" t="s">
        <v>202</v>
      </c>
      <c r="D1070" s="37">
        <v>7070</v>
      </c>
      <c r="F1070"/>
      <c r="J1070"/>
    </row>
    <row r="1071" spans="1:10" x14ac:dyDescent="0.25">
      <c r="A1071" s="37" t="s">
        <v>212</v>
      </c>
      <c r="B1071" s="37" t="s">
        <v>177</v>
      </c>
      <c r="C1071" s="37" t="s">
        <v>203</v>
      </c>
      <c r="D1071" s="37">
        <v>4456</v>
      </c>
      <c r="F1071"/>
      <c r="J1071"/>
    </row>
    <row r="1072" spans="1:10" x14ac:dyDescent="0.25">
      <c r="A1072" s="37" t="s">
        <v>212</v>
      </c>
      <c r="B1072" s="37" t="s">
        <v>177</v>
      </c>
      <c r="C1072" s="37" t="s">
        <v>204</v>
      </c>
      <c r="D1072" s="37">
        <v>8908</v>
      </c>
      <c r="F1072"/>
      <c r="J1072"/>
    </row>
    <row r="1073" spans="1:10" x14ac:dyDescent="0.25">
      <c r="A1073" s="37" t="s">
        <v>212</v>
      </c>
      <c r="B1073" s="37" t="s">
        <v>177</v>
      </c>
      <c r="C1073" s="37" t="s">
        <v>201</v>
      </c>
      <c r="D1073" s="37">
        <v>2999</v>
      </c>
      <c r="F1073"/>
      <c r="J1073"/>
    </row>
    <row r="1074" spans="1:10" x14ac:dyDescent="0.25">
      <c r="A1074" s="37" t="s">
        <v>212</v>
      </c>
      <c r="B1074" s="37" t="s">
        <v>177</v>
      </c>
      <c r="C1074" s="37" t="s">
        <v>202</v>
      </c>
      <c r="D1074" s="37">
        <v>5188</v>
      </c>
      <c r="F1074"/>
      <c r="J1074"/>
    </row>
    <row r="1075" spans="1:10" x14ac:dyDescent="0.25">
      <c r="A1075" s="37" t="s">
        <v>212</v>
      </c>
      <c r="B1075" s="37" t="s">
        <v>177</v>
      </c>
      <c r="C1075" s="37" t="s">
        <v>203</v>
      </c>
      <c r="D1075" s="37">
        <v>1417</v>
      </c>
      <c r="F1075"/>
      <c r="J1075"/>
    </row>
    <row r="1076" spans="1:10" x14ac:dyDescent="0.25">
      <c r="A1076" s="37" t="s">
        <v>212</v>
      </c>
      <c r="B1076" s="37" t="s">
        <v>177</v>
      </c>
      <c r="C1076" s="37" t="s">
        <v>204</v>
      </c>
      <c r="D1076" s="37">
        <v>5424</v>
      </c>
      <c r="F1076"/>
      <c r="J1076"/>
    </row>
    <row r="1077" spans="1:10" x14ac:dyDescent="0.25">
      <c r="A1077" s="37" t="s">
        <v>212</v>
      </c>
      <c r="B1077" s="37" t="s">
        <v>177</v>
      </c>
      <c r="C1077" s="37" t="s">
        <v>205</v>
      </c>
      <c r="D1077" s="37">
        <v>6102</v>
      </c>
      <c r="F1077"/>
      <c r="J1077"/>
    </row>
    <row r="1078" spans="1:10" x14ac:dyDescent="0.25">
      <c r="A1078" s="37" t="s">
        <v>212</v>
      </c>
      <c r="B1078" s="37" t="s">
        <v>177</v>
      </c>
      <c r="C1078" s="37" t="s">
        <v>201</v>
      </c>
      <c r="D1078" s="37">
        <v>7610</v>
      </c>
      <c r="F1078"/>
      <c r="J1078"/>
    </row>
    <row r="1079" spans="1:10" x14ac:dyDescent="0.25">
      <c r="A1079" s="37" t="s">
        <v>212</v>
      </c>
      <c r="B1079" s="37" t="s">
        <v>177</v>
      </c>
      <c r="C1079" s="37" t="s">
        <v>202</v>
      </c>
      <c r="D1079" s="37">
        <v>6830</v>
      </c>
      <c r="F1079"/>
      <c r="J1079"/>
    </row>
    <row r="1080" spans="1:10" x14ac:dyDescent="0.25">
      <c r="A1080" s="37" t="s">
        <v>212</v>
      </c>
      <c r="B1080" s="37" t="s">
        <v>177</v>
      </c>
      <c r="C1080" s="37" t="s">
        <v>203</v>
      </c>
      <c r="D1080" s="37">
        <v>3460</v>
      </c>
      <c r="F1080"/>
      <c r="J1080"/>
    </row>
    <row r="1081" spans="1:10" x14ac:dyDescent="0.25">
      <c r="A1081" s="37" t="s">
        <v>212</v>
      </c>
      <c r="B1081" s="37" t="s">
        <v>177</v>
      </c>
      <c r="C1081" s="37" t="s">
        <v>204</v>
      </c>
      <c r="D1081" s="37">
        <v>4981</v>
      </c>
      <c r="F1081"/>
      <c r="J1081"/>
    </row>
    <row r="1082" spans="1:10" x14ac:dyDescent="0.25">
      <c r="A1082" s="37" t="s">
        <v>212</v>
      </c>
      <c r="B1082" s="37" t="s">
        <v>177</v>
      </c>
      <c r="C1082" s="37" t="s">
        <v>201</v>
      </c>
      <c r="D1082" s="37">
        <v>5394</v>
      </c>
      <c r="F1082"/>
      <c r="J1082"/>
    </row>
    <row r="1083" spans="1:10" x14ac:dyDescent="0.25">
      <c r="A1083" s="37" t="s">
        <v>212</v>
      </c>
      <c r="B1083" s="37" t="s">
        <v>177</v>
      </c>
      <c r="C1083" s="37" t="s">
        <v>202</v>
      </c>
      <c r="D1083" s="37">
        <v>3788</v>
      </c>
      <c r="F1083"/>
      <c r="J1083"/>
    </row>
    <row r="1084" spans="1:10" x14ac:dyDescent="0.25">
      <c r="A1084" s="37" t="s">
        <v>212</v>
      </c>
      <c r="B1084" s="37" t="s">
        <v>177</v>
      </c>
      <c r="C1084" s="37" t="s">
        <v>203</v>
      </c>
      <c r="D1084" s="37">
        <v>6104</v>
      </c>
      <c r="F1084"/>
      <c r="J1084"/>
    </row>
    <row r="1085" spans="1:10" x14ac:dyDescent="0.25">
      <c r="A1085" s="37" t="s">
        <v>212</v>
      </c>
      <c r="B1085" s="37" t="s">
        <v>177</v>
      </c>
      <c r="C1085" s="37" t="s">
        <v>204</v>
      </c>
      <c r="D1085" s="37">
        <v>9740</v>
      </c>
      <c r="F1085"/>
      <c r="J1085"/>
    </row>
    <row r="1086" spans="1:10" x14ac:dyDescent="0.25">
      <c r="A1086" s="37" t="s">
        <v>212</v>
      </c>
      <c r="B1086" s="37" t="s">
        <v>177</v>
      </c>
      <c r="C1086" s="37" t="s">
        <v>201</v>
      </c>
      <c r="D1086" s="37">
        <v>5987</v>
      </c>
      <c r="F1086"/>
      <c r="J1086"/>
    </row>
    <row r="1087" spans="1:10" x14ac:dyDescent="0.25">
      <c r="A1087" s="37" t="s">
        <v>212</v>
      </c>
      <c r="B1087" s="37" t="s">
        <v>177</v>
      </c>
      <c r="C1087" s="37" t="s">
        <v>202</v>
      </c>
      <c r="D1087" s="37">
        <v>9330</v>
      </c>
      <c r="F1087"/>
      <c r="J1087"/>
    </row>
    <row r="1088" spans="1:10" x14ac:dyDescent="0.25">
      <c r="A1088" s="37" t="s">
        <v>212</v>
      </c>
      <c r="B1088" s="37" t="s">
        <v>177</v>
      </c>
      <c r="C1088" s="37" t="s">
        <v>203</v>
      </c>
      <c r="D1088" s="37">
        <v>6669</v>
      </c>
      <c r="F1088"/>
      <c r="J1088"/>
    </row>
    <row r="1089" spans="1:10" x14ac:dyDescent="0.25">
      <c r="A1089" s="37" t="s">
        <v>212</v>
      </c>
      <c r="B1089" s="37" t="s">
        <v>177</v>
      </c>
      <c r="C1089" s="37" t="s">
        <v>204</v>
      </c>
      <c r="D1089" s="37">
        <v>5707</v>
      </c>
      <c r="F1089"/>
      <c r="J1089"/>
    </row>
    <row r="1090" spans="1:10" x14ac:dyDescent="0.25">
      <c r="A1090" s="37" t="s">
        <v>212</v>
      </c>
      <c r="B1090" s="37" t="s">
        <v>177</v>
      </c>
      <c r="C1090" s="37" t="s">
        <v>201</v>
      </c>
      <c r="D1090" s="37">
        <v>1777</v>
      </c>
      <c r="F1090"/>
      <c r="J1090"/>
    </row>
    <row r="1091" spans="1:10" x14ac:dyDescent="0.25">
      <c r="A1091" s="37" t="s">
        <v>212</v>
      </c>
      <c r="B1091" s="37" t="s">
        <v>177</v>
      </c>
      <c r="C1091" s="37" t="s">
        <v>202</v>
      </c>
      <c r="D1091" s="37">
        <v>4962</v>
      </c>
      <c r="F1091"/>
      <c r="J1091"/>
    </row>
    <row r="1092" spans="1:10" x14ac:dyDescent="0.25">
      <c r="A1092" s="37" t="s">
        <v>212</v>
      </c>
      <c r="B1092" s="37" t="s">
        <v>177</v>
      </c>
      <c r="C1092" s="37" t="s">
        <v>203</v>
      </c>
      <c r="D1092" s="37">
        <v>3654</v>
      </c>
      <c r="F1092"/>
      <c r="J1092"/>
    </row>
    <row r="1093" spans="1:10" x14ac:dyDescent="0.25">
      <c r="A1093" s="37" t="s">
        <v>212</v>
      </c>
      <c r="B1093" s="37" t="s">
        <v>177</v>
      </c>
      <c r="C1093" s="37" t="s">
        <v>204</v>
      </c>
      <c r="D1093" s="37">
        <v>4895</v>
      </c>
      <c r="F1093"/>
      <c r="J1093"/>
    </row>
    <row r="1094" spans="1:10" x14ac:dyDescent="0.25">
      <c r="A1094" s="37" t="s">
        <v>212</v>
      </c>
      <c r="B1094" s="37" t="s">
        <v>177</v>
      </c>
      <c r="C1094" s="37" t="s">
        <v>201</v>
      </c>
      <c r="D1094" s="37">
        <v>3487</v>
      </c>
      <c r="F1094"/>
      <c r="J1094"/>
    </row>
    <row r="1095" spans="1:10" x14ac:dyDescent="0.25">
      <c r="A1095" s="37" t="s">
        <v>212</v>
      </c>
      <c r="B1095" s="37" t="s">
        <v>177</v>
      </c>
      <c r="C1095" s="37" t="s">
        <v>202</v>
      </c>
      <c r="D1095" s="37">
        <v>8767</v>
      </c>
      <c r="F1095"/>
      <c r="J1095"/>
    </row>
    <row r="1096" spans="1:10" x14ac:dyDescent="0.25">
      <c r="A1096" s="37" t="s">
        <v>212</v>
      </c>
      <c r="B1096" s="37" t="s">
        <v>177</v>
      </c>
      <c r="C1096" s="37" t="s">
        <v>203</v>
      </c>
      <c r="D1096" s="37">
        <v>5609</v>
      </c>
      <c r="F1096"/>
      <c r="J1096"/>
    </row>
    <row r="1097" spans="1:10" x14ac:dyDescent="0.25">
      <c r="A1097" s="37" t="s">
        <v>212</v>
      </c>
      <c r="B1097" s="37" t="s">
        <v>177</v>
      </c>
      <c r="C1097" s="37" t="s">
        <v>204</v>
      </c>
      <c r="D1097" s="37">
        <v>2228</v>
      </c>
      <c r="F1097"/>
      <c r="J109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Summery</vt:lpstr>
      <vt:lpstr>Types of Ref</vt:lpstr>
      <vt:lpstr>Useful Symbol</vt:lpstr>
      <vt:lpstr>All Formulas</vt:lpstr>
      <vt:lpstr>Sumif</vt:lpstr>
      <vt:lpstr>Sum With Subsutitute</vt:lpstr>
      <vt:lpstr>Cumulative Sum</vt:lpstr>
      <vt:lpstr>Evaluate</vt:lpstr>
      <vt:lpstr>AutoSum</vt:lpstr>
      <vt:lpstr>Manual Sum</vt:lpstr>
      <vt:lpstr>Sum with ABS</vt:lpstr>
      <vt:lpstr>Sum with Error</vt:lpstr>
      <vt:lpstr>SUMSQ</vt:lpstr>
      <vt:lpstr>SUMX2MY2</vt:lpstr>
      <vt:lpstr>SUMX2PY2</vt:lpstr>
      <vt:lpstr>SUMXMY2</vt:lpstr>
      <vt:lpstr>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nilesh</dc:creator>
  <cp:lastModifiedBy>Nilesh</cp:lastModifiedBy>
  <dcterms:created xsi:type="dcterms:W3CDTF">2016-03-13T11:35:04Z</dcterms:created>
  <dcterms:modified xsi:type="dcterms:W3CDTF">2019-08-08T03:20:36Z</dcterms:modified>
</cp:coreProperties>
</file>