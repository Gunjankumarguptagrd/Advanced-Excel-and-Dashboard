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0" yWindow="0" windowWidth="10050" windowHeight="5505" tabRatio="822" firstSheet="4" activeTab="16"/>
  </bookViews>
  <sheets>
    <sheet name="SUMMARY" sheetId="1" r:id="rId1"/>
    <sheet name="Indirect-0" sheetId="26" r:id="rId2"/>
    <sheet name="Indirect-1" sheetId="2" r:id="rId3"/>
    <sheet name="Indirect-2" sheetId="3" r:id="rId4"/>
    <sheet name="Indirect-3" sheetId="5" r:id="rId5"/>
    <sheet name="Indirect-4" sheetId="6" r:id="rId6"/>
    <sheet name="Images" sheetId="32" r:id="rId7"/>
    <sheet name="Indirect-6" sheetId="29" r:id="rId8"/>
    <sheet name="Indirect-7" sheetId="10" r:id="rId9"/>
    <sheet name="Indirect-8" sheetId="30" r:id="rId10"/>
    <sheet name="Indirect-9" sheetId="12" r:id="rId11"/>
    <sheet name="Indirect-11" sheetId="16" r:id="rId12"/>
    <sheet name="Indirect-12" sheetId="15" r:id="rId13"/>
    <sheet name="Indirect-20" sheetId="28" r:id="rId14"/>
    <sheet name="Indirect-19" sheetId="27" r:id="rId15"/>
    <sheet name="Sheet21" sheetId="33" r:id="rId16"/>
    <sheet name="Indirect-10" sheetId="13" r:id="rId17"/>
  </sheets>
  <definedNames>
    <definedName name="_xlnm._FilterDatabase" localSheetId="10" hidden="1">'Indirect-9'!$A$1:$B$13</definedName>
    <definedName name="abcd">INDIRECT("Images!B"&amp;MATCH('Indirect-6'!$A$7,Images!$A:$A,0))</definedName>
    <definedName name="Apr">'Indirect-3'!$E$2:$E$10</definedName>
    <definedName name="Aug">'Indirect-3'!$I$2:$I$10</definedName>
    <definedName name="Bangalore">'Indirect-4'!$J$4:$J$7</definedName>
    <definedName name="Bus">'Indirect-3'!$B$3:$M$3</definedName>
    <definedName name="Car">'Indirect-3'!$B$2:$M$2</definedName>
    <definedName name="City">'Indirect-4'!$G$3:$J$3</definedName>
    <definedName name="Dec">'Indirect-3'!$M$2:$M$10</definedName>
    <definedName name="Delhi">'Indirect-4'!$G$4:$G$7</definedName>
    <definedName name="Feb">'Indirect-3'!$C$2:$C$10</definedName>
    <definedName name="Group_A">'Indirect-11'!$C$2:$D$7</definedName>
    <definedName name="Group_B">'Indirect-11'!$E$2:$F$7</definedName>
    <definedName name="Group_C">'Indirect-11'!$G$2:$H$7</definedName>
    <definedName name="Jan">'Indirect-3'!$B$2:$B$10</definedName>
    <definedName name="Jul">'Indirect-3'!$H$2:$H$10</definedName>
    <definedName name="Jun">'Indirect-3'!$G$2:$G$10</definedName>
    <definedName name="Keyboard">'Indirect-3'!$B$9:$M$9</definedName>
    <definedName name="Kolkata">'Indirect-4'!$H$4:$H$7</definedName>
    <definedName name="Laptop">'Indirect-3'!$B$7:$M$7</definedName>
    <definedName name="Mar">'Indirect-3'!$D$2:$D$10</definedName>
    <definedName name="May">'Indirect-3'!$F$2:$F$10</definedName>
    <definedName name="MotherBoard">'Indirect-3'!$B$10:$M$10</definedName>
    <definedName name="Motor">'Indirect-3'!$B$4:$M$4</definedName>
    <definedName name="Mouse">'Indirect-3'!$B$8:$M$8</definedName>
    <definedName name="Mumbai">'Indirect-4'!$I$4:$I$7</definedName>
    <definedName name="Nov">'Indirect-3'!$L$2:$L$10</definedName>
    <definedName name="Oct">'Indirect-3'!$K$2:$K$10</definedName>
    <definedName name="Pic">INDIRECT("Images!B"&amp;MATCH('Indirect-6'!$A$7,Images!$B:$B,0))</definedName>
    <definedName name="Sep">'Indirect-3'!$J$2:$J$10</definedName>
    <definedName name="Ship">'Indirect-3'!$B$6:$M$6</definedName>
    <definedName name="Tempu">'Indirect-3'!$B$5:$M$5</definedName>
  </definedNames>
  <calcPr calcId="145621"/>
</workbook>
</file>

<file path=xl/calcChain.xml><?xml version="1.0" encoding="utf-8"?>
<calcChain xmlns="http://schemas.openxmlformats.org/spreadsheetml/2006/main">
  <c r="E7" i="28" l="1"/>
  <c r="E8" i="28"/>
  <c r="E6" i="28"/>
  <c r="B13" i="13" a="1"/>
  <c r="B6" i="13" a="1"/>
  <c r="B8" i="13" a="1"/>
  <c r="B12" i="13" a="1"/>
  <c r="B16" i="13" a="1"/>
  <c r="B20" i="13" a="1"/>
  <c r="B17" i="13" a="1"/>
  <c r="B21" i="13" a="1"/>
  <c r="B4" i="13" a="1"/>
  <c r="B10" i="13" a="1"/>
  <c r="B14" i="13" a="1"/>
  <c r="B18" i="13" a="1"/>
  <c r="B22" i="13" a="1"/>
  <c r="B23" i="13" a="1"/>
  <c r="B3" i="13" a="1"/>
  <c r="B5" i="13" a="1"/>
  <c r="B7" i="13" a="1"/>
  <c r="B9" i="13" a="1"/>
  <c r="B11" i="13" a="1"/>
  <c r="B15" i="13" a="1"/>
  <c r="B19" i="13" a="1"/>
  <c r="B2" i="13" a="1"/>
  <c r="B3" i="33" a="1"/>
  <c r="B4" i="33" a="1"/>
  <c r="B2" i="33" a="1"/>
  <c r="B5" i="27" a="1"/>
  <c r="B7" i="27" a="1"/>
  <c r="B9" i="27" a="1"/>
  <c r="B11" i="27" a="1"/>
  <c r="B8" i="27" a="1"/>
  <c r="B6" i="27" a="1"/>
  <c r="B10" i="27" a="1"/>
  <c r="B12" i="27" a="1"/>
  <c r="B4" i="27" a="1"/>
  <c r="B7" i="28" a="1"/>
  <c r="D7" i="28" a="1"/>
  <c r="C8" i="28" a="1"/>
  <c r="B8" i="28" a="1"/>
  <c r="C7" i="28" a="1"/>
  <c r="D8" i="28" a="1"/>
  <c r="D6" i="28" a="1"/>
  <c r="C6" i="28" a="1"/>
  <c r="B6" i="28" a="1"/>
  <c r="B4" i="15" a="1"/>
  <c r="D5" i="15" a="1"/>
  <c r="B6" i="15" a="1"/>
  <c r="B7" i="15" a="1"/>
  <c r="B8" i="15" a="1"/>
  <c r="B9" i="15" a="1"/>
  <c r="E4" i="15" a="1"/>
  <c r="C5" i="15" a="1"/>
  <c r="C6" i="15" a="1"/>
  <c r="C7" i="15" a="1"/>
  <c r="C8" i="15" a="1"/>
  <c r="C9" i="15" a="1"/>
  <c r="C4" i="15" a="1"/>
  <c r="E5" i="15" a="1"/>
  <c r="E6" i="15" a="1"/>
  <c r="E7" i="15" a="1"/>
  <c r="E8" i="15" a="1"/>
  <c r="E9" i="15" a="1"/>
  <c r="D4" i="15" a="1"/>
  <c r="B5" i="15" a="1"/>
  <c r="D6" i="15" a="1"/>
  <c r="D7" i="15" a="1"/>
  <c r="D8" i="15" a="1"/>
  <c r="D9" i="15" a="1"/>
  <c r="E3" i="15" a="1"/>
  <c r="D3" i="15" a="1"/>
  <c r="C3" i="15" a="1"/>
  <c r="B3" i="15" a="1"/>
  <c r="B12" i="16" a="1"/>
  <c r="F3" i="12"/>
  <c r="L8" i="29"/>
  <c r="C14" i="5"/>
  <c r="A3" i="3"/>
  <c r="A7" i="3"/>
  <c r="A4" i="3"/>
  <c r="A8" i="3"/>
  <c r="A5" i="3"/>
  <c r="A6" i="3"/>
  <c r="A2" i="3"/>
  <c r="C3" i="2"/>
  <c r="D3" i="2"/>
  <c r="F3" i="2"/>
  <c r="E3" i="2"/>
  <c r="B3" i="2"/>
  <c r="B19" i="13" l="1"/>
  <c r="B15" i="13"/>
  <c r="B11" i="13"/>
  <c r="B9" i="13"/>
  <c r="B7" i="13"/>
  <c r="B5" i="13"/>
  <c r="B3" i="13"/>
  <c r="B23" i="13"/>
  <c r="B22" i="13"/>
  <c r="B18" i="13"/>
  <c r="B14" i="13"/>
  <c r="B10" i="13"/>
  <c r="B4" i="13"/>
  <c r="B21" i="13"/>
  <c r="B17" i="13"/>
  <c r="B20" i="13"/>
  <c r="B16" i="13"/>
  <c r="B12" i="13"/>
  <c r="B8" i="13"/>
  <c r="B6" i="13"/>
  <c r="B13" i="13"/>
  <c r="B2" i="13"/>
  <c r="B4" i="33"/>
  <c r="B3" i="33"/>
  <c r="B2" i="33"/>
  <c r="B12" i="27"/>
  <c r="C12" i="27" s="1"/>
  <c r="B10" i="27"/>
  <c r="C10" i="27" s="1"/>
  <c r="B6" i="27"/>
  <c r="C6" i="27" s="1"/>
  <c r="B8" i="27"/>
  <c r="C8" i="27" s="1"/>
  <c r="B11" i="27"/>
  <c r="C11" i="27" s="1"/>
  <c r="B9" i="27"/>
  <c r="C9" i="27" s="1"/>
  <c r="B7" i="27"/>
  <c r="C7" i="27" s="1"/>
  <c r="B5" i="27"/>
  <c r="C5" i="27" s="1"/>
  <c r="B4" i="27"/>
  <c r="C4" i="27" s="1"/>
  <c r="D8" i="28"/>
  <c r="C7" i="28"/>
  <c r="B8" i="28"/>
  <c r="C8" i="28"/>
  <c r="D7" i="28"/>
  <c r="B7" i="28"/>
  <c r="D6" i="28"/>
  <c r="C6" i="28"/>
  <c r="B6" i="28"/>
  <c r="D9" i="15"/>
  <c r="D8" i="15"/>
  <c r="D7" i="15"/>
  <c r="D6" i="15"/>
  <c r="B5" i="15"/>
  <c r="D4" i="15"/>
  <c r="E9" i="15"/>
  <c r="E8" i="15"/>
  <c r="E7" i="15"/>
  <c r="E6" i="15"/>
  <c r="E5" i="15"/>
  <c r="C4" i="15"/>
  <c r="C9" i="15"/>
  <c r="C8" i="15"/>
  <c r="C7" i="15"/>
  <c r="C6" i="15"/>
  <c r="C5" i="15"/>
  <c r="E4" i="15"/>
  <c r="B9" i="15"/>
  <c r="B8" i="15"/>
  <c r="B7" i="15"/>
  <c r="B6" i="15"/>
  <c r="D5" i="15"/>
  <c r="B4" i="15"/>
  <c r="E3" i="15"/>
  <c r="D3" i="15"/>
  <c r="C3" i="15"/>
  <c r="B3" i="15"/>
  <c r="B12" i="16"/>
  <c r="B14" i="16"/>
  <c r="B16" i="16"/>
  <c r="C15" i="16"/>
  <c r="C12" i="16"/>
  <c r="C14" i="16"/>
  <c r="C16" i="16"/>
  <c r="C17" i="16"/>
  <c r="B13" i="16"/>
  <c r="B15" i="16"/>
  <c r="B17" i="16"/>
  <c r="C13" i="16"/>
  <c r="B15" i="33"/>
  <c r="C1" i="2"/>
  <c r="G1" i="2"/>
  <c r="E1" i="2"/>
  <c r="D1" i="2"/>
  <c r="H1" i="2"/>
  <c r="F1" i="2"/>
  <c r="B1" i="2"/>
  <c r="G3" i="26"/>
  <c r="G8" i="26"/>
  <c r="G5" i="26"/>
  <c r="K6" i="28" l="1"/>
  <c r="K7" i="28"/>
  <c r="K8" i="28"/>
  <c r="K9" i="28"/>
  <c r="K10" i="28"/>
  <c r="K5" i="28"/>
  <c r="J6" i="28"/>
  <c r="J7" i="28"/>
  <c r="J8" i="28"/>
  <c r="J9" i="28"/>
  <c r="J10" i="28"/>
  <c r="J5" i="28"/>
  <c r="O2" i="28" l="1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1" i="28"/>
  <c r="G9" i="13" l="1"/>
  <c r="I6" i="27" l="1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5" i="27"/>
  <c r="I4" i="27"/>
  <c r="I6" i="28" l="1"/>
  <c r="I5" i="28"/>
  <c r="I10" i="28" l="1"/>
  <c r="I9" i="28"/>
  <c r="I8" i="28"/>
  <c r="I7" i="28"/>
  <c r="S3" i="15" l="1"/>
  <c r="S4" i="15"/>
  <c r="S5" i="15"/>
  <c r="S6" i="15"/>
  <c r="S7" i="15"/>
  <c r="S8" i="15"/>
  <c r="S9" i="15"/>
  <c r="S10" i="15"/>
  <c r="S11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" i="15"/>
  <c r="G35" i="10" l="1"/>
</calcChain>
</file>

<file path=xl/sharedStrings.xml><?xml version="1.0" encoding="utf-8"?>
<sst xmlns="http://schemas.openxmlformats.org/spreadsheetml/2006/main" count="298" uniqueCount="195">
  <si>
    <t>name</t>
  </si>
  <si>
    <t>Name</t>
  </si>
  <si>
    <t>CompnayName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</si>
  <si>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</si>
  <si>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</si>
  <si>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</si>
  <si>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</si>
  <si>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</si>
  <si>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</si>
  <si>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</si>
  <si>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</si>
  <si>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</si>
  <si>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</si>
  <si>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</si>
  <si>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</si>
  <si>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Kolkata</t>
  </si>
  <si>
    <t>Delhi</t>
  </si>
  <si>
    <t>Mumbai</t>
  </si>
  <si>
    <t>Bangalore</t>
  </si>
  <si>
    <t>CP</t>
  </si>
  <si>
    <t>Nehru Place</t>
  </si>
  <si>
    <t>Ashok Nagar</t>
  </si>
  <si>
    <t>South Ex</t>
  </si>
  <si>
    <t>Howrah</t>
  </si>
  <si>
    <t>Camac Street</t>
  </si>
  <si>
    <t>salt Lake</t>
  </si>
  <si>
    <t>Dharamtala</t>
  </si>
  <si>
    <t>Borribely</t>
  </si>
  <si>
    <t>Juhu</t>
  </si>
  <si>
    <t>Andheri</t>
  </si>
  <si>
    <t>Bandra</t>
  </si>
  <si>
    <t>Domluru</t>
  </si>
  <si>
    <t>Korbangla</t>
  </si>
  <si>
    <t>White Field</t>
  </si>
  <si>
    <t>Vijay Malya Road</t>
  </si>
  <si>
    <t>Sum</t>
  </si>
  <si>
    <t>Multiply</t>
  </si>
  <si>
    <t>Color</t>
  </si>
  <si>
    <t>Index No.</t>
  </si>
  <si>
    <t>Month Name</t>
  </si>
  <si>
    <t>Salary</t>
  </si>
  <si>
    <t>Select Start Month</t>
  </si>
  <si>
    <t>Select End Month</t>
  </si>
  <si>
    <t>Total Salary</t>
  </si>
  <si>
    <t>Mixed Data</t>
  </si>
  <si>
    <t>ewrew8860339000dfdf</t>
  </si>
  <si>
    <t>ewrew9810241172-35</t>
  </si>
  <si>
    <t>rdf9999377066dfs5fd</t>
  </si>
  <si>
    <t>wer9873744954df43</t>
  </si>
  <si>
    <t>53sdf9818803734adf443</t>
  </si>
  <si>
    <t>45df9266494491sfg</t>
  </si>
  <si>
    <t>rew8459022058gd</t>
  </si>
  <si>
    <t xml:space="preserve"> fs8447060022adf453</t>
  </si>
  <si>
    <t>rwe9560682826ds35</t>
  </si>
  <si>
    <t>rew9958111357ds5</t>
  </si>
  <si>
    <t>23r9711678805sdf3</t>
  </si>
  <si>
    <t>wer8285529150d4</t>
  </si>
  <si>
    <t>rdf9953068326df53df</t>
  </si>
  <si>
    <t>df45fd9868814541df3</t>
  </si>
  <si>
    <t>sd9810108418df345</t>
  </si>
  <si>
    <t>345df9540071572sf5</t>
  </si>
  <si>
    <t>sf9540071572df543</t>
  </si>
  <si>
    <t>Number</t>
  </si>
  <si>
    <t>Min Value of Cell</t>
  </si>
  <si>
    <t>Max Value of Cell</t>
  </si>
  <si>
    <t>Sr. No.</t>
  </si>
  <si>
    <t>Age</t>
  </si>
  <si>
    <t>Vipin</t>
  </si>
  <si>
    <t>sanjay</t>
  </si>
  <si>
    <t>Ramesh</t>
  </si>
  <si>
    <t>Vimal</t>
  </si>
  <si>
    <t>sandeep</t>
  </si>
  <si>
    <t>Anil</t>
  </si>
  <si>
    <t>Ravi</t>
  </si>
  <si>
    <t>sahu</t>
  </si>
  <si>
    <t>RAJd9958ff405019e34</t>
  </si>
  <si>
    <t>Cap. Count</t>
  </si>
  <si>
    <t>A</t>
  </si>
  <si>
    <t xml:space="preserve"> =SUM(INDIRECT(ADDRESS(MATCH(D3,$A$1:$A$13,0),2)&amp;":"&amp;ADDRESS(MATCH(E3,$A$1:$A$13,0),2)))</t>
  </si>
  <si>
    <t xml:space="preserve"> =SUM(INDIRECT("B"&amp;MATCH(D3,A1:A13,0)&amp;":B"&amp;MATCH(E3,A1:A13,0)))</t>
  </si>
  <si>
    <t xml:space="preserve"> =INDIRECT(ADDRESS(1,ROW()))</t>
  </si>
  <si>
    <t xml:space="preserve"> =GET.CELL(63,INDIRECT("RC[-1]",))</t>
  </si>
  <si>
    <t xml:space="preserve"> =INT(MID(A2,MATCH(TRUE,ISNUMBER(VALUE(MID(A2,ROW(INDIRECT("1:"&amp;LEN(A2))),10))),0),10))</t>
  </si>
  <si>
    <t xml:space="preserve"> =IF(LEN(INT(MID(A3,MATCH(TRUE,ISNUMBER(VALUE(MID(A3,ROW(INDIRECT("1:"&amp;LEN(A3))),10))),0),10)))=10,INT(MID(A3,MATCH(TRUE,ISNUMBER(VALUE(MID(A3,ROW(INDIRECT("1:"&amp;LEN(A3))),10))),0),10)),"")</t>
  </si>
  <si>
    <t xml:space="preserve"> =INDIRECT(SUBSTITUTE(F16," ",""))</t>
  </si>
  <si>
    <t xml:space="preserve"> =MIN(INT(MID(A3,ROW(INDIRECT("1:"&amp;LEN(A3))),1)))</t>
  </si>
  <si>
    <t xml:space="preserve"> =MAX(INT(MID(A3,ROW(INDIRECT("1:"&amp;LEN(A3))),1)))</t>
  </si>
  <si>
    <t>Min Val</t>
  </si>
  <si>
    <t>Max Val</t>
  </si>
  <si>
    <t xml:space="preserve"> =SUMPRODUCT(--(LEN(A13)-LEN(SUBSTITUTE($A13,CHAR(ROW(INDIRECT("65:90"))),""))))</t>
  </si>
  <si>
    <t>Caps Count</t>
  </si>
  <si>
    <t>Group_A</t>
  </si>
  <si>
    <t>Group_B</t>
  </si>
  <si>
    <t>Group_C</t>
  </si>
  <si>
    <t>Sanjay Kumar</t>
  </si>
  <si>
    <t>B</t>
  </si>
  <si>
    <t>B2</t>
  </si>
  <si>
    <t>B5</t>
  </si>
  <si>
    <t>C2</t>
  </si>
  <si>
    <t>B10</t>
  </si>
  <si>
    <t>A3</t>
  </si>
  <si>
    <t>A6</t>
  </si>
  <si>
    <t>B8</t>
  </si>
  <si>
    <t>C</t>
  </si>
  <si>
    <t>INDIRECT</t>
  </si>
  <si>
    <t>FullName</t>
  </si>
  <si>
    <t>First name</t>
  </si>
  <si>
    <t>Last name</t>
  </si>
  <si>
    <t>MohitJain</t>
  </si>
  <si>
    <t>SunilTiwari</t>
  </si>
  <si>
    <t>MuthaiyaMurlidharan</t>
  </si>
  <si>
    <t>LokeshPathak</t>
  </si>
  <si>
    <t>SachinTendulkar</t>
  </si>
  <si>
    <t>KapilSingh</t>
  </si>
  <si>
    <t>ShobhitRajput</t>
  </si>
  <si>
    <t>chandanBisht</t>
  </si>
  <si>
    <t>SubramaniyamSwami</t>
  </si>
  <si>
    <t xml:space="preserve"> =LEFT(A2,MIN(FIND(CHAR(ROW(INDIRECT("65:90"))),A2&amp;CHAR(ROW(INDIRECT("65:90"))),2)-1))</t>
  </si>
  <si>
    <t>esdf995306563df3</t>
  </si>
  <si>
    <t>CSE</t>
  </si>
  <si>
    <t>5353w810105370qw4354</t>
  </si>
  <si>
    <t>Z</t>
  </si>
  <si>
    <t>a</t>
  </si>
  <si>
    <t>z</t>
  </si>
  <si>
    <t>Cap letter</t>
  </si>
  <si>
    <t>Small letter</t>
  </si>
  <si>
    <t>jdfkajdf4534j5kl534534</t>
  </si>
  <si>
    <t>KIadfaf7879UNMasdfk</t>
  </si>
  <si>
    <t>Car</t>
  </si>
  <si>
    <t>Bus</t>
  </si>
  <si>
    <t>Motor</t>
  </si>
  <si>
    <t>Tempu</t>
  </si>
  <si>
    <t>Laptop</t>
  </si>
  <si>
    <t>Mouse</t>
  </si>
  <si>
    <t>Keyboard</t>
  </si>
  <si>
    <t>MotherBoard</t>
  </si>
  <si>
    <t>c18</t>
  </si>
  <si>
    <t>Ship</t>
  </si>
  <si>
    <t>Mumabi</t>
  </si>
  <si>
    <t>Assam</t>
  </si>
  <si>
    <t>Gujrat</t>
  </si>
  <si>
    <t>Bengal</t>
  </si>
  <si>
    <t>Maharashtra</t>
  </si>
  <si>
    <t>Bihar</t>
  </si>
  <si>
    <t>Patna</t>
  </si>
  <si>
    <t>Gurgaon</t>
  </si>
  <si>
    <t xml:space="preserve"> =get.cell(20,INDIRECT("RC[-1]",))</t>
  </si>
  <si>
    <t>Italic</t>
  </si>
  <si>
    <t>Underline</t>
  </si>
  <si>
    <t>formula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</si>
  <si>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</si>
  <si>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</si>
  <si>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</si>
  <si>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</si>
  <si>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</si>
  <si>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</si>
  <si>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</si>
  <si>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</si>
  <si>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</si>
  <si>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</si>
  <si>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</si>
  <si>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</si>
  <si>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</si>
  <si>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</si>
  <si>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</si>
  <si>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</si>
  <si>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</si>
  <si>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</si>
  <si>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</si>
  <si>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</si>
  <si>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</si>
  <si>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</si>
  <si>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B11</t>
  </si>
  <si>
    <t xml:space="preserve"> =get.cell(22,INDIRECT("RC[-1]",))</t>
  </si>
  <si>
    <t>33ed4sd9582121827dfd35</t>
  </si>
  <si>
    <t>Ram Kumar Singh</t>
  </si>
  <si>
    <t xml:space="preserve"> =MID(E9,FIND(" ",E9)+1,FIND(" ",E9,FIND(" ",E9)+1)-FIND(" ",E9))</t>
  </si>
  <si>
    <t>j787erfsd9873903709sds4</t>
  </si>
  <si>
    <t>Nilesh</t>
  </si>
  <si>
    <t>Raj</t>
  </si>
  <si>
    <t>Shyam</t>
  </si>
  <si>
    <t>No</t>
  </si>
  <si>
    <t xml:space="preserve"> =IF(A2="","",SUMPRODUCT(CODE(MID(UPPER(A2),ROW(INDIRECT("1:"&amp;LEN(A2))),1))-64))</t>
  </si>
  <si>
    <t>a3</t>
  </si>
  <si>
    <t>dfkajireueiMiLHGFDD</t>
  </si>
  <si>
    <t xml:space="preserve"> =SUMPRODUCT(--(LEN(A6)-LEN(SUBSTITUTE(A6,CHAR(ROW(INDIRECT("65:90"))),""))))</t>
  </si>
  <si>
    <t>A2</t>
  </si>
  <si>
    <t>MIS</t>
  </si>
  <si>
    <t>d</t>
  </si>
  <si>
    <t>e</t>
  </si>
  <si>
    <t>Overall</t>
  </si>
  <si>
    <t>c</t>
  </si>
  <si>
    <t>PBI</t>
  </si>
  <si>
    <t>f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</si>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</sst>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52">
    <xf numFmtId="0" fontId="0" fillId="0" borderId="0" xfId="0"/>
    <xf numFmtId="0" fontId="0" fillId="0" borderId="2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0" xfId="0" applyFont="1"/>
    <xf numFmtId="0" fontId="0" fillId="0" borderId="2" xfId="0" applyFont="1" applyBorder="1"/>
    <xf numFmtId="0" fontId="0" fillId="7" borderId="2" xfId="0" applyFont="1" applyFill="1" applyBorder="1"/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2" xfId="0" applyFill="1" applyBorder="1"/>
    <xf numFmtId="0" fontId="0" fillId="15" borderId="2" xfId="0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5" borderId="2" xfId="4" applyFont="1" applyBorder="1" applyAlignment="1">
      <alignment horizontal="center"/>
    </xf>
    <xf numFmtId="0" fontId="0" fillId="14" borderId="2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" fillId="3" borderId="2" xfId="2" applyFont="1" applyBorder="1" applyAlignment="1">
      <alignment horizontal="center" vertical="center"/>
    </xf>
    <xf numFmtId="0" fontId="1" fillId="4" borderId="0" xfId="3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1" fillId="2" borderId="2" xfId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4" fillId="8" borderId="2" xfId="0" applyFont="1" applyFill="1" applyBorder="1"/>
    <xf numFmtId="0" fontId="4" fillId="0" borderId="2" xfId="0" applyFont="1" applyBorder="1" applyAlignment="1">
      <alignment horizontal="center" vertical="center"/>
    </xf>
    <xf numFmtId="0" fontId="8" fillId="0" borderId="0" xfId="0" applyFont="1"/>
    <xf numFmtId="0" fontId="4" fillId="6" borderId="2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0" borderId="0" xfId="0" applyBorder="1"/>
    <xf numFmtId="0" fontId="0" fillId="6" borderId="2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4" fillId="0" borderId="0" xfId="0" applyFont="1"/>
    <xf numFmtId="0" fontId="4" fillId="6" borderId="2" xfId="0" applyFont="1" applyFill="1" applyBorder="1" applyAlignment="1">
      <alignment horizontal="center" vertical="center"/>
    </xf>
    <xf numFmtId="0" fontId="0" fillId="14" borderId="3" xfId="0" applyFill="1" applyBorder="1"/>
    <xf numFmtId="0" fontId="0" fillId="0" borderId="0" xfId="0" applyAlignment="1">
      <alignment horizontal="center" vertical="center"/>
    </xf>
    <xf numFmtId="0" fontId="0" fillId="15" borderId="6" xfId="0" applyFill="1" applyBorder="1" applyAlignment="1">
      <alignment horizontal="center"/>
    </xf>
    <xf numFmtId="0" fontId="7" fillId="1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6" borderId="0" xfId="0" applyFill="1"/>
  </cellXfs>
  <cellStyles count="5">
    <cellStyle name="Accent1" xfId="2" builtinId="29"/>
    <cellStyle name="Accent2" xfId="3" builtinId="33"/>
    <cellStyle name="Accent4" xfId="4" builtinId="41"/>
    <cellStyle name="Check Cell" xfId="1" builtinId="23"/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505440</xdr:colOff>
      <xdr:row>0</xdr:row>
      <xdr:rowOff>77940</xdr:rowOff>
    </xdr:from>
    <xdr:to>
      <xdr:col>19</xdr:col>
      <xdr:colOff>343515</xdr:colOff>
      <xdr:row>9</xdr:row>
      <xdr:rowOff>57354</xdr:rowOff>
    </xdr:to>
    <xdr:pic>
      <xdr:nvPicPr>
        <xdr:cNvPr id="20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63290" y="77940"/>
          <a:ext cx="2276475" cy="169391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0</xdr:row>
      <xdr:rowOff>51288</xdr:rowOff>
    </xdr:from>
    <xdr:to>
      <xdr:col>16</xdr:col>
      <xdr:colOff>257439</xdr:colOff>
      <xdr:row>10</xdr:row>
      <xdr:rowOff>138257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2596" y="51288"/>
          <a:ext cx="2499477" cy="1991969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11</xdr:row>
      <xdr:rowOff>0</xdr:rowOff>
    </xdr:from>
    <xdr:to>
      <xdr:col>16</xdr:col>
      <xdr:colOff>329402</xdr:colOff>
      <xdr:row>19</xdr:row>
      <xdr:rowOff>123619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7846" y="2095500"/>
          <a:ext cx="2476190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21</xdr:row>
      <xdr:rowOff>0</xdr:rowOff>
    </xdr:from>
    <xdr:to>
      <xdr:col>18</xdr:col>
      <xdr:colOff>103574</xdr:colOff>
      <xdr:row>36</xdr:row>
      <xdr:rowOff>132976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2096" y="4000500"/>
          <a:ext cx="3752381" cy="29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66674</xdr:colOff>
      <xdr:row>1</xdr:row>
      <xdr:rowOff>54768</xdr:rowOff>
    </xdr:from>
    <xdr:to>
      <xdr:col>1</xdr:col>
      <xdr:colOff>2266950</xdr:colOff>
      <xdr:row>1</xdr:row>
      <xdr:rowOff>1609725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" y="245268"/>
          <a:ext cx="2200276" cy="155495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57149</xdr:rowOff>
    </xdr:from>
    <xdr:to>
      <xdr:col>1</xdr:col>
      <xdr:colOff>2266950</xdr:colOff>
      <xdr:row>2</xdr:row>
      <xdr:rowOff>1590675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904999"/>
          <a:ext cx="2209800" cy="1533526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3</xdr:row>
      <xdr:rowOff>88105</xdr:rowOff>
    </xdr:from>
    <xdr:to>
      <xdr:col>1</xdr:col>
      <xdr:colOff>2286000</xdr:colOff>
      <xdr:row>3</xdr:row>
      <xdr:rowOff>1581150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593305"/>
          <a:ext cx="2219325" cy="14930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</xdr:row>
          <xdr:rowOff>9525</xdr:rowOff>
        </xdr:from>
        <xdr:to>
          <xdr:col>6</xdr:col>
          <xdr:colOff>604157</xdr:colOff>
          <xdr:row>13</xdr:row>
          <xdr:rowOff>161925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abcd" spid="_x0000_s32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43025" y="581025"/>
              <a:ext cx="2918732" cy="2057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17689</xdr:colOff>
      <xdr:row>18</xdr:row>
      <xdr:rowOff>80622</xdr:rowOff>
    </xdr:from>
    <xdr:to>
      <xdr:col>25</xdr:col>
      <xdr:colOff>455838</xdr:colOff>
      <xdr:row>40</xdr:row>
      <xdr:rowOff>23472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80889" y="3509622"/>
          <a:ext cx="5314949" cy="4133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293077</xdr:colOff>
      <xdr:row>8</xdr:row>
      <xdr:rowOff>168519</xdr:rowOff>
    </xdr:from>
    <xdr:to>
      <xdr:col>4</xdr:col>
      <xdr:colOff>381000</xdr:colOff>
      <xdr:row>13</xdr:row>
      <xdr:rowOff>51288</xdr:rowOff>
    </xdr:to>
    <xdr:cxnSp macro="">
      <xdr:nvCxnSpPr>
        <xdr:cNvPr id="5" name="Straight Arrow Connector 4"/>
        <xdr:cNvCxnSpPr/>
      </xdr:nvCxnSpPr>
      <xdr:spPr>
        <a:xfrm flipH="1" flipV="1">
          <a:off x="4960327" y="1692519"/>
          <a:ext cx="87923" cy="83526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315058</xdr:colOff>
      <xdr:row>8</xdr:row>
      <xdr:rowOff>183173</xdr:rowOff>
    </xdr:from>
    <xdr:to>
      <xdr:col>6</xdr:col>
      <xdr:colOff>35170</xdr:colOff>
      <xdr:row>13</xdr:row>
      <xdr:rowOff>49824</xdr:rowOff>
    </xdr:to>
    <xdr:cxnSp macro="">
      <xdr:nvCxnSpPr>
        <xdr:cNvPr id="6" name="Straight Arrow Connector 5"/>
        <xdr:cNvCxnSpPr/>
      </xdr:nvCxnSpPr>
      <xdr:spPr>
        <a:xfrm flipH="1" flipV="1">
          <a:off x="4982308" y="1707173"/>
          <a:ext cx="936381" cy="81915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8</xdr:row>
      <xdr:rowOff>161192</xdr:rowOff>
    </xdr:from>
    <xdr:to>
      <xdr:col>7</xdr:col>
      <xdr:colOff>109905</xdr:colOff>
      <xdr:row>13</xdr:row>
      <xdr:rowOff>51290</xdr:rowOff>
    </xdr:to>
    <xdr:cxnSp macro="">
      <xdr:nvCxnSpPr>
        <xdr:cNvPr id="8" name="Straight Arrow Connector 7"/>
        <xdr:cNvCxnSpPr/>
      </xdr:nvCxnSpPr>
      <xdr:spPr>
        <a:xfrm flipH="1" flipV="1">
          <a:off x="5370635" y="1685192"/>
          <a:ext cx="1230924" cy="84259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307731</xdr:colOff>
      <xdr:row>8</xdr:row>
      <xdr:rowOff>175846</xdr:rowOff>
    </xdr:from>
    <xdr:to>
      <xdr:col>8</xdr:col>
      <xdr:colOff>430824</xdr:colOff>
      <xdr:row>13</xdr:row>
      <xdr:rowOff>64478</xdr:rowOff>
    </xdr:to>
    <xdr:cxnSp macro="">
      <xdr:nvCxnSpPr>
        <xdr:cNvPr id="10" name="Straight Arrow Connector 9"/>
        <xdr:cNvCxnSpPr/>
      </xdr:nvCxnSpPr>
      <xdr:spPr>
        <a:xfrm flipH="1" flipV="1">
          <a:off x="4974981" y="1699846"/>
          <a:ext cx="2555631" cy="84113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8:M9"/>
  <sheetViews>
    <sheetView workbookViewId="0">
      <selection activeCell="O8" sqref="O8"/>
    </sheetView>
  </sheetViews>
  <sheetFormatPr defaultRowHeight="15" x14ac:dyDescent="0.25"/>
  <sheetData>
    <row r="8" spans="7:13" x14ac:dyDescent="0.25">
      <c r="G8" s="46" t="s">
        <v>104</v>
      </c>
      <c r="H8" s="46"/>
      <c r="I8" s="46"/>
      <c r="J8" s="46"/>
      <c r="K8" s="46"/>
      <c r="L8" s="46"/>
      <c r="M8" s="46"/>
    </row>
    <row r="9" spans="7:13" x14ac:dyDescent="0.25">
      <c r="G9" s="46"/>
      <c r="H9" s="46"/>
      <c r="I9" s="46"/>
      <c r="J9" s="46"/>
      <c r="K9" s="46"/>
      <c r="L9" s="46"/>
      <c r="M9" s="46"/>
    </row>
  </sheetData>
  <mergeCells count="1">
    <mergeCell ref="G8:M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2"/>
  <sheetViews>
    <sheetView zoomScale="160" zoomScaleNormal="160" workbookViewId="0">
      <selection activeCell="G4" sqref="G4"/>
    </sheetView>
  </sheetViews>
  <sheetFormatPr defaultRowHeight="15" x14ac:dyDescent="0.25"/>
  <sheetData>
    <row r="1" spans="1:7" x14ac:dyDescent="0.25">
      <c r="A1" s="15" t="s">
        <v>96</v>
      </c>
      <c r="B1" s="15">
        <v>13</v>
      </c>
      <c r="C1" s="15">
        <v>13</v>
      </c>
    </row>
    <row r="2" spans="1:7" x14ac:dyDescent="0.25">
      <c r="A2" s="15">
        <v>18</v>
      </c>
      <c r="B2" s="15" t="s">
        <v>77</v>
      </c>
      <c r="C2" s="15" t="s">
        <v>100</v>
      </c>
    </row>
    <row r="3" spans="1:7" x14ac:dyDescent="0.25">
      <c r="A3" s="15">
        <v>22</v>
      </c>
      <c r="B3" s="15">
        <v>20</v>
      </c>
      <c r="C3" s="15">
        <v>11</v>
      </c>
      <c r="G3" t="e">
        <f ca="1">INDIRECT(A2)</f>
        <v>#REF!</v>
      </c>
    </row>
    <row r="4" spans="1:7" x14ac:dyDescent="0.25">
      <c r="A4" s="15" t="s">
        <v>97</v>
      </c>
      <c r="B4" s="15" t="s">
        <v>172</v>
      </c>
      <c r="C4" s="15">
        <v>11</v>
      </c>
    </row>
    <row r="5" spans="1:7" x14ac:dyDescent="0.25">
      <c r="A5" s="15">
        <v>13</v>
      </c>
      <c r="B5" s="15">
        <v>12</v>
      </c>
      <c r="C5" s="15" t="s">
        <v>101</v>
      </c>
      <c r="G5">
        <f ca="1">INDIRECT(B9)</f>
        <v>18</v>
      </c>
    </row>
    <row r="6" spans="1:7" x14ac:dyDescent="0.25">
      <c r="A6" s="15" t="s">
        <v>98</v>
      </c>
      <c r="B6" s="33" t="s">
        <v>183</v>
      </c>
      <c r="C6" s="15" t="s">
        <v>136</v>
      </c>
    </row>
    <row r="7" spans="1:7" x14ac:dyDescent="0.25">
      <c r="A7" s="15">
        <v>11</v>
      </c>
      <c r="B7" s="15">
        <v>12</v>
      </c>
      <c r="C7" s="15">
        <v>11</v>
      </c>
    </row>
    <row r="8" spans="1:7" x14ac:dyDescent="0.25">
      <c r="A8" s="15" t="s">
        <v>99</v>
      </c>
      <c r="B8" s="15">
        <v>16</v>
      </c>
      <c r="C8" s="15" t="s">
        <v>102</v>
      </c>
      <c r="G8" t="str">
        <f ca="1">INDIRECT("B9")</f>
        <v>A2</v>
      </c>
    </row>
    <row r="9" spans="1:7" x14ac:dyDescent="0.25">
      <c r="A9" s="15">
        <v>14</v>
      </c>
      <c r="B9" s="15" t="s">
        <v>186</v>
      </c>
      <c r="C9" s="15">
        <v>11</v>
      </c>
    </row>
    <row r="10" spans="1:7" x14ac:dyDescent="0.25">
      <c r="A10" s="15">
        <v>18</v>
      </c>
      <c r="B10" s="33">
        <v>11</v>
      </c>
      <c r="C10" s="15">
        <v>14</v>
      </c>
    </row>
    <row r="11" spans="1:7" x14ac:dyDescent="0.25">
      <c r="A11" s="15">
        <v>11</v>
      </c>
      <c r="B11" s="15">
        <v>15</v>
      </c>
      <c r="C11" s="15" t="s">
        <v>96</v>
      </c>
    </row>
    <row r="12" spans="1:7" x14ac:dyDescent="0.25">
      <c r="A12" s="15" t="s">
        <v>96</v>
      </c>
      <c r="B12" s="15">
        <v>13</v>
      </c>
      <c r="C12" s="15">
        <v>13</v>
      </c>
    </row>
    <row r="13" spans="1:7" x14ac:dyDescent="0.25">
      <c r="A13" s="15">
        <v>18</v>
      </c>
      <c r="B13" s="15" t="s">
        <v>77</v>
      </c>
      <c r="C13" s="15" t="s">
        <v>100</v>
      </c>
    </row>
    <row r="14" spans="1:7" x14ac:dyDescent="0.25">
      <c r="A14" s="15">
        <v>22</v>
      </c>
      <c r="B14" s="15">
        <v>20</v>
      </c>
      <c r="C14" s="15">
        <v>11</v>
      </c>
    </row>
    <row r="15" spans="1:7" x14ac:dyDescent="0.25">
      <c r="A15" s="15" t="s">
        <v>97</v>
      </c>
      <c r="B15" s="15" t="s">
        <v>95</v>
      </c>
      <c r="C15" s="15">
        <v>11</v>
      </c>
    </row>
    <row r="16" spans="1:7" x14ac:dyDescent="0.25">
      <c r="A16" s="15">
        <v>13</v>
      </c>
      <c r="B16" s="15">
        <v>12</v>
      </c>
      <c r="C16" s="15" t="s">
        <v>101</v>
      </c>
    </row>
    <row r="17" spans="1:3" x14ac:dyDescent="0.25">
      <c r="A17" s="15" t="s">
        <v>98</v>
      </c>
      <c r="B17" s="15">
        <v>19</v>
      </c>
      <c r="C17" s="15">
        <v>18</v>
      </c>
    </row>
    <row r="18" spans="1:3" x14ac:dyDescent="0.25">
      <c r="A18" s="15">
        <v>11</v>
      </c>
      <c r="B18" s="15">
        <v>12</v>
      </c>
      <c r="C18" s="33">
        <v>11</v>
      </c>
    </row>
    <row r="19" spans="1:3" x14ac:dyDescent="0.25">
      <c r="A19" s="15" t="s">
        <v>99</v>
      </c>
      <c r="B19" s="15">
        <v>16</v>
      </c>
      <c r="C19" s="15" t="s">
        <v>102</v>
      </c>
    </row>
    <row r="20" spans="1:3" x14ac:dyDescent="0.25">
      <c r="A20" s="15">
        <v>14</v>
      </c>
      <c r="B20" s="15" t="s">
        <v>103</v>
      </c>
      <c r="C20" s="15">
        <v>11</v>
      </c>
    </row>
    <row r="21" spans="1:3" x14ac:dyDescent="0.25">
      <c r="A21" s="15">
        <v>18</v>
      </c>
      <c r="B21" s="15">
        <v>11</v>
      </c>
      <c r="C21" s="15">
        <v>14</v>
      </c>
    </row>
    <row r="22" spans="1:3" x14ac:dyDescent="0.25">
      <c r="A22" s="15">
        <v>11</v>
      </c>
      <c r="B22" s="15">
        <v>15</v>
      </c>
      <c r="C22" s="15" t="s">
        <v>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zoomScale="200" zoomScaleNormal="200" workbookViewId="0">
      <selection activeCell="B3" sqref="B3:F3"/>
    </sheetView>
  </sheetViews>
  <sheetFormatPr defaultRowHeight="15" x14ac:dyDescent="0.25"/>
  <cols>
    <col min="16372" max="16372" width="14.7109375" customWidth="1"/>
    <col min="16373" max="16375" width="13.7109375" bestFit="1" customWidth="1"/>
  </cols>
  <sheetData>
    <row r="1" spans="1:8" x14ac:dyDescent="0.25">
      <c r="A1" t="s">
        <v>1</v>
      </c>
      <c r="B1" t="str">
        <f ca="1">INDIRECT(ADDRESS(COLUMN(),1))</f>
        <v>a</v>
      </c>
      <c r="C1" t="str">
        <f t="shared" ref="C1:H1" ca="1" si="0">INDIRECT(ADDRESS(COLUMN(),1))</f>
        <v>c</v>
      </c>
      <c r="D1" t="str">
        <f t="shared" ca="1" si="0"/>
        <v>d</v>
      </c>
      <c r="E1" t="str">
        <f t="shared" ca="1" si="0"/>
        <v>e</v>
      </c>
      <c r="F1" t="str">
        <f t="shared" ca="1" si="0"/>
        <v>f</v>
      </c>
      <c r="G1" t="str">
        <f t="shared" ca="1" si="0"/>
        <v>a</v>
      </c>
      <c r="H1" t="str">
        <f t="shared" ca="1" si="0"/>
        <v>a</v>
      </c>
    </row>
    <row r="2" spans="1:8" x14ac:dyDescent="0.25">
      <c r="A2" t="s">
        <v>122</v>
      </c>
    </row>
    <row r="3" spans="1:8" x14ac:dyDescent="0.25">
      <c r="A3" t="s">
        <v>191</v>
      </c>
      <c r="B3" t="str">
        <f ca="1">INDIRECT(ADDRESS(COLUMN(),1))</f>
        <v>a</v>
      </c>
      <c r="C3" t="str">
        <f t="shared" ref="C3:F3" ca="1" si="1">INDIRECT(ADDRESS(COLUMN(),1))</f>
        <v>c</v>
      </c>
      <c r="D3" t="str">
        <f t="shared" ca="1" si="1"/>
        <v>d</v>
      </c>
      <c r="E3" t="str">
        <f t="shared" ca="1" si="1"/>
        <v>e</v>
      </c>
      <c r="F3" t="str">
        <f t="shared" ca="1" si="1"/>
        <v>f</v>
      </c>
    </row>
    <row r="4" spans="1:8" x14ac:dyDescent="0.25">
      <c r="A4" t="s">
        <v>188</v>
      </c>
    </row>
    <row r="5" spans="1:8" x14ac:dyDescent="0.25">
      <c r="A5" t="s">
        <v>189</v>
      </c>
    </row>
    <row r="6" spans="1:8" x14ac:dyDescent="0.25">
      <c r="A6" t="s">
        <v>193</v>
      </c>
    </row>
    <row r="7" spans="1:8" x14ac:dyDescent="0.25">
      <c r="A7" t="s">
        <v>122</v>
      </c>
      <c r="E7" s="14"/>
    </row>
    <row r="8" spans="1:8" x14ac:dyDescent="0.25">
      <c r="A8" t="s">
        <v>122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"/>
  <sheetViews>
    <sheetView zoomScale="200" zoomScaleNormal="200" workbookViewId="0">
      <selection activeCell="J10" sqref="J10"/>
    </sheetView>
  </sheetViews>
  <sheetFormatPr defaultRowHeight="15" x14ac:dyDescent="0.25"/>
  <cols>
    <col min="1" max="1" width="9.140625" style="44"/>
  </cols>
  <sheetData>
    <row r="1" spans="1:7" x14ac:dyDescent="0.25">
      <c r="A1" s="42" t="s">
        <v>1</v>
      </c>
      <c r="B1" t="s">
        <v>122</v>
      </c>
      <c r="C1" t="s">
        <v>191</v>
      </c>
      <c r="D1" t="s">
        <v>188</v>
      </c>
      <c r="E1" t="s">
        <v>189</v>
      </c>
      <c r="F1" t="s">
        <v>193</v>
      </c>
      <c r="G1" t="s">
        <v>122</v>
      </c>
    </row>
    <row r="2" spans="1:7" x14ac:dyDescent="0.25">
      <c r="A2" s="44" t="str">
        <f ca="1">INDIRECT(ADDRESS(1,ROW()))</f>
        <v>a</v>
      </c>
    </row>
    <row r="3" spans="1:7" x14ac:dyDescent="0.25">
      <c r="A3" s="44" t="str">
        <f t="shared" ref="A3:A8" ca="1" si="0">INDIRECT(ADDRESS(1,ROW()))</f>
        <v>c</v>
      </c>
    </row>
    <row r="4" spans="1:7" x14ac:dyDescent="0.25">
      <c r="A4" s="44" t="str">
        <f t="shared" ca="1" si="0"/>
        <v>d</v>
      </c>
    </row>
    <row r="5" spans="1:7" x14ac:dyDescent="0.25">
      <c r="A5" s="44" t="str">
        <f t="shared" ca="1" si="0"/>
        <v>e</v>
      </c>
      <c r="E5" s="14" t="s">
        <v>80</v>
      </c>
    </row>
    <row r="6" spans="1:7" x14ac:dyDescent="0.25">
      <c r="A6" s="44" t="str">
        <f t="shared" ca="1" si="0"/>
        <v>f</v>
      </c>
    </row>
    <row r="7" spans="1:7" x14ac:dyDescent="0.25">
      <c r="A7" s="44" t="str">
        <f t="shared" ca="1" si="0"/>
        <v>a</v>
      </c>
    </row>
    <row r="8" spans="1:7" x14ac:dyDescent="0.25">
      <c r="A8" s="44">
        <f t="shared" ca="1" si="0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zoomScale="150" zoomScaleNormal="150" workbookViewId="0">
      <selection activeCell="A15" sqref="A15"/>
    </sheetView>
  </sheetViews>
  <sheetFormatPr defaultRowHeight="15" x14ac:dyDescent="0.25"/>
  <cols>
    <col min="1" max="1" width="14.7109375" bestFit="1" customWidth="1"/>
    <col min="2" max="13" width="8" customWidth="1"/>
    <col min="22" max="22" width="4.7109375" bestFit="1" customWidth="1"/>
  </cols>
  <sheetData>
    <row r="1" spans="1:22" x14ac:dyDescent="0.25">
      <c r="A1" s="18" t="s">
        <v>2</v>
      </c>
      <c r="B1" s="26" t="s">
        <v>3</v>
      </c>
      <c r="C1" s="26" t="s">
        <v>4</v>
      </c>
      <c r="D1" s="26" t="s">
        <v>5</v>
      </c>
      <c r="E1" s="26" t="s">
        <v>6</v>
      </c>
      <c r="F1" s="26" t="s">
        <v>7</v>
      </c>
      <c r="G1" s="26" t="s">
        <v>8</v>
      </c>
      <c r="H1" s="26" t="s">
        <v>9</v>
      </c>
      <c r="I1" s="26" t="s">
        <v>10</v>
      </c>
      <c r="J1" s="26" t="s">
        <v>11</v>
      </c>
      <c r="K1" s="26" t="s">
        <v>12</v>
      </c>
      <c r="L1" s="26" t="s">
        <v>13</v>
      </c>
      <c r="M1" s="26" t="s">
        <v>14</v>
      </c>
    </row>
    <row r="2" spans="1:22" x14ac:dyDescent="0.25">
      <c r="A2" s="19" t="s">
        <v>128</v>
      </c>
      <c r="B2" s="15">
        <v>69373</v>
      </c>
      <c r="C2" s="20">
        <v>59700</v>
      </c>
      <c r="D2" s="20">
        <v>68045</v>
      </c>
      <c r="E2" s="20">
        <v>48658</v>
      </c>
      <c r="F2" s="20">
        <v>84534</v>
      </c>
      <c r="G2" s="20">
        <v>84000</v>
      </c>
      <c r="H2" s="20">
        <v>65009</v>
      </c>
      <c r="I2" s="20">
        <v>15796</v>
      </c>
      <c r="J2" s="20">
        <v>76147</v>
      </c>
      <c r="K2" s="20">
        <v>72360</v>
      </c>
      <c r="L2" s="20">
        <v>44125</v>
      </c>
      <c r="M2" s="20">
        <v>48072</v>
      </c>
      <c r="V2" t="s">
        <v>3</v>
      </c>
    </row>
    <row r="3" spans="1:22" x14ac:dyDescent="0.25">
      <c r="A3" s="19" t="s">
        <v>129</v>
      </c>
      <c r="B3" s="20">
        <v>46737</v>
      </c>
      <c r="C3" s="20">
        <v>18451</v>
      </c>
      <c r="D3" s="20">
        <v>46316</v>
      </c>
      <c r="E3" s="20">
        <v>59661</v>
      </c>
      <c r="F3" s="20">
        <v>86835</v>
      </c>
      <c r="G3" s="20">
        <v>92763</v>
      </c>
      <c r="H3" s="20">
        <v>57303</v>
      </c>
      <c r="I3" s="20">
        <v>20443</v>
      </c>
      <c r="J3" s="20">
        <v>97566</v>
      </c>
      <c r="K3" s="20">
        <v>96219</v>
      </c>
      <c r="L3" s="20">
        <v>15597</v>
      </c>
      <c r="M3" s="20">
        <v>94108</v>
      </c>
      <c r="V3" t="s">
        <v>4</v>
      </c>
    </row>
    <row r="4" spans="1:22" x14ac:dyDescent="0.25">
      <c r="A4" s="19" t="s">
        <v>130</v>
      </c>
      <c r="B4" s="20">
        <v>16018</v>
      </c>
      <c r="C4" s="20">
        <v>67766</v>
      </c>
      <c r="D4" s="20">
        <v>93615</v>
      </c>
      <c r="E4" s="20">
        <v>29652</v>
      </c>
      <c r="F4" s="20">
        <v>96588</v>
      </c>
      <c r="G4" s="20">
        <v>53335</v>
      </c>
      <c r="H4" s="20">
        <v>14888</v>
      </c>
      <c r="I4" s="20">
        <v>77196</v>
      </c>
      <c r="J4" s="20">
        <v>90614</v>
      </c>
      <c r="K4" s="20">
        <v>58927</v>
      </c>
      <c r="L4" s="20">
        <v>86458</v>
      </c>
      <c r="M4" s="20">
        <v>76323</v>
      </c>
      <c r="V4" t="s">
        <v>5</v>
      </c>
    </row>
    <row r="5" spans="1:22" x14ac:dyDescent="0.25">
      <c r="A5" s="19" t="s">
        <v>131</v>
      </c>
      <c r="B5" s="20">
        <v>15706</v>
      </c>
      <c r="C5" s="20">
        <v>88724</v>
      </c>
      <c r="D5" s="20">
        <v>11143</v>
      </c>
      <c r="E5" s="20">
        <v>94619</v>
      </c>
      <c r="F5" s="20">
        <v>33750</v>
      </c>
      <c r="G5" s="20">
        <v>99329</v>
      </c>
      <c r="H5" s="20">
        <v>69008</v>
      </c>
      <c r="I5" s="20">
        <v>68282</v>
      </c>
      <c r="J5" s="20">
        <v>44491</v>
      </c>
      <c r="K5" s="20">
        <v>99487</v>
      </c>
      <c r="L5" s="20">
        <v>40820</v>
      </c>
      <c r="M5" s="20">
        <v>89142</v>
      </c>
      <c r="V5" t="s">
        <v>6</v>
      </c>
    </row>
    <row r="6" spans="1:22" x14ac:dyDescent="0.25">
      <c r="A6" s="19" t="s">
        <v>137</v>
      </c>
      <c r="B6" s="20">
        <v>13352</v>
      </c>
      <c r="C6" s="20">
        <v>84742</v>
      </c>
      <c r="D6" s="20">
        <v>82131</v>
      </c>
      <c r="E6" s="20">
        <v>69653</v>
      </c>
      <c r="F6" s="20">
        <v>70637</v>
      </c>
      <c r="G6" s="20">
        <v>37796</v>
      </c>
      <c r="H6" s="20">
        <v>88311</v>
      </c>
      <c r="I6" s="20">
        <v>78671</v>
      </c>
      <c r="J6" s="20">
        <v>57153</v>
      </c>
      <c r="K6" s="20">
        <v>97856</v>
      </c>
      <c r="L6" s="20">
        <v>24230</v>
      </c>
      <c r="M6" s="20">
        <v>47167</v>
      </c>
      <c r="V6" t="s">
        <v>7</v>
      </c>
    </row>
    <row r="7" spans="1:22" x14ac:dyDescent="0.25">
      <c r="A7" s="19" t="s">
        <v>132</v>
      </c>
      <c r="B7" s="20">
        <v>96782</v>
      </c>
      <c r="C7" s="20">
        <v>21782</v>
      </c>
      <c r="D7" s="20">
        <v>81677</v>
      </c>
      <c r="E7" s="20">
        <v>70129</v>
      </c>
      <c r="F7" s="20">
        <v>24077</v>
      </c>
      <c r="G7" s="20">
        <v>92563</v>
      </c>
      <c r="H7" s="20">
        <v>70332</v>
      </c>
      <c r="I7" s="20">
        <v>81921</v>
      </c>
      <c r="J7" s="20">
        <v>33728</v>
      </c>
      <c r="K7" s="20">
        <v>86649</v>
      </c>
      <c r="L7" s="20">
        <v>18239</v>
      </c>
      <c r="M7" s="20">
        <v>89190</v>
      </c>
      <c r="V7" t="s">
        <v>8</v>
      </c>
    </row>
    <row r="8" spans="1:22" x14ac:dyDescent="0.25">
      <c r="A8" s="19" t="s">
        <v>133</v>
      </c>
      <c r="B8" s="20">
        <v>41490</v>
      </c>
      <c r="C8" s="20">
        <v>95590</v>
      </c>
      <c r="D8" s="20">
        <v>34320</v>
      </c>
      <c r="E8" s="20">
        <v>32894</v>
      </c>
      <c r="F8" s="20">
        <v>31394</v>
      </c>
      <c r="G8" s="20">
        <v>87338</v>
      </c>
      <c r="H8" s="20">
        <v>74425</v>
      </c>
      <c r="I8" s="20">
        <v>33551</v>
      </c>
      <c r="J8" s="20">
        <v>21548</v>
      </c>
      <c r="K8" s="20">
        <v>22719</v>
      </c>
      <c r="L8" s="20">
        <v>82764</v>
      </c>
      <c r="M8" s="20">
        <v>39111</v>
      </c>
      <c r="V8" t="s">
        <v>9</v>
      </c>
    </row>
    <row r="9" spans="1:22" x14ac:dyDescent="0.25">
      <c r="A9" s="19" t="s">
        <v>134</v>
      </c>
      <c r="B9" s="20">
        <v>35931</v>
      </c>
      <c r="C9" s="20">
        <v>97056</v>
      </c>
      <c r="D9" s="20">
        <v>24202</v>
      </c>
      <c r="E9" s="20">
        <v>58264</v>
      </c>
      <c r="F9" s="20">
        <v>85697</v>
      </c>
      <c r="G9" s="20">
        <v>35185</v>
      </c>
      <c r="H9" s="20">
        <v>93579</v>
      </c>
      <c r="I9" s="20">
        <v>23247</v>
      </c>
      <c r="J9" s="20">
        <v>43300</v>
      </c>
      <c r="K9" s="20">
        <v>38297</v>
      </c>
      <c r="L9" s="20">
        <v>94683</v>
      </c>
      <c r="M9" s="20">
        <v>17371</v>
      </c>
      <c r="V9" t="s">
        <v>10</v>
      </c>
    </row>
    <row r="10" spans="1:22" x14ac:dyDescent="0.25">
      <c r="A10" s="19" t="s">
        <v>135</v>
      </c>
      <c r="B10" s="20">
        <v>57745</v>
      </c>
      <c r="C10" s="20">
        <v>31879</v>
      </c>
      <c r="D10" s="20">
        <v>64193</v>
      </c>
      <c r="E10" s="20">
        <v>45240</v>
      </c>
      <c r="F10" s="20">
        <v>73340</v>
      </c>
      <c r="G10" s="20">
        <v>64404</v>
      </c>
      <c r="H10" s="20">
        <v>20518</v>
      </c>
      <c r="I10" s="20">
        <v>60328</v>
      </c>
      <c r="J10" s="20">
        <v>43658</v>
      </c>
      <c r="K10" s="20">
        <v>41388</v>
      </c>
      <c r="L10" s="20">
        <v>76996</v>
      </c>
      <c r="M10" s="20">
        <v>76276</v>
      </c>
      <c r="V10" t="s">
        <v>11</v>
      </c>
    </row>
    <row r="11" spans="1:22" x14ac:dyDescent="0.25">
      <c r="V11" t="s">
        <v>12</v>
      </c>
    </row>
    <row r="14" spans="1:22" x14ac:dyDescent="0.25">
      <c r="A14" s="1" t="s">
        <v>132</v>
      </c>
      <c r="B14" s="1" t="s">
        <v>8</v>
      </c>
      <c r="C14">
        <f ca="1">INDIRECT(A14) INDIRECT(B14)</f>
        <v>92563</v>
      </c>
    </row>
  </sheetData>
  <conditionalFormatting sqref="B2:M10">
    <cfRule type="expression" dxfId="0" priority="2">
      <formula>B2=#REF!</formula>
    </cfRule>
  </conditionalFormatting>
  <dataValidations count="1">
    <dataValidation type="list" allowBlank="1" showInputMessage="1" showErrorMessage="1" sqref="A14">
      <formula1>$A$2:$A$10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J7"/>
  <sheetViews>
    <sheetView zoomScale="130" zoomScaleNormal="130" workbookViewId="0">
      <selection activeCell="E7" sqref="E7"/>
    </sheetView>
  </sheetViews>
  <sheetFormatPr defaultRowHeight="15" x14ac:dyDescent="0.25"/>
  <cols>
    <col min="3" max="3" width="9.85546875" customWidth="1"/>
    <col min="4" max="4" width="12" bestFit="1" customWidth="1"/>
    <col min="7" max="7" width="12" bestFit="1" customWidth="1"/>
    <col min="8" max="8" width="12.5703125" bestFit="1" customWidth="1"/>
    <col min="9" max="9" width="10.42578125" customWidth="1"/>
    <col min="10" max="10" width="16.140625" bestFit="1" customWidth="1"/>
  </cols>
  <sheetData>
    <row r="3" spans="2:10" x14ac:dyDescent="0.25">
      <c r="G3" s="21" t="s">
        <v>16</v>
      </c>
      <c r="H3" s="21" t="s">
        <v>15</v>
      </c>
      <c r="I3" s="21" t="s">
        <v>17</v>
      </c>
      <c r="J3" s="21" t="s">
        <v>18</v>
      </c>
    </row>
    <row r="4" spans="2:10" x14ac:dyDescent="0.25">
      <c r="B4" s="51" t="s">
        <v>18</v>
      </c>
      <c r="D4" t="s">
        <v>34</v>
      </c>
      <c r="G4" s="1" t="s">
        <v>19</v>
      </c>
      <c r="H4" s="1" t="s">
        <v>23</v>
      </c>
      <c r="I4" s="1" t="s">
        <v>27</v>
      </c>
      <c r="J4" s="1" t="s">
        <v>31</v>
      </c>
    </row>
    <row r="5" spans="2:10" x14ac:dyDescent="0.25">
      <c r="G5" s="1" t="s">
        <v>20</v>
      </c>
      <c r="H5" s="1" t="s">
        <v>24</v>
      </c>
      <c r="I5" s="1" t="s">
        <v>28</v>
      </c>
      <c r="J5" s="1" t="s">
        <v>32</v>
      </c>
    </row>
    <row r="6" spans="2:10" x14ac:dyDescent="0.25">
      <c r="G6" s="1" t="s">
        <v>21</v>
      </c>
      <c r="H6" s="1" t="s">
        <v>25</v>
      </c>
      <c r="I6" s="1" t="s">
        <v>29</v>
      </c>
      <c r="J6" s="1" t="s">
        <v>33</v>
      </c>
    </row>
    <row r="7" spans="2:10" x14ac:dyDescent="0.25">
      <c r="G7" s="1" t="s">
        <v>22</v>
      </c>
      <c r="H7" s="1" t="s">
        <v>26</v>
      </c>
      <c r="I7" s="1" t="s">
        <v>30</v>
      </c>
      <c r="J7" s="1" t="s">
        <v>34</v>
      </c>
    </row>
  </sheetData>
  <dataValidations count="2">
    <dataValidation type="list" allowBlank="1" showInputMessage="1" showErrorMessage="1" sqref="B4">
      <formula1>City</formula1>
    </dataValidation>
    <dataValidation type="list" allowBlank="1" showInputMessage="1" showErrorMessage="1" sqref="D4">
      <formula1>INDIRECT($B$4)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7"/>
  <sheetViews>
    <sheetView topLeftCell="A2" workbookViewId="0">
      <selection activeCell="A2" sqref="A2"/>
    </sheetView>
  </sheetViews>
  <sheetFormatPr defaultRowHeight="15" x14ac:dyDescent="0.25"/>
  <cols>
    <col min="2" max="2" width="35" customWidth="1"/>
  </cols>
  <sheetData>
    <row r="2" spans="1:1" ht="130.5" customHeight="1" x14ac:dyDescent="0.25">
      <c r="A2" t="s">
        <v>187</v>
      </c>
    </row>
    <row r="3" spans="1:1" ht="130.5" customHeight="1" x14ac:dyDescent="0.25">
      <c r="A3" t="s">
        <v>192</v>
      </c>
    </row>
    <row r="4" spans="1:1" ht="130.5" customHeight="1" x14ac:dyDescent="0.25">
      <c r="A4" t="s">
        <v>194</v>
      </c>
    </row>
    <row r="5" spans="1:1" ht="130.5" customHeight="1" x14ac:dyDescent="0.25"/>
    <row r="6" spans="1:1" ht="130.5" customHeight="1" x14ac:dyDescent="0.25"/>
    <row r="7" spans="1:1" ht="130.5" customHeight="1" x14ac:dyDescent="0.25"/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7:L8"/>
  <sheetViews>
    <sheetView workbookViewId="0">
      <selection activeCell="A8" sqref="A8"/>
    </sheetView>
  </sheetViews>
  <sheetFormatPr defaultRowHeight="15" x14ac:dyDescent="0.25"/>
  <sheetData>
    <row r="7" spans="1:12" x14ac:dyDescent="0.25">
      <c r="A7" t="s">
        <v>194</v>
      </c>
    </row>
    <row r="8" spans="1:12" x14ac:dyDescent="0.25">
      <c r="L8">
        <f ca="1">INDIRECT("Images!B"&amp;MATCH('Indirect-6'!$A$7,Images!$A:$A,0))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5"/>
  <sheetViews>
    <sheetView workbookViewId="0">
      <selection activeCell="D10" sqref="D10:L18"/>
    </sheetView>
  </sheetViews>
  <sheetFormatPr defaultRowHeight="15" x14ac:dyDescent="0.25"/>
  <sheetData>
    <row r="1" spans="1:12" x14ac:dyDescent="0.25">
      <c r="A1" s="1" t="s">
        <v>37</v>
      </c>
      <c r="B1" s="1" t="s">
        <v>38</v>
      </c>
    </row>
    <row r="2" spans="1:12" x14ac:dyDescent="0.25">
      <c r="A2" s="2"/>
      <c r="B2" s="1"/>
    </row>
    <row r="3" spans="1:12" x14ac:dyDescent="0.25">
      <c r="A3" s="3"/>
      <c r="B3" s="1"/>
      <c r="G3" s="2"/>
      <c r="H3" s="1"/>
    </row>
    <row r="4" spans="1:12" x14ac:dyDescent="0.25">
      <c r="A4" s="4"/>
      <c r="B4" s="1"/>
      <c r="G4" s="4"/>
      <c r="H4" s="1"/>
      <c r="L4" s="14" t="s">
        <v>81</v>
      </c>
    </row>
    <row r="5" spans="1:12" x14ac:dyDescent="0.25">
      <c r="A5" s="4"/>
      <c r="B5" s="1"/>
      <c r="G5" s="5"/>
      <c r="H5" s="1"/>
    </row>
    <row r="6" spans="1:12" x14ac:dyDescent="0.25">
      <c r="A6" s="5"/>
      <c r="B6" s="1"/>
      <c r="G6" s="6"/>
      <c r="H6" s="1"/>
    </row>
    <row r="7" spans="1:12" x14ac:dyDescent="0.25">
      <c r="A7" s="5"/>
      <c r="B7" s="1"/>
      <c r="G7" s="3"/>
      <c r="H7" s="1"/>
    </row>
    <row r="8" spans="1:12" x14ac:dyDescent="0.25">
      <c r="A8" s="7"/>
      <c r="B8" s="1"/>
      <c r="G8" s="7"/>
      <c r="H8" s="1"/>
    </row>
    <row r="9" spans="1:12" x14ac:dyDescent="0.25">
      <c r="A9" s="6"/>
      <c r="B9" s="1"/>
    </row>
    <row r="10" spans="1:12" x14ac:dyDescent="0.25">
      <c r="A10" s="3"/>
      <c r="B10" s="1"/>
    </row>
    <row r="11" spans="1:12" x14ac:dyDescent="0.25">
      <c r="A11" s="4"/>
      <c r="B11" s="1"/>
    </row>
    <row r="12" spans="1:12" x14ac:dyDescent="0.25">
      <c r="A12" s="4"/>
      <c r="B12" s="1"/>
    </row>
    <row r="13" spans="1:12" x14ac:dyDescent="0.25">
      <c r="A13" s="6"/>
      <c r="B13" s="1"/>
    </row>
    <row r="14" spans="1:12" x14ac:dyDescent="0.25">
      <c r="A14" s="2"/>
      <c r="B14" s="1"/>
    </row>
    <row r="15" spans="1:12" x14ac:dyDescent="0.25">
      <c r="A15" s="3"/>
      <c r="B15" s="1"/>
    </row>
    <row r="16" spans="1:12" x14ac:dyDescent="0.25">
      <c r="A16" s="4"/>
      <c r="B16" s="1"/>
    </row>
    <row r="17" spans="1:2" x14ac:dyDescent="0.25">
      <c r="A17" s="4"/>
      <c r="B17" s="1"/>
    </row>
    <row r="18" spans="1:2" x14ac:dyDescent="0.25">
      <c r="A18" s="5"/>
      <c r="B18" s="1"/>
    </row>
    <row r="19" spans="1:2" x14ac:dyDescent="0.25">
      <c r="A19" s="5"/>
      <c r="B19" s="1"/>
    </row>
    <row r="20" spans="1:2" x14ac:dyDescent="0.25">
      <c r="A20" s="7"/>
      <c r="B20" s="1"/>
    </row>
    <row r="21" spans="1:2" x14ac:dyDescent="0.25">
      <c r="A21" s="6"/>
      <c r="B21" s="1"/>
    </row>
    <row r="22" spans="1:2" x14ac:dyDescent="0.25">
      <c r="A22" s="3"/>
      <c r="B22" s="1"/>
    </row>
    <row r="23" spans="1:2" x14ac:dyDescent="0.25">
      <c r="A23" s="4"/>
      <c r="B23" s="1"/>
    </row>
    <row r="24" spans="1:2" x14ac:dyDescent="0.25">
      <c r="A24" s="4"/>
      <c r="B24" s="1"/>
    </row>
    <row r="25" spans="1:2" x14ac:dyDescent="0.25">
      <c r="A25" s="6"/>
      <c r="B25" s="1"/>
    </row>
    <row r="35" spans="6:7" x14ac:dyDescent="0.25">
      <c r="F35" s="5"/>
      <c r="G35" t="e">
        <f>Color_Index</f>
        <v>#NAME?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J14"/>
  <sheetViews>
    <sheetView workbookViewId="0">
      <selection activeCell="B1" sqref="B1:B1048576"/>
    </sheetView>
  </sheetViews>
  <sheetFormatPr defaultRowHeight="15" x14ac:dyDescent="0.25"/>
  <cols>
    <col min="1" max="1" width="16.42578125" customWidth="1"/>
  </cols>
  <sheetData>
    <row r="2" spans="1:10" x14ac:dyDescent="0.25">
      <c r="A2" s="34" t="s">
        <v>16</v>
      </c>
    </row>
    <row r="3" spans="1:10" x14ac:dyDescent="0.25">
      <c r="A3" s="8" t="s">
        <v>138</v>
      </c>
    </row>
    <row r="4" spans="1:10" x14ac:dyDescent="0.25">
      <c r="A4" s="8" t="s">
        <v>139</v>
      </c>
    </row>
    <row r="5" spans="1:10" x14ac:dyDescent="0.25">
      <c r="A5" s="34" t="s">
        <v>140</v>
      </c>
    </row>
    <row r="6" spans="1:10" x14ac:dyDescent="0.25">
      <c r="A6" s="8" t="s">
        <v>141</v>
      </c>
    </row>
    <row r="7" spans="1:10" x14ac:dyDescent="0.25">
      <c r="A7" s="8" t="s">
        <v>15</v>
      </c>
    </row>
    <row r="8" spans="1:10" x14ac:dyDescent="0.25">
      <c r="A8" s="34" t="s">
        <v>142</v>
      </c>
      <c r="H8" t="s">
        <v>146</v>
      </c>
    </row>
    <row r="9" spans="1:10" x14ac:dyDescent="0.25">
      <c r="A9" s="8" t="s">
        <v>143</v>
      </c>
    </row>
    <row r="10" spans="1:10" x14ac:dyDescent="0.25">
      <c r="A10" s="34" t="s">
        <v>144</v>
      </c>
      <c r="D10" t="s">
        <v>173</v>
      </c>
    </row>
    <row r="11" spans="1:10" x14ac:dyDescent="0.25">
      <c r="A11" s="8" t="s">
        <v>145</v>
      </c>
    </row>
    <row r="12" spans="1:10" x14ac:dyDescent="0.25">
      <c r="I12" t="s">
        <v>147</v>
      </c>
      <c r="J12">
        <v>21</v>
      </c>
    </row>
    <row r="13" spans="1:10" x14ac:dyDescent="0.25">
      <c r="I13" t="s">
        <v>148</v>
      </c>
      <c r="J13">
        <v>22</v>
      </c>
    </row>
    <row r="14" spans="1:10" x14ac:dyDescent="0.25">
      <c r="I14" t="s">
        <v>149</v>
      </c>
      <c r="J14">
        <v>48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2"/>
  <sheetViews>
    <sheetView zoomScale="130" zoomScaleNormal="130" workbookViewId="0">
      <selection activeCell="F3" sqref="F3"/>
    </sheetView>
  </sheetViews>
  <sheetFormatPr defaultRowHeight="15" x14ac:dyDescent="0.25"/>
  <cols>
    <col min="1" max="1" width="14.85546875" customWidth="1"/>
    <col min="4" max="4" width="17.5703125" bestFit="1" customWidth="1"/>
    <col min="5" max="5" width="17.85546875" customWidth="1"/>
    <col min="6" max="6" width="15.140625" customWidth="1"/>
  </cols>
  <sheetData>
    <row r="1" spans="1:9" x14ac:dyDescent="0.25">
      <c r="A1" s="28" t="s">
        <v>39</v>
      </c>
      <c r="B1" s="28" t="s">
        <v>40</v>
      </c>
      <c r="C1" s="8"/>
      <c r="D1" s="8"/>
      <c r="E1" s="8"/>
      <c r="F1" s="8" t="s">
        <v>119</v>
      </c>
    </row>
    <row r="2" spans="1:9" x14ac:dyDescent="0.25">
      <c r="A2" s="9" t="s">
        <v>3</v>
      </c>
      <c r="B2" s="9">
        <v>19838</v>
      </c>
      <c r="C2" s="8"/>
      <c r="D2" s="32" t="s">
        <v>41</v>
      </c>
      <c r="E2" s="32" t="s">
        <v>42</v>
      </c>
      <c r="F2" s="30" t="s">
        <v>43</v>
      </c>
    </row>
    <row r="3" spans="1:9" x14ac:dyDescent="0.25">
      <c r="A3" s="9" t="s">
        <v>4</v>
      </c>
      <c r="B3" s="9">
        <v>11212</v>
      </c>
      <c r="C3" s="8"/>
      <c r="D3" s="31" t="s">
        <v>10</v>
      </c>
      <c r="E3" s="31" t="s">
        <v>12</v>
      </c>
      <c r="F3" s="10">
        <f ca="1">SUM(INDIRECT("B"&amp;MATCH($D$3,$A$1:$A$13,0)&amp;":B"&amp;MATCH($E$3,$A$1:$A$13,0)))</f>
        <v>41909</v>
      </c>
    </row>
    <row r="4" spans="1:9" x14ac:dyDescent="0.25">
      <c r="A4" s="9" t="s">
        <v>5</v>
      </c>
      <c r="B4" s="9">
        <v>13612</v>
      </c>
      <c r="C4" s="8"/>
      <c r="D4" s="8"/>
      <c r="E4" s="8"/>
      <c r="F4" s="8"/>
    </row>
    <row r="5" spans="1:9" x14ac:dyDescent="0.25">
      <c r="A5" s="9" t="s">
        <v>6</v>
      </c>
      <c r="B5" s="9">
        <v>16945</v>
      </c>
      <c r="C5" s="8"/>
      <c r="D5" s="8"/>
      <c r="E5" s="8"/>
      <c r="F5" s="8"/>
    </row>
    <row r="6" spans="1:9" x14ac:dyDescent="0.25">
      <c r="A6" s="9" t="s">
        <v>7</v>
      </c>
      <c r="B6" s="9">
        <v>15975</v>
      </c>
      <c r="C6" s="8"/>
      <c r="D6" s="8"/>
      <c r="E6" s="8"/>
      <c r="F6" s="8"/>
    </row>
    <row r="7" spans="1:9" x14ac:dyDescent="0.25">
      <c r="A7" s="9" t="s">
        <v>8</v>
      </c>
      <c r="B7" s="9">
        <v>17061</v>
      </c>
      <c r="C7" s="8"/>
      <c r="D7" s="8"/>
      <c r="E7" s="8"/>
      <c r="F7" s="8"/>
      <c r="G7" s="8"/>
      <c r="H7" s="8"/>
      <c r="I7" s="8"/>
    </row>
    <row r="8" spans="1:9" x14ac:dyDescent="0.25">
      <c r="A8" s="9" t="s">
        <v>9</v>
      </c>
      <c r="B8" s="9">
        <v>18639</v>
      </c>
      <c r="C8" s="8"/>
      <c r="D8" s="8"/>
      <c r="E8" s="8"/>
      <c r="F8" s="8"/>
      <c r="G8" s="8"/>
      <c r="H8" s="8"/>
      <c r="I8" s="8"/>
    </row>
    <row r="9" spans="1:9" x14ac:dyDescent="0.25">
      <c r="A9" s="9" t="s">
        <v>10</v>
      </c>
      <c r="B9" s="9">
        <v>13045</v>
      </c>
      <c r="C9" s="8"/>
      <c r="D9" s="8"/>
      <c r="E9" s="8"/>
      <c r="F9" s="14" t="s">
        <v>78</v>
      </c>
      <c r="G9" s="8"/>
      <c r="H9" s="8"/>
      <c r="I9" s="8"/>
    </row>
    <row r="10" spans="1:9" x14ac:dyDescent="0.25">
      <c r="A10" s="9" t="s">
        <v>11</v>
      </c>
      <c r="B10" s="9">
        <v>13749</v>
      </c>
      <c r="C10" s="8"/>
      <c r="D10" s="8"/>
      <c r="E10" s="8"/>
      <c r="F10" s="14"/>
      <c r="G10" s="8"/>
      <c r="H10" s="8"/>
      <c r="I10" s="8"/>
    </row>
    <row r="11" spans="1:9" x14ac:dyDescent="0.25">
      <c r="A11" s="9" t="s">
        <v>12</v>
      </c>
      <c r="B11" s="9">
        <v>15115</v>
      </c>
      <c r="C11" s="8"/>
      <c r="D11" s="8"/>
      <c r="E11" s="8"/>
      <c r="F11" s="14" t="s">
        <v>79</v>
      </c>
      <c r="G11" s="8"/>
      <c r="H11" s="8"/>
      <c r="I11" s="8"/>
    </row>
    <row r="12" spans="1:9" x14ac:dyDescent="0.25">
      <c r="A12" s="9" t="s">
        <v>13</v>
      </c>
      <c r="B12" s="9">
        <v>12996</v>
      </c>
      <c r="C12" s="8"/>
      <c r="D12" s="8"/>
      <c r="E12" s="8"/>
      <c r="F12" s="8"/>
      <c r="G12" s="8"/>
      <c r="H12" s="8"/>
      <c r="I12" s="8"/>
    </row>
    <row r="13" spans="1:9" x14ac:dyDescent="0.25">
      <c r="A13" s="9" t="s">
        <v>14</v>
      </c>
      <c r="B13" s="9">
        <v>15593</v>
      </c>
      <c r="C13" s="8"/>
      <c r="D13" s="8"/>
      <c r="E13" s="8"/>
      <c r="F13" s="8"/>
      <c r="G13" s="8"/>
      <c r="H13" s="8"/>
      <c r="I13" s="8"/>
    </row>
    <row r="14" spans="1:9" x14ac:dyDescent="0.25">
      <c r="C14" s="8"/>
      <c r="D14" s="8"/>
      <c r="E14" s="8"/>
      <c r="F14" s="8"/>
      <c r="G14" s="8"/>
      <c r="H14" s="8"/>
      <c r="I14" s="8"/>
    </row>
    <row r="15" spans="1:9" x14ac:dyDescent="0.25">
      <c r="C15" s="8"/>
      <c r="D15" s="8"/>
      <c r="E15" s="8"/>
      <c r="F15" s="8"/>
      <c r="G15" s="8"/>
      <c r="H15" s="8"/>
      <c r="I15" s="8"/>
    </row>
    <row r="16" spans="1:9" x14ac:dyDescent="0.25">
      <c r="C16" s="8"/>
      <c r="D16" s="8"/>
      <c r="E16" s="8"/>
      <c r="F16" s="8"/>
      <c r="G16" s="8"/>
      <c r="H16" s="8"/>
      <c r="I16" s="8"/>
    </row>
    <row r="17" spans="3:9" x14ac:dyDescent="0.25">
      <c r="C17" s="8"/>
      <c r="D17" s="8"/>
      <c r="E17" s="8"/>
      <c r="F17" s="8"/>
      <c r="G17" s="8"/>
      <c r="H17" s="8"/>
      <c r="I17" s="8"/>
    </row>
    <row r="18" spans="3:9" x14ac:dyDescent="0.25">
      <c r="C18" s="8"/>
      <c r="D18" s="8"/>
      <c r="E18" s="8"/>
      <c r="F18" s="8"/>
      <c r="G18" s="8"/>
      <c r="H18" s="8"/>
      <c r="I18" s="8"/>
    </row>
    <row r="19" spans="3:9" x14ac:dyDescent="0.25">
      <c r="C19" s="8"/>
      <c r="D19" s="8"/>
      <c r="E19" s="8"/>
      <c r="F19" s="8"/>
      <c r="G19" s="8"/>
      <c r="H19" s="8"/>
      <c r="I19" s="8"/>
    </row>
    <row r="20" spans="3:9" x14ac:dyDescent="0.25">
      <c r="C20" s="8"/>
      <c r="D20" s="8"/>
      <c r="E20" s="8"/>
      <c r="F20" s="8"/>
      <c r="G20" s="8"/>
      <c r="H20" s="8"/>
      <c r="I20" s="8"/>
    </row>
    <row r="21" spans="3:9" x14ac:dyDescent="0.25">
      <c r="C21" s="8"/>
      <c r="D21" s="8"/>
      <c r="E21" s="8"/>
    </row>
    <row r="22" spans="3:9" x14ac:dyDescent="0.25">
      <c r="C22" s="8"/>
      <c r="D22" s="8"/>
      <c r="E22" s="8"/>
    </row>
  </sheetData>
  <dataValidations count="1">
    <dataValidation type="list" allowBlank="1" showInputMessage="1" showErrorMessage="1" sqref="D3:E3">
      <formula1>$A$2:$A$13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H17"/>
  <sheetViews>
    <sheetView zoomScale="140" zoomScaleNormal="140" workbookViewId="0">
      <selection activeCell="B11" sqref="B11:C11"/>
    </sheetView>
  </sheetViews>
  <sheetFormatPr defaultRowHeight="15" x14ac:dyDescent="0.25"/>
  <cols>
    <col min="2" max="2" width="12.85546875" bestFit="1" customWidth="1"/>
    <col min="3" max="3" width="13.140625" customWidth="1"/>
  </cols>
  <sheetData>
    <row r="1" spans="2:8" x14ac:dyDescent="0.25">
      <c r="C1" s="47" t="s">
        <v>91</v>
      </c>
      <c r="D1" s="47"/>
      <c r="E1" s="47" t="s">
        <v>92</v>
      </c>
      <c r="F1" s="47"/>
      <c r="G1" s="47" t="s">
        <v>93</v>
      </c>
      <c r="H1" s="47"/>
    </row>
    <row r="2" spans="2:8" x14ac:dyDescent="0.25">
      <c r="B2" s="13" t="s">
        <v>65</v>
      </c>
      <c r="C2" s="22" t="s">
        <v>0</v>
      </c>
      <c r="D2" s="22" t="s">
        <v>66</v>
      </c>
      <c r="E2" s="23" t="s">
        <v>0</v>
      </c>
      <c r="F2" s="23" t="s">
        <v>66</v>
      </c>
      <c r="G2" s="23" t="s">
        <v>0</v>
      </c>
      <c r="H2" s="23" t="s">
        <v>66</v>
      </c>
    </row>
    <row r="3" spans="2:8" x14ac:dyDescent="0.25">
      <c r="B3" s="13">
        <v>1</v>
      </c>
      <c r="C3" s="20" t="s">
        <v>94</v>
      </c>
      <c r="D3" s="20">
        <v>50</v>
      </c>
      <c r="E3" s="20" t="s">
        <v>67</v>
      </c>
      <c r="F3" s="20">
        <v>25</v>
      </c>
      <c r="G3" s="20" t="s">
        <v>68</v>
      </c>
      <c r="H3" s="20">
        <v>25</v>
      </c>
    </row>
    <row r="4" spans="2:8" x14ac:dyDescent="0.25">
      <c r="B4" s="13">
        <v>2</v>
      </c>
      <c r="C4" s="20" t="s">
        <v>69</v>
      </c>
      <c r="D4" s="20">
        <v>63</v>
      </c>
      <c r="E4" s="20" t="s">
        <v>70</v>
      </c>
      <c r="F4" s="20">
        <v>36</v>
      </c>
      <c r="G4" s="20" t="s">
        <v>71</v>
      </c>
      <c r="H4" s="20">
        <v>36</v>
      </c>
    </row>
    <row r="5" spans="2:8" x14ac:dyDescent="0.25">
      <c r="B5" s="13">
        <v>3</v>
      </c>
      <c r="C5" s="20" t="s">
        <v>67</v>
      </c>
      <c r="D5" s="20">
        <v>14</v>
      </c>
      <c r="E5" s="20" t="s">
        <v>72</v>
      </c>
      <c r="F5" s="20">
        <v>45</v>
      </c>
      <c r="G5" s="20" t="s">
        <v>69</v>
      </c>
      <c r="H5" s="20">
        <v>45</v>
      </c>
    </row>
    <row r="6" spans="2:8" x14ac:dyDescent="0.25">
      <c r="B6" s="13">
        <v>4</v>
      </c>
      <c r="C6" s="20" t="s">
        <v>73</v>
      </c>
      <c r="D6" s="20">
        <v>62</v>
      </c>
      <c r="E6" s="20" t="s">
        <v>71</v>
      </c>
      <c r="F6" s="20">
        <v>25</v>
      </c>
      <c r="G6" s="20" t="s">
        <v>74</v>
      </c>
      <c r="H6" s="20">
        <v>85</v>
      </c>
    </row>
    <row r="7" spans="2:8" x14ac:dyDescent="0.25">
      <c r="B7" s="13">
        <v>5</v>
      </c>
      <c r="C7" s="20" t="s">
        <v>74</v>
      </c>
      <c r="D7" s="20">
        <v>78</v>
      </c>
      <c r="E7" s="20" t="s">
        <v>68</v>
      </c>
      <c r="F7" s="20">
        <v>68</v>
      </c>
      <c r="G7" s="20" t="s">
        <v>70</v>
      </c>
      <c r="H7" s="20">
        <v>41</v>
      </c>
    </row>
    <row r="10" spans="2:8" ht="15.75" thickBot="1" x14ac:dyDescent="0.3">
      <c r="H10" s="14" t="s">
        <v>84</v>
      </c>
    </row>
    <row r="11" spans="2:8" ht="15.75" thickBot="1" x14ac:dyDescent="0.3">
      <c r="B11" s="48" t="s">
        <v>93</v>
      </c>
      <c r="C11" s="49"/>
      <c r="F11" s="41" t="s">
        <v>119</v>
      </c>
    </row>
    <row r="12" spans="2:8" x14ac:dyDescent="0.25">
      <c r="B12" s="43" t="str">
        <f t="array" aca="1" ref="B12:C17" ca="1">INDIRECT(B11)</f>
        <v>name</v>
      </c>
      <c r="C12" s="43" t="str">
        <f ca="1"/>
        <v>Age</v>
      </c>
    </row>
    <row r="13" spans="2:8" x14ac:dyDescent="0.25">
      <c r="B13" s="1" t="str">
        <f ca="1"/>
        <v>sanjay</v>
      </c>
      <c r="C13" s="1">
        <f ca="1"/>
        <v>25</v>
      </c>
    </row>
    <row r="14" spans="2:8" x14ac:dyDescent="0.25">
      <c r="B14" s="1" t="str">
        <f ca="1"/>
        <v>sandeep</v>
      </c>
      <c r="C14" s="1">
        <f ca="1"/>
        <v>36</v>
      </c>
    </row>
    <row r="15" spans="2:8" x14ac:dyDescent="0.25">
      <c r="B15" s="1" t="str">
        <f ca="1"/>
        <v>Ramesh</v>
      </c>
      <c r="C15" s="1">
        <f ca="1"/>
        <v>45</v>
      </c>
    </row>
    <row r="16" spans="2:8" x14ac:dyDescent="0.25">
      <c r="B16" s="1" t="str">
        <f ca="1"/>
        <v>sahu</v>
      </c>
      <c r="C16" s="1">
        <f ca="1"/>
        <v>85</v>
      </c>
    </row>
    <row r="17" spans="2:3" x14ac:dyDescent="0.25">
      <c r="B17" s="1" t="str">
        <f ca="1"/>
        <v>Vimal</v>
      </c>
      <c r="C17" s="1">
        <f ca="1"/>
        <v>41</v>
      </c>
    </row>
  </sheetData>
  <mergeCells count="4">
    <mergeCell ref="C1:D1"/>
    <mergeCell ref="E1:F1"/>
    <mergeCell ref="G1:H1"/>
    <mergeCell ref="B11:C11"/>
  </mergeCells>
  <dataValidations count="1">
    <dataValidation type="list" allowBlank="1" showInputMessage="1" showErrorMessage="1" sqref="B11">
      <formula1>"Group_A,Group_B,Group_C"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27"/>
  <sheetViews>
    <sheetView zoomScale="140" zoomScaleNormal="140" workbookViewId="0">
      <selection activeCell="E3" sqref="B3:E9"/>
    </sheetView>
  </sheetViews>
  <sheetFormatPr defaultRowHeight="15" x14ac:dyDescent="0.25"/>
  <cols>
    <col min="1" max="1" width="20.140625" bestFit="1" customWidth="1"/>
    <col min="2" max="2" width="16" customWidth="1"/>
    <col min="3" max="3" width="16.5703125" bestFit="1" customWidth="1"/>
    <col min="4" max="4" width="8.42578125" customWidth="1"/>
    <col min="7" max="7" width="10.85546875" bestFit="1" customWidth="1"/>
  </cols>
  <sheetData>
    <row r="1" spans="1:20" x14ac:dyDescent="0.25">
      <c r="B1" t="s">
        <v>119</v>
      </c>
      <c r="C1" t="s">
        <v>119</v>
      </c>
      <c r="D1" t="s">
        <v>119</v>
      </c>
      <c r="E1" t="s">
        <v>119</v>
      </c>
    </row>
    <row r="2" spans="1:20" x14ac:dyDescent="0.25">
      <c r="A2" s="24" t="s">
        <v>62</v>
      </c>
      <c r="B2" s="24" t="s">
        <v>63</v>
      </c>
      <c r="C2" s="24" t="s">
        <v>64</v>
      </c>
      <c r="D2" s="24" t="s">
        <v>35</v>
      </c>
      <c r="E2" s="24" t="s">
        <v>36</v>
      </c>
      <c r="S2" t="str">
        <f t="shared" ref="S2:S11" si="0">CHAR(T2)</f>
        <v>A</v>
      </c>
      <c r="T2">
        <v>65</v>
      </c>
    </row>
    <row r="3" spans="1:20" x14ac:dyDescent="0.25">
      <c r="A3" s="11">
        <v>451529</v>
      </c>
      <c r="B3" s="12">
        <f t="array" aca="1" ref="B3" ca="1">MIN(INT(MID(A3,ROW(INDIRECT("1:"&amp;LEN(A3))),1)))</f>
        <v>1</v>
      </c>
      <c r="C3" s="12">
        <f t="array" aca="1" ref="C3" ca="1">MAX(INT(MID(A3,ROW(INDIRECT("1:"&amp;LEN(A3))),1)))</f>
        <v>9</v>
      </c>
      <c r="D3" s="1">
        <f t="array" aca="1" ref="D3" ca="1">SUM(INT(MID(A3,ROW(INDIRECT("1:"&amp;LEN(A3))),1)))</f>
        <v>26</v>
      </c>
      <c r="E3" s="1">
        <f t="array" aca="1" ref="E3" ca="1">PRODUCT(INT(MID(A3,ROW(INDIRECT("1:"&amp;LEN(A3))),1)))</f>
        <v>1800</v>
      </c>
      <c r="G3" t="s">
        <v>87</v>
      </c>
      <c r="H3" s="14" t="s">
        <v>85</v>
      </c>
      <c r="S3" t="str">
        <f t="shared" si="0"/>
        <v>B</v>
      </c>
      <c r="T3">
        <v>66</v>
      </c>
    </row>
    <row r="4" spans="1:20" x14ac:dyDescent="0.25">
      <c r="A4" s="11">
        <v>452529</v>
      </c>
      <c r="B4" s="12">
        <f t="array" aca="1" ref="B4" ca="1">MIN(INT(MID(A4,ROW(INDIRECT("1:"&amp;LEN(A4))),1)))</f>
        <v>2</v>
      </c>
      <c r="C4" s="12">
        <f t="array" aca="1" ref="C4" ca="1">MAX(INT(MID(A4,ROW(INDIRECT("1:"&amp;LEN(A4))),1)))</f>
        <v>9</v>
      </c>
      <c r="D4" s="1">
        <f t="array" aca="1" ref="D4" ca="1">SUM(INT(MID(A4,ROW(INDIRECT("1:"&amp;LEN(A4))),1)))</f>
        <v>27</v>
      </c>
      <c r="E4" s="1">
        <f t="array" aca="1" ref="E4" ca="1">PRODUCT(INT(MID(A4,ROW(INDIRECT("1:"&amp;LEN(A4))),1)))</f>
        <v>3600</v>
      </c>
      <c r="H4" s="14"/>
      <c r="S4" t="str">
        <f t="shared" si="0"/>
        <v>C</v>
      </c>
      <c r="T4">
        <v>67</v>
      </c>
    </row>
    <row r="5" spans="1:20" x14ac:dyDescent="0.25">
      <c r="A5" s="11">
        <v>46345</v>
      </c>
      <c r="B5" s="12">
        <f t="array" aca="1" ref="B5" ca="1">MIN(INT(MID(A5,ROW(INDIRECT("1:"&amp;LEN(A5))),1)))</f>
        <v>3</v>
      </c>
      <c r="C5" s="12">
        <f t="array" aca="1" ref="C5" ca="1">MAX(INT(MID(A5,ROW(INDIRECT("1:"&amp;LEN(A5))),1)))</f>
        <v>6</v>
      </c>
      <c r="D5" s="1">
        <f t="array" aca="1" ref="D5" ca="1">SUM(INT(MID(A5,ROW(INDIRECT("1:"&amp;LEN(A5))),1)))</f>
        <v>22</v>
      </c>
      <c r="E5" s="1">
        <f t="array" aca="1" ref="E5" ca="1">PRODUCT(INT(MID(A5,ROW(INDIRECT("1:"&amp;LEN(A5))),1)))</f>
        <v>1440</v>
      </c>
      <c r="G5" t="s">
        <v>88</v>
      </c>
      <c r="H5" s="14" t="s">
        <v>86</v>
      </c>
      <c r="S5" t="str">
        <f t="shared" si="0"/>
        <v>D</v>
      </c>
      <c r="T5">
        <v>68</v>
      </c>
    </row>
    <row r="6" spans="1:20" x14ac:dyDescent="0.25">
      <c r="A6" s="11">
        <v>81542</v>
      </c>
      <c r="B6" s="12">
        <f t="array" aca="1" ref="B6" ca="1">MIN(INT(MID(A6,ROW(INDIRECT("1:"&amp;LEN(A6))),1)))</f>
        <v>1</v>
      </c>
      <c r="C6" s="12">
        <f t="array" aca="1" ref="C6" ca="1">MAX(INT(MID(A6,ROW(INDIRECT("1:"&amp;LEN(A6))),1)))</f>
        <v>8</v>
      </c>
      <c r="D6" s="1">
        <f t="array" aca="1" ref="D6" ca="1">SUM(INT(MID(A6,ROW(INDIRECT("1:"&amp;LEN(A6))),1)))</f>
        <v>20</v>
      </c>
      <c r="E6" s="1">
        <f t="array" aca="1" ref="E6" ca="1">PRODUCT(INT(MID(A6,ROW(INDIRECT("1:"&amp;LEN(A6))),1)))</f>
        <v>320</v>
      </c>
      <c r="H6" s="14"/>
      <c r="S6" t="str">
        <f t="shared" si="0"/>
        <v>E</v>
      </c>
      <c r="T6">
        <v>69</v>
      </c>
    </row>
    <row r="7" spans="1:20" x14ac:dyDescent="0.25">
      <c r="A7" s="11">
        <v>81345</v>
      </c>
      <c r="B7" s="12">
        <f t="array" aca="1" ref="B7" ca="1">MIN(INT(MID(A7,ROW(INDIRECT("1:"&amp;LEN(A7))),1)))</f>
        <v>1</v>
      </c>
      <c r="C7" s="12">
        <f t="array" aca="1" ref="C7" ca="1">MAX(INT(MID(A7,ROW(INDIRECT("1:"&amp;LEN(A7))),1)))</f>
        <v>8</v>
      </c>
      <c r="D7" s="1">
        <f t="array" aca="1" ref="D7" ca="1">SUM(INT(MID(A7,ROW(INDIRECT("1:"&amp;LEN(A7))),1)))</f>
        <v>21</v>
      </c>
      <c r="E7" s="1">
        <f t="array" aca="1" ref="E7" ca="1">PRODUCT(INT(MID(A7,ROW(INDIRECT("1:"&amp;LEN(A7))),1)))</f>
        <v>480</v>
      </c>
      <c r="H7" s="14"/>
      <c r="S7" t="str">
        <f t="shared" si="0"/>
        <v>F</v>
      </c>
      <c r="T7">
        <v>70</v>
      </c>
    </row>
    <row r="8" spans="1:20" x14ac:dyDescent="0.25">
      <c r="A8" s="11">
        <v>85496</v>
      </c>
      <c r="B8" s="12">
        <f t="array" aca="1" ref="B8" ca="1">MIN(INT(MID(A8,ROW(INDIRECT("1:"&amp;LEN(A8))),1)))</f>
        <v>4</v>
      </c>
      <c r="C8" s="12">
        <f t="array" aca="1" ref="C8" ca="1">MAX(INT(MID(A8,ROW(INDIRECT("1:"&amp;LEN(A8))),1)))</f>
        <v>9</v>
      </c>
      <c r="D8" s="1">
        <f t="array" aca="1" ref="D8" ca="1">SUM(INT(MID(A8,ROW(INDIRECT("1:"&amp;LEN(A8))),1)))</f>
        <v>32</v>
      </c>
      <c r="E8" s="1">
        <f t="array" aca="1" ref="E8" ca="1">PRODUCT(INT(MID(A8,ROW(INDIRECT("1:"&amp;LEN(A8))),1)))</f>
        <v>8640</v>
      </c>
      <c r="H8" s="14"/>
      <c r="S8" t="str">
        <f t="shared" si="0"/>
        <v>G</v>
      </c>
      <c r="T8">
        <v>71</v>
      </c>
    </row>
    <row r="9" spans="1:20" x14ac:dyDescent="0.25">
      <c r="A9" s="11">
        <v>77684</v>
      </c>
      <c r="B9" s="12">
        <f t="array" aca="1" ref="B9" ca="1">MIN(INT(MID(A9,ROW(INDIRECT("1:"&amp;LEN(A9))),1)))</f>
        <v>4</v>
      </c>
      <c r="C9" s="12">
        <f t="array" aca="1" ref="C9" ca="1">MAX(INT(MID(A9,ROW(INDIRECT("1:"&amp;LEN(A9))),1)))</f>
        <v>8</v>
      </c>
      <c r="D9" s="1">
        <f t="array" aca="1" ref="D9" ca="1">SUM(INT(MID(A9,ROW(INDIRECT("1:"&amp;LEN(A9))),1)))</f>
        <v>32</v>
      </c>
      <c r="E9" s="1">
        <f t="array" aca="1" ref="E9" ca="1">PRODUCT(INT(MID(A9,ROW(INDIRECT("1:"&amp;LEN(A9))),1)))</f>
        <v>9408</v>
      </c>
      <c r="H9" s="14"/>
      <c r="S9" t="str">
        <f t="shared" si="0"/>
        <v>H</v>
      </c>
      <c r="T9">
        <v>72</v>
      </c>
    </row>
    <row r="10" spans="1:20" x14ac:dyDescent="0.25">
      <c r="H10" s="14"/>
      <c r="S10" t="str">
        <f t="shared" si="0"/>
        <v>I</v>
      </c>
      <c r="T10">
        <v>73</v>
      </c>
    </row>
    <row r="11" spans="1:20" x14ac:dyDescent="0.25">
      <c r="H11" s="14"/>
      <c r="S11" t="str">
        <f t="shared" si="0"/>
        <v>J</v>
      </c>
      <c r="T11">
        <v>74</v>
      </c>
    </row>
    <row r="16" spans="1:20" x14ac:dyDescent="0.25">
      <c r="S16" t="str">
        <f t="shared" ref="S16:S27" si="1">CHAR(T16)</f>
        <v>O</v>
      </c>
      <c r="T16">
        <v>79</v>
      </c>
    </row>
    <row r="17" spans="19:20" x14ac:dyDescent="0.25">
      <c r="S17" t="str">
        <f t="shared" si="1"/>
        <v>P</v>
      </c>
      <c r="T17">
        <v>80</v>
      </c>
    </row>
    <row r="18" spans="19:20" x14ac:dyDescent="0.25">
      <c r="S18" t="str">
        <f t="shared" si="1"/>
        <v>Q</v>
      </c>
      <c r="T18">
        <v>81</v>
      </c>
    </row>
    <row r="19" spans="19:20" x14ac:dyDescent="0.25">
      <c r="S19" t="str">
        <f t="shared" si="1"/>
        <v>R</v>
      </c>
      <c r="T19">
        <v>82</v>
      </c>
    </row>
    <row r="20" spans="19:20" x14ac:dyDescent="0.25">
      <c r="S20" t="str">
        <f t="shared" si="1"/>
        <v>S</v>
      </c>
      <c r="T20">
        <v>83</v>
      </c>
    </row>
    <row r="21" spans="19:20" x14ac:dyDescent="0.25">
      <c r="S21" t="str">
        <f t="shared" si="1"/>
        <v>T</v>
      </c>
      <c r="T21">
        <v>84</v>
      </c>
    </row>
    <row r="22" spans="19:20" x14ac:dyDescent="0.25">
      <c r="S22" t="str">
        <f t="shared" si="1"/>
        <v>U</v>
      </c>
      <c r="T22">
        <v>85</v>
      </c>
    </row>
    <row r="23" spans="19:20" x14ac:dyDescent="0.25">
      <c r="S23" t="str">
        <f t="shared" si="1"/>
        <v>V</v>
      </c>
      <c r="T23">
        <v>86</v>
      </c>
    </row>
    <row r="24" spans="19:20" x14ac:dyDescent="0.25">
      <c r="S24" t="str">
        <f t="shared" si="1"/>
        <v>W</v>
      </c>
      <c r="T24">
        <v>87</v>
      </c>
    </row>
    <row r="25" spans="19:20" x14ac:dyDescent="0.25">
      <c r="S25" t="str">
        <f t="shared" si="1"/>
        <v>X</v>
      </c>
      <c r="T25">
        <v>88</v>
      </c>
    </row>
    <row r="26" spans="19:20" x14ac:dyDescent="0.25">
      <c r="S26" t="str">
        <f t="shared" si="1"/>
        <v>Y</v>
      </c>
      <c r="T26">
        <v>89</v>
      </c>
    </row>
    <row r="27" spans="19:20" x14ac:dyDescent="0.25">
      <c r="S27" t="str">
        <f t="shared" si="1"/>
        <v>Z</v>
      </c>
      <c r="T27">
        <v>90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258"/>
  <sheetViews>
    <sheetView topLeftCell="A17" zoomScale="150" zoomScaleNormal="150" workbookViewId="0">
      <selection activeCell="E22" sqref="E22"/>
    </sheetView>
  </sheetViews>
  <sheetFormatPr defaultRowHeight="15" x14ac:dyDescent="0.25"/>
  <cols>
    <col min="1" max="1" width="20.140625" bestFit="1" customWidth="1"/>
    <col min="2" max="2" width="10.85546875" bestFit="1" customWidth="1"/>
    <col min="3" max="3" width="14.5703125" customWidth="1"/>
    <col min="4" max="4" width="10.85546875" bestFit="1" customWidth="1"/>
    <col min="5" max="6" width="10.85546875" customWidth="1"/>
    <col min="7" max="7" width="9.140625" customWidth="1"/>
  </cols>
  <sheetData>
    <row r="1" spans="1:15" x14ac:dyDescent="0.25">
      <c r="G1" s="14"/>
      <c r="N1">
        <v>1</v>
      </c>
      <c r="O1" t="str">
        <f>CHAR(N1)</f>
        <v>_x0001_</v>
      </c>
    </row>
    <row r="2" spans="1:15" x14ac:dyDescent="0.25">
      <c r="B2" t="s">
        <v>90</v>
      </c>
      <c r="C2" s="14" t="s">
        <v>89</v>
      </c>
      <c r="N2">
        <v>2</v>
      </c>
      <c r="O2" t="str">
        <f t="shared" ref="O2:O65" si="0">CHAR(N2)</f>
        <v>_x0002_</v>
      </c>
    </row>
    <row r="3" spans="1:15" x14ac:dyDescent="0.25">
      <c r="N3">
        <v>3</v>
      </c>
      <c r="O3" t="str">
        <f t="shared" si="0"/>
        <v>_x0003_</v>
      </c>
    </row>
    <row r="4" spans="1:15" x14ac:dyDescent="0.25">
      <c r="A4" s="50" t="s">
        <v>76</v>
      </c>
      <c r="B4" s="50"/>
      <c r="N4">
        <v>4</v>
      </c>
      <c r="O4" t="str">
        <f t="shared" si="0"/>
        <v>_x0004_</v>
      </c>
    </row>
    <row r="5" spans="1:15" x14ac:dyDescent="0.25">
      <c r="A5" s="17"/>
      <c r="B5" s="17" t="s">
        <v>124</v>
      </c>
      <c r="C5" s="17" t="s">
        <v>125</v>
      </c>
      <c r="D5" s="17" t="s">
        <v>62</v>
      </c>
      <c r="E5" s="45" t="s">
        <v>190</v>
      </c>
      <c r="F5" s="41"/>
      <c r="H5" s="39" t="s">
        <v>77</v>
      </c>
      <c r="I5" s="39">
        <f t="shared" ref="I5:I6" si="1">CODE(H5)</f>
        <v>65</v>
      </c>
      <c r="J5" s="20">
        <f>CODE(H5)</f>
        <v>65</v>
      </c>
      <c r="K5" s="20" t="str">
        <f>CHAR(J5)</f>
        <v>A</v>
      </c>
      <c r="N5">
        <v>5</v>
      </c>
      <c r="O5" t="str">
        <f t="shared" si="0"/>
        <v>_x0005_</v>
      </c>
    </row>
    <row r="6" spans="1:15" x14ac:dyDescent="0.25">
      <c r="A6" s="11" t="s">
        <v>75</v>
      </c>
      <c r="B6" s="1">
        <f t="array" aca="1" ref="B6" ca="1">SUMPRODUCT(--(LEN(A6)-LEN(SUBSTITUTE(A6,CHAR(ROW(INDIRECT("65:90"))),""))))</f>
        <v>3</v>
      </c>
      <c r="C6" s="1">
        <f t="array" aca="1" ref="C6" ca="1">SUMPRODUCT(--(LEN(A6)-LEN(SUBSTITUTE(A6,CHAR(ROW(INDIRECT("97:122"))),""))))</f>
        <v>4</v>
      </c>
      <c r="D6" s="1">
        <f t="array" aca="1" ref="D6" ca="1">SUMPRODUCT(--(LEN(A6)-LEN(SUBSTITUTE(A6,CHAR(ROW(INDIRECT("48:57"))),""))))</f>
        <v>12</v>
      </c>
      <c r="E6" s="38">
        <f>LEN(A6)</f>
        <v>19</v>
      </c>
      <c r="F6" s="41"/>
      <c r="H6" s="39" t="s">
        <v>121</v>
      </c>
      <c r="I6" s="39">
        <f t="shared" si="1"/>
        <v>90</v>
      </c>
      <c r="J6" s="20">
        <f t="shared" ref="J6:J10" si="2">CODE(H6)</f>
        <v>90</v>
      </c>
      <c r="K6" s="20" t="str">
        <f t="shared" ref="K6:K10" si="3">CHAR(J6)</f>
        <v>Z</v>
      </c>
      <c r="N6">
        <v>6</v>
      </c>
      <c r="O6" t="str">
        <f t="shared" si="0"/>
        <v>_x0006_</v>
      </c>
    </row>
    <row r="7" spans="1:15" x14ac:dyDescent="0.25">
      <c r="A7" s="1" t="s">
        <v>184</v>
      </c>
      <c r="B7" s="1">
        <f t="array" aca="1" ref="B7" ca="1">SUMPRODUCT(--(LEN(A7)-LEN(SUBSTITUTE(A7,CHAR(ROW(INDIRECT("65:90"))),""))))</f>
        <v>7</v>
      </c>
      <c r="C7" s="1">
        <f t="array" aca="1" ref="C7" ca="1">SUMPRODUCT(--(LEN(A7)-LEN(SUBSTITUTE(A7,CHAR(ROW(INDIRECT("97:122"))),""))))</f>
        <v>12</v>
      </c>
      <c r="D7" s="1">
        <f t="array" aca="1" ref="D7" ca="1">SUMPRODUCT(--(LEN(A7)-LEN(SUBSTITUTE(A7,CHAR(ROW(INDIRECT("48:57"))),""))))</f>
        <v>0</v>
      </c>
      <c r="E7" s="38">
        <f t="shared" ref="E7:E8" si="4">LEN(A7)</f>
        <v>19</v>
      </c>
      <c r="F7" s="41"/>
      <c r="H7" s="40" t="s">
        <v>122</v>
      </c>
      <c r="I7" s="40">
        <f>CODE(H7)</f>
        <v>97</v>
      </c>
      <c r="J7" s="20">
        <f t="shared" si="2"/>
        <v>97</v>
      </c>
      <c r="K7" s="20" t="str">
        <f t="shared" si="3"/>
        <v>a</v>
      </c>
      <c r="N7">
        <v>7</v>
      </c>
      <c r="O7" t="str">
        <f t="shared" si="0"/>
        <v>_x0007_</v>
      </c>
    </row>
    <row r="8" spans="1:15" x14ac:dyDescent="0.25">
      <c r="A8" s="1" t="s">
        <v>127</v>
      </c>
      <c r="B8" s="1">
        <f t="array" aca="1" ref="B8" ca="1">SUMPRODUCT(--(LEN(A8)-LEN(SUBSTITUTE(A8,CHAR(ROW(INDIRECT("65:90"))),""))))</f>
        <v>5</v>
      </c>
      <c r="C8" s="1">
        <f t="array" aca="1" ref="C8" ca="1">SUMPRODUCT(--(LEN(A8)-LEN(SUBSTITUTE(A8,CHAR(ROW(INDIRECT("97:122"))),""))))</f>
        <v>10</v>
      </c>
      <c r="D8" s="1">
        <f t="array" aca="1" ref="D8" ca="1">SUMPRODUCT(--(LEN(A8)-LEN(SUBSTITUTE(A8,CHAR(ROW(INDIRECT("48:57"))),""))))</f>
        <v>4</v>
      </c>
      <c r="E8" s="38">
        <f t="shared" si="4"/>
        <v>19</v>
      </c>
      <c r="F8" s="41"/>
      <c r="H8" s="40" t="s">
        <v>123</v>
      </c>
      <c r="I8" s="40">
        <f>CODE(H8)</f>
        <v>122</v>
      </c>
      <c r="J8" s="20">
        <f t="shared" si="2"/>
        <v>122</v>
      </c>
      <c r="K8" s="20" t="str">
        <f t="shared" si="3"/>
        <v>z</v>
      </c>
      <c r="N8">
        <v>8</v>
      </c>
      <c r="O8" t="str">
        <f t="shared" si="0"/>
        <v>_x0008_</v>
      </c>
    </row>
    <row r="9" spans="1:15" x14ac:dyDescent="0.25">
      <c r="F9" s="41"/>
      <c r="H9" s="22">
        <v>0</v>
      </c>
      <c r="I9" s="22">
        <f>CODE(H9)</f>
        <v>48</v>
      </c>
      <c r="J9" s="20">
        <f t="shared" si="2"/>
        <v>48</v>
      </c>
      <c r="K9" s="20" t="str">
        <f t="shared" si="3"/>
        <v>0</v>
      </c>
      <c r="N9">
        <v>9</v>
      </c>
      <c r="O9" t="str">
        <f t="shared" si="0"/>
        <v xml:space="preserve">	</v>
      </c>
    </row>
    <row r="10" spans="1:15" x14ac:dyDescent="0.25">
      <c r="F10" s="41"/>
      <c r="H10" s="22">
        <v>9</v>
      </c>
      <c r="I10" s="22">
        <f>CODE(H10)</f>
        <v>57</v>
      </c>
      <c r="J10" s="20">
        <f t="shared" si="2"/>
        <v>57</v>
      </c>
      <c r="K10" s="20" t="str">
        <f t="shared" si="3"/>
        <v>9</v>
      </c>
      <c r="N10">
        <v>10</v>
      </c>
      <c r="O10" t="str">
        <f t="shared" si="0"/>
        <v xml:space="preserve">
</v>
      </c>
    </row>
    <row r="11" spans="1:15" x14ac:dyDescent="0.25">
      <c r="N11">
        <v>11</v>
      </c>
      <c r="O11" t="str">
        <f t="shared" si="0"/>
        <v>_x000B_</v>
      </c>
    </row>
    <row r="12" spans="1:15" x14ac:dyDescent="0.25">
      <c r="N12">
        <v>12</v>
      </c>
      <c r="O12" t="str">
        <f t="shared" si="0"/>
        <v>_x000C_</v>
      </c>
    </row>
    <row r="13" spans="1:15" x14ac:dyDescent="0.25">
      <c r="B13" t="s">
        <v>185</v>
      </c>
      <c r="N13">
        <v>13</v>
      </c>
      <c r="O13" t="str">
        <f t="shared" si="0"/>
        <v>_x000D_</v>
      </c>
    </row>
    <row r="14" spans="1:15" x14ac:dyDescent="0.25">
      <c r="N14">
        <v>14</v>
      </c>
      <c r="O14" t="str">
        <f t="shared" si="0"/>
        <v>_x000E_</v>
      </c>
    </row>
    <row r="15" spans="1:15" x14ac:dyDescent="0.25">
      <c r="N15">
        <v>15</v>
      </c>
      <c r="O15" t="str">
        <f t="shared" si="0"/>
        <v>_x000F_</v>
      </c>
    </row>
    <row r="16" spans="1:15" x14ac:dyDescent="0.25">
      <c r="N16">
        <v>16</v>
      </c>
      <c r="O16" t="str">
        <f t="shared" si="0"/>
        <v>_x0010_</v>
      </c>
    </row>
    <row r="17" spans="14:15" x14ac:dyDescent="0.25">
      <c r="N17">
        <v>17</v>
      </c>
      <c r="O17" t="str">
        <f t="shared" si="0"/>
        <v>_x0011_</v>
      </c>
    </row>
    <row r="18" spans="14:15" x14ac:dyDescent="0.25">
      <c r="N18">
        <v>18</v>
      </c>
      <c r="O18" t="str">
        <f t="shared" si="0"/>
        <v>_x0012_</v>
      </c>
    </row>
    <row r="19" spans="14:15" x14ac:dyDescent="0.25">
      <c r="N19">
        <v>19</v>
      </c>
      <c r="O19" t="str">
        <f t="shared" si="0"/>
        <v>_x0013_</v>
      </c>
    </row>
    <row r="20" spans="14:15" x14ac:dyDescent="0.25">
      <c r="N20">
        <v>20</v>
      </c>
      <c r="O20" t="str">
        <f t="shared" si="0"/>
        <v>_x0014_</v>
      </c>
    </row>
    <row r="21" spans="14:15" x14ac:dyDescent="0.25">
      <c r="N21">
        <v>21</v>
      </c>
      <c r="O21" t="str">
        <f t="shared" si="0"/>
        <v>_x0015_</v>
      </c>
    </row>
    <row r="22" spans="14:15" x14ac:dyDescent="0.25">
      <c r="N22">
        <v>22</v>
      </c>
      <c r="O22" t="str">
        <f t="shared" si="0"/>
        <v>_x0016_</v>
      </c>
    </row>
    <row r="23" spans="14:15" x14ac:dyDescent="0.25">
      <c r="N23">
        <v>23</v>
      </c>
      <c r="O23" t="str">
        <f t="shared" si="0"/>
        <v>_x0017_</v>
      </c>
    </row>
    <row r="24" spans="14:15" x14ac:dyDescent="0.25">
      <c r="N24">
        <v>24</v>
      </c>
      <c r="O24" t="str">
        <f t="shared" si="0"/>
        <v>_x0018_</v>
      </c>
    </row>
    <row r="25" spans="14:15" x14ac:dyDescent="0.25">
      <c r="N25">
        <v>25</v>
      </c>
      <c r="O25" t="str">
        <f t="shared" si="0"/>
        <v>_x0019_</v>
      </c>
    </row>
    <row r="26" spans="14:15" x14ac:dyDescent="0.25">
      <c r="N26">
        <v>26</v>
      </c>
      <c r="O26" t="str">
        <f t="shared" si="0"/>
        <v>_x001A_</v>
      </c>
    </row>
    <row r="27" spans="14:15" x14ac:dyDescent="0.25">
      <c r="N27">
        <v>27</v>
      </c>
      <c r="O27" t="str">
        <f t="shared" si="0"/>
        <v>_x001B_</v>
      </c>
    </row>
    <row r="28" spans="14:15" x14ac:dyDescent="0.25">
      <c r="N28">
        <v>28</v>
      </c>
      <c r="O28" t="str">
        <f t="shared" si="0"/>
        <v>_x001C_</v>
      </c>
    </row>
    <row r="29" spans="14:15" x14ac:dyDescent="0.25">
      <c r="N29">
        <v>29</v>
      </c>
      <c r="O29" t="str">
        <f t="shared" si="0"/>
        <v>_x001D_</v>
      </c>
    </row>
    <row r="30" spans="14:15" x14ac:dyDescent="0.25">
      <c r="N30">
        <v>30</v>
      </c>
      <c r="O30" t="str">
        <f t="shared" si="0"/>
        <v>_x001E_</v>
      </c>
    </row>
    <row r="31" spans="14:15" x14ac:dyDescent="0.25">
      <c r="N31">
        <v>31</v>
      </c>
      <c r="O31" t="str">
        <f t="shared" si="0"/>
        <v>_x001F_</v>
      </c>
    </row>
    <row r="32" spans="14:15" x14ac:dyDescent="0.25">
      <c r="N32">
        <v>32</v>
      </c>
      <c r="O32" t="str">
        <f t="shared" si="0"/>
        <v xml:space="preserve"> </v>
      </c>
    </row>
    <row r="33" spans="14:15" x14ac:dyDescent="0.25">
      <c r="N33">
        <v>33</v>
      </c>
      <c r="O33" t="str">
        <f t="shared" si="0"/>
        <v>!</v>
      </c>
    </row>
    <row r="34" spans="14:15" x14ac:dyDescent="0.25">
      <c r="N34">
        <v>34</v>
      </c>
      <c r="O34" t="str">
        <f t="shared" si="0"/>
        <v>"</v>
      </c>
    </row>
    <row r="35" spans="14:15" x14ac:dyDescent="0.25">
      <c r="N35">
        <v>35</v>
      </c>
      <c r="O35" t="str">
        <f t="shared" si="0"/>
        <v>#</v>
      </c>
    </row>
    <row r="36" spans="14:15" x14ac:dyDescent="0.25">
      <c r="N36">
        <v>36</v>
      </c>
      <c r="O36" t="str">
        <f t="shared" si="0"/>
        <v>$</v>
      </c>
    </row>
    <row r="37" spans="14:15" x14ac:dyDescent="0.25">
      <c r="N37">
        <v>37</v>
      </c>
      <c r="O37" t="str">
        <f t="shared" si="0"/>
        <v>%</v>
      </c>
    </row>
    <row r="38" spans="14:15" x14ac:dyDescent="0.25">
      <c r="N38">
        <v>38</v>
      </c>
      <c r="O38" t="str">
        <f t="shared" si="0"/>
        <v>&amp;</v>
      </c>
    </row>
    <row r="39" spans="14:15" x14ac:dyDescent="0.25">
      <c r="N39">
        <v>39</v>
      </c>
      <c r="O39" t="str">
        <f t="shared" si="0"/>
        <v>'</v>
      </c>
    </row>
    <row r="40" spans="14:15" x14ac:dyDescent="0.25">
      <c r="N40">
        <v>40</v>
      </c>
      <c r="O40" t="str">
        <f t="shared" si="0"/>
        <v>(</v>
      </c>
    </row>
    <row r="41" spans="14:15" x14ac:dyDescent="0.25">
      <c r="N41">
        <v>41</v>
      </c>
      <c r="O41" t="str">
        <f t="shared" si="0"/>
        <v>)</v>
      </c>
    </row>
    <row r="42" spans="14:15" x14ac:dyDescent="0.25">
      <c r="N42">
        <v>42</v>
      </c>
      <c r="O42" t="str">
        <f t="shared" si="0"/>
        <v>*</v>
      </c>
    </row>
    <row r="43" spans="14:15" x14ac:dyDescent="0.25">
      <c r="N43">
        <v>43</v>
      </c>
      <c r="O43" t="str">
        <f t="shared" si="0"/>
        <v>+</v>
      </c>
    </row>
    <row r="44" spans="14:15" x14ac:dyDescent="0.25">
      <c r="N44">
        <v>44</v>
      </c>
      <c r="O44" t="str">
        <f t="shared" si="0"/>
        <v>,</v>
      </c>
    </row>
    <row r="45" spans="14:15" x14ac:dyDescent="0.25">
      <c r="N45">
        <v>45</v>
      </c>
      <c r="O45" t="str">
        <f t="shared" si="0"/>
        <v>-</v>
      </c>
    </row>
    <row r="46" spans="14:15" x14ac:dyDescent="0.25">
      <c r="N46">
        <v>46</v>
      </c>
      <c r="O46" t="str">
        <f t="shared" si="0"/>
        <v>.</v>
      </c>
    </row>
    <row r="47" spans="14:15" x14ac:dyDescent="0.25">
      <c r="N47">
        <v>47</v>
      </c>
      <c r="O47" t="str">
        <f t="shared" si="0"/>
        <v>/</v>
      </c>
    </row>
    <row r="48" spans="14:15" x14ac:dyDescent="0.25">
      <c r="N48">
        <v>48</v>
      </c>
      <c r="O48" t="str">
        <f t="shared" si="0"/>
        <v>0</v>
      </c>
    </row>
    <row r="49" spans="14:15" x14ac:dyDescent="0.25">
      <c r="N49">
        <v>49</v>
      </c>
      <c r="O49" t="str">
        <f t="shared" si="0"/>
        <v>1</v>
      </c>
    </row>
    <row r="50" spans="14:15" x14ac:dyDescent="0.25">
      <c r="N50">
        <v>50</v>
      </c>
      <c r="O50" t="str">
        <f t="shared" si="0"/>
        <v>2</v>
      </c>
    </row>
    <row r="51" spans="14:15" x14ac:dyDescent="0.25">
      <c r="N51">
        <v>51</v>
      </c>
      <c r="O51" t="str">
        <f t="shared" si="0"/>
        <v>3</v>
      </c>
    </row>
    <row r="52" spans="14:15" x14ac:dyDescent="0.25">
      <c r="N52">
        <v>52</v>
      </c>
      <c r="O52" t="str">
        <f t="shared" si="0"/>
        <v>4</v>
      </c>
    </row>
    <row r="53" spans="14:15" x14ac:dyDescent="0.25">
      <c r="N53">
        <v>53</v>
      </c>
      <c r="O53" t="str">
        <f t="shared" si="0"/>
        <v>5</v>
      </c>
    </row>
    <row r="54" spans="14:15" x14ac:dyDescent="0.25">
      <c r="N54">
        <v>54</v>
      </c>
      <c r="O54" t="str">
        <f t="shared" si="0"/>
        <v>6</v>
      </c>
    </row>
    <row r="55" spans="14:15" x14ac:dyDescent="0.25">
      <c r="N55">
        <v>55</v>
      </c>
      <c r="O55" t="str">
        <f t="shared" si="0"/>
        <v>7</v>
      </c>
    </row>
    <row r="56" spans="14:15" x14ac:dyDescent="0.25">
      <c r="N56">
        <v>56</v>
      </c>
      <c r="O56" t="str">
        <f t="shared" si="0"/>
        <v>8</v>
      </c>
    </row>
    <row r="57" spans="14:15" x14ac:dyDescent="0.25">
      <c r="N57">
        <v>57</v>
      </c>
      <c r="O57" t="str">
        <f t="shared" si="0"/>
        <v>9</v>
      </c>
    </row>
    <row r="58" spans="14:15" x14ac:dyDescent="0.25">
      <c r="N58">
        <v>58</v>
      </c>
      <c r="O58" t="str">
        <f t="shared" si="0"/>
        <v>:</v>
      </c>
    </row>
    <row r="59" spans="14:15" x14ac:dyDescent="0.25">
      <c r="N59">
        <v>59</v>
      </c>
      <c r="O59" t="str">
        <f t="shared" si="0"/>
        <v>;</v>
      </c>
    </row>
    <row r="60" spans="14:15" x14ac:dyDescent="0.25">
      <c r="N60">
        <v>60</v>
      </c>
      <c r="O60" t="str">
        <f t="shared" si="0"/>
        <v>&lt;</v>
      </c>
    </row>
    <row r="61" spans="14:15" x14ac:dyDescent="0.25">
      <c r="N61">
        <v>61</v>
      </c>
      <c r="O61" t="str">
        <f t="shared" si="0"/>
        <v>=</v>
      </c>
    </row>
    <row r="62" spans="14:15" x14ac:dyDescent="0.25">
      <c r="N62">
        <v>62</v>
      </c>
      <c r="O62" t="str">
        <f t="shared" si="0"/>
        <v>&gt;</v>
      </c>
    </row>
    <row r="63" spans="14:15" x14ac:dyDescent="0.25">
      <c r="N63">
        <v>63</v>
      </c>
      <c r="O63" t="str">
        <f t="shared" si="0"/>
        <v>?</v>
      </c>
    </row>
    <row r="64" spans="14:15" x14ac:dyDescent="0.25">
      <c r="N64">
        <v>64</v>
      </c>
      <c r="O64" t="str">
        <f t="shared" si="0"/>
        <v>@</v>
      </c>
    </row>
    <row r="65" spans="14:15" x14ac:dyDescent="0.25">
      <c r="N65">
        <v>65</v>
      </c>
      <c r="O65" t="str">
        <f t="shared" si="0"/>
        <v>A</v>
      </c>
    </row>
    <row r="66" spans="14:15" x14ac:dyDescent="0.25">
      <c r="N66">
        <v>66</v>
      </c>
      <c r="O66" t="str">
        <f t="shared" ref="O66:O129" si="5">CHAR(N66)</f>
        <v>B</v>
      </c>
    </row>
    <row r="67" spans="14:15" x14ac:dyDescent="0.25">
      <c r="N67">
        <v>67</v>
      </c>
      <c r="O67" t="str">
        <f t="shared" si="5"/>
        <v>C</v>
      </c>
    </row>
    <row r="68" spans="14:15" x14ac:dyDescent="0.25">
      <c r="N68">
        <v>68</v>
      </c>
      <c r="O68" t="str">
        <f t="shared" si="5"/>
        <v>D</v>
      </c>
    </row>
    <row r="69" spans="14:15" x14ac:dyDescent="0.25">
      <c r="N69">
        <v>69</v>
      </c>
      <c r="O69" t="str">
        <f t="shared" si="5"/>
        <v>E</v>
      </c>
    </row>
    <row r="70" spans="14:15" x14ac:dyDescent="0.25">
      <c r="N70">
        <v>70</v>
      </c>
      <c r="O70" t="str">
        <f t="shared" si="5"/>
        <v>F</v>
      </c>
    </row>
    <row r="71" spans="14:15" x14ac:dyDescent="0.25">
      <c r="N71">
        <v>71</v>
      </c>
      <c r="O71" t="str">
        <f t="shared" si="5"/>
        <v>G</v>
      </c>
    </row>
    <row r="72" spans="14:15" x14ac:dyDescent="0.25">
      <c r="N72">
        <v>72</v>
      </c>
      <c r="O72" t="str">
        <f t="shared" si="5"/>
        <v>H</v>
      </c>
    </row>
    <row r="73" spans="14:15" x14ac:dyDescent="0.25">
      <c r="N73">
        <v>73</v>
      </c>
      <c r="O73" t="str">
        <f t="shared" si="5"/>
        <v>I</v>
      </c>
    </row>
    <row r="74" spans="14:15" x14ac:dyDescent="0.25">
      <c r="N74">
        <v>74</v>
      </c>
      <c r="O74" t="str">
        <f t="shared" si="5"/>
        <v>J</v>
      </c>
    </row>
    <row r="75" spans="14:15" x14ac:dyDescent="0.25">
      <c r="N75">
        <v>75</v>
      </c>
      <c r="O75" t="str">
        <f t="shared" si="5"/>
        <v>K</v>
      </c>
    </row>
    <row r="76" spans="14:15" x14ac:dyDescent="0.25">
      <c r="N76">
        <v>76</v>
      </c>
      <c r="O76" t="str">
        <f t="shared" si="5"/>
        <v>L</v>
      </c>
    </row>
    <row r="77" spans="14:15" x14ac:dyDescent="0.25">
      <c r="N77">
        <v>77</v>
      </c>
      <c r="O77" t="str">
        <f t="shared" si="5"/>
        <v>M</v>
      </c>
    </row>
    <row r="78" spans="14:15" x14ac:dyDescent="0.25">
      <c r="N78">
        <v>78</v>
      </c>
      <c r="O78" t="str">
        <f t="shared" si="5"/>
        <v>N</v>
      </c>
    </row>
    <row r="79" spans="14:15" x14ac:dyDescent="0.25">
      <c r="N79">
        <v>79</v>
      </c>
      <c r="O79" t="str">
        <f t="shared" si="5"/>
        <v>O</v>
      </c>
    </row>
    <row r="80" spans="14:15" x14ac:dyDescent="0.25">
      <c r="N80">
        <v>80</v>
      </c>
      <c r="O80" t="str">
        <f t="shared" si="5"/>
        <v>P</v>
      </c>
    </row>
    <row r="81" spans="14:15" x14ac:dyDescent="0.25">
      <c r="N81">
        <v>81</v>
      </c>
      <c r="O81" t="str">
        <f t="shared" si="5"/>
        <v>Q</v>
      </c>
    </row>
    <row r="82" spans="14:15" x14ac:dyDescent="0.25">
      <c r="N82">
        <v>82</v>
      </c>
      <c r="O82" t="str">
        <f t="shared" si="5"/>
        <v>R</v>
      </c>
    </row>
    <row r="83" spans="14:15" x14ac:dyDescent="0.25">
      <c r="N83">
        <v>83</v>
      </c>
      <c r="O83" t="str">
        <f t="shared" si="5"/>
        <v>S</v>
      </c>
    </row>
    <row r="84" spans="14:15" x14ac:dyDescent="0.25">
      <c r="N84">
        <v>84</v>
      </c>
      <c r="O84" t="str">
        <f t="shared" si="5"/>
        <v>T</v>
      </c>
    </row>
    <row r="85" spans="14:15" x14ac:dyDescent="0.25">
      <c r="N85">
        <v>85</v>
      </c>
      <c r="O85" t="str">
        <f t="shared" si="5"/>
        <v>U</v>
      </c>
    </row>
    <row r="86" spans="14:15" x14ac:dyDescent="0.25">
      <c r="N86">
        <v>86</v>
      </c>
      <c r="O86" t="str">
        <f t="shared" si="5"/>
        <v>V</v>
      </c>
    </row>
    <row r="87" spans="14:15" x14ac:dyDescent="0.25">
      <c r="N87">
        <v>87</v>
      </c>
      <c r="O87" t="str">
        <f t="shared" si="5"/>
        <v>W</v>
      </c>
    </row>
    <row r="88" spans="14:15" x14ac:dyDescent="0.25">
      <c r="N88">
        <v>88</v>
      </c>
      <c r="O88" t="str">
        <f t="shared" si="5"/>
        <v>X</v>
      </c>
    </row>
    <row r="89" spans="14:15" x14ac:dyDescent="0.25">
      <c r="N89">
        <v>89</v>
      </c>
      <c r="O89" t="str">
        <f t="shared" si="5"/>
        <v>Y</v>
      </c>
    </row>
    <row r="90" spans="14:15" x14ac:dyDescent="0.25">
      <c r="N90">
        <v>90</v>
      </c>
      <c r="O90" t="str">
        <f t="shared" si="5"/>
        <v>Z</v>
      </c>
    </row>
    <row r="91" spans="14:15" x14ac:dyDescent="0.25">
      <c r="N91">
        <v>91</v>
      </c>
      <c r="O91" t="str">
        <f t="shared" si="5"/>
        <v>[</v>
      </c>
    </row>
    <row r="92" spans="14:15" x14ac:dyDescent="0.25">
      <c r="N92">
        <v>92</v>
      </c>
      <c r="O92" t="str">
        <f t="shared" si="5"/>
        <v>\</v>
      </c>
    </row>
    <row r="93" spans="14:15" x14ac:dyDescent="0.25">
      <c r="N93">
        <v>93</v>
      </c>
      <c r="O93" t="str">
        <f t="shared" si="5"/>
        <v>]</v>
      </c>
    </row>
    <row r="94" spans="14:15" x14ac:dyDescent="0.25">
      <c r="N94">
        <v>94</v>
      </c>
      <c r="O94" t="str">
        <f t="shared" si="5"/>
        <v>^</v>
      </c>
    </row>
    <row r="95" spans="14:15" x14ac:dyDescent="0.25">
      <c r="N95">
        <v>95</v>
      </c>
      <c r="O95" t="str">
        <f t="shared" si="5"/>
        <v>_</v>
      </c>
    </row>
    <row r="96" spans="14:15" x14ac:dyDescent="0.25">
      <c r="N96">
        <v>96</v>
      </c>
      <c r="O96" t="str">
        <f t="shared" si="5"/>
        <v>`</v>
      </c>
    </row>
    <row r="97" spans="14:15" x14ac:dyDescent="0.25">
      <c r="N97">
        <v>97</v>
      </c>
      <c r="O97" t="str">
        <f t="shared" si="5"/>
        <v>a</v>
      </c>
    </row>
    <row r="98" spans="14:15" x14ac:dyDescent="0.25">
      <c r="N98">
        <v>98</v>
      </c>
      <c r="O98" t="str">
        <f t="shared" si="5"/>
        <v>b</v>
      </c>
    </row>
    <row r="99" spans="14:15" x14ac:dyDescent="0.25">
      <c r="N99">
        <v>99</v>
      </c>
      <c r="O99" t="str">
        <f t="shared" si="5"/>
        <v>c</v>
      </c>
    </row>
    <row r="100" spans="14:15" x14ac:dyDescent="0.25">
      <c r="N100">
        <v>100</v>
      </c>
      <c r="O100" t="str">
        <f t="shared" si="5"/>
        <v>d</v>
      </c>
    </row>
    <row r="101" spans="14:15" x14ac:dyDescent="0.25">
      <c r="N101">
        <v>101</v>
      </c>
      <c r="O101" t="str">
        <f t="shared" si="5"/>
        <v>e</v>
      </c>
    </row>
    <row r="102" spans="14:15" x14ac:dyDescent="0.25">
      <c r="N102">
        <v>102</v>
      </c>
      <c r="O102" t="str">
        <f t="shared" si="5"/>
        <v>f</v>
      </c>
    </row>
    <row r="103" spans="14:15" x14ac:dyDescent="0.25">
      <c r="N103">
        <v>103</v>
      </c>
      <c r="O103" t="str">
        <f t="shared" si="5"/>
        <v>g</v>
      </c>
    </row>
    <row r="104" spans="14:15" x14ac:dyDescent="0.25">
      <c r="N104">
        <v>104</v>
      </c>
      <c r="O104" t="str">
        <f t="shared" si="5"/>
        <v>h</v>
      </c>
    </row>
    <row r="105" spans="14:15" x14ac:dyDescent="0.25">
      <c r="N105">
        <v>105</v>
      </c>
      <c r="O105" t="str">
        <f t="shared" si="5"/>
        <v>i</v>
      </c>
    </row>
    <row r="106" spans="14:15" x14ac:dyDescent="0.25">
      <c r="N106">
        <v>106</v>
      </c>
      <c r="O106" t="str">
        <f t="shared" si="5"/>
        <v>j</v>
      </c>
    </row>
    <row r="107" spans="14:15" x14ac:dyDescent="0.25">
      <c r="N107">
        <v>107</v>
      </c>
      <c r="O107" t="str">
        <f t="shared" si="5"/>
        <v>k</v>
      </c>
    </row>
    <row r="108" spans="14:15" x14ac:dyDescent="0.25">
      <c r="N108">
        <v>108</v>
      </c>
      <c r="O108" t="str">
        <f t="shared" si="5"/>
        <v>l</v>
      </c>
    </row>
    <row r="109" spans="14:15" x14ac:dyDescent="0.25">
      <c r="N109">
        <v>109</v>
      </c>
      <c r="O109" t="str">
        <f t="shared" si="5"/>
        <v>m</v>
      </c>
    </row>
    <row r="110" spans="14:15" x14ac:dyDescent="0.25">
      <c r="N110">
        <v>110</v>
      </c>
      <c r="O110" t="str">
        <f t="shared" si="5"/>
        <v>n</v>
      </c>
    </row>
    <row r="111" spans="14:15" x14ac:dyDescent="0.25">
      <c r="N111">
        <v>111</v>
      </c>
      <c r="O111" t="str">
        <f t="shared" si="5"/>
        <v>o</v>
      </c>
    </row>
    <row r="112" spans="14:15" x14ac:dyDescent="0.25">
      <c r="N112">
        <v>112</v>
      </c>
      <c r="O112" t="str">
        <f t="shared" si="5"/>
        <v>p</v>
      </c>
    </row>
    <row r="113" spans="14:15" x14ac:dyDescent="0.25">
      <c r="N113">
        <v>113</v>
      </c>
      <c r="O113" t="str">
        <f t="shared" si="5"/>
        <v>q</v>
      </c>
    </row>
    <row r="114" spans="14:15" x14ac:dyDescent="0.25">
      <c r="N114">
        <v>114</v>
      </c>
      <c r="O114" t="str">
        <f t="shared" si="5"/>
        <v>r</v>
      </c>
    </row>
    <row r="115" spans="14:15" x14ac:dyDescent="0.25">
      <c r="N115">
        <v>115</v>
      </c>
      <c r="O115" t="str">
        <f t="shared" si="5"/>
        <v>s</v>
      </c>
    </row>
    <row r="116" spans="14:15" x14ac:dyDescent="0.25">
      <c r="N116">
        <v>116</v>
      </c>
      <c r="O116" t="str">
        <f t="shared" si="5"/>
        <v>t</v>
      </c>
    </row>
    <row r="117" spans="14:15" x14ac:dyDescent="0.25">
      <c r="N117">
        <v>117</v>
      </c>
      <c r="O117" t="str">
        <f t="shared" si="5"/>
        <v>u</v>
      </c>
    </row>
    <row r="118" spans="14:15" x14ac:dyDescent="0.25">
      <c r="N118">
        <v>118</v>
      </c>
      <c r="O118" t="str">
        <f t="shared" si="5"/>
        <v>v</v>
      </c>
    </row>
    <row r="119" spans="14:15" x14ac:dyDescent="0.25">
      <c r="N119">
        <v>119</v>
      </c>
      <c r="O119" t="str">
        <f t="shared" si="5"/>
        <v>w</v>
      </c>
    </row>
    <row r="120" spans="14:15" x14ac:dyDescent="0.25">
      <c r="N120">
        <v>120</v>
      </c>
      <c r="O120" t="str">
        <f t="shared" si="5"/>
        <v>x</v>
      </c>
    </row>
    <row r="121" spans="14:15" x14ac:dyDescent="0.25">
      <c r="N121">
        <v>121</v>
      </c>
      <c r="O121" t="str">
        <f t="shared" si="5"/>
        <v>y</v>
      </c>
    </row>
    <row r="122" spans="14:15" x14ac:dyDescent="0.25">
      <c r="N122">
        <v>122</v>
      </c>
      <c r="O122" t="str">
        <f t="shared" si="5"/>
        <v>z</v>
      </c>
    </row>
    <row r="123" spans="14:15" x14ac:dyDescent="0.25">
      <c r="N123">
        <v>123</v>
      </c>
      <c r="O123" t="str">
        <f t="shared" si="5"/>
        <v>{</v>
      </c>
    </row>
    <row r="124" spans="14:15" x14ac:dyDescent="0.25">
      <c r="N124">
        <v>124</v>
      </c>
      <c r="O124" t="str">
        <f t="shared" si="5"/>
        <v>|</v>
      </c>
    </row>
    <row r="125" spans="14:15" x14ac:dyDescent="0.25">
      <c r="N125">
        <v>125</v>
      </c>
      <c r="O125" t="str">
        <f t="shared" si="5"/>
        <v>}</v>
      </c>
    </row>
    <row r="126" spans="14:15" x14ac:dyDescent="0.25">
      <c r="N126">
        <v>126</v>
      </c>
      <c r="O126" t="str">
        <f t="shared" si="5"/>
        <v>~</v>
      </c>
    </row>
    <row r="127" spans="14:15" x14ac:dyDescent="0.25">
      <c r="N127">
        <v>127</v>
      </c>
      <c r="O127" t="str">
        <f t="shared" si="5"/>
        <v></v>
      </c>
    </row>
    <row r="128" spans="14:15" x14ac:dyDescent="0.25">
      <c r="N128">
        <v>128</v>
      </c>
      <c r="O128" t="str">
        <f t="shared" si="5"/>
        <v>€</v>
      </c>
    </row>
    <row r="129" spans="14:15" x14ac:dyDescent="0.25">
      <c r="N129">
        <v>129</v>
      </c>
      <c r="O129" t="str">
        <f t="shared" si="5"/>
        <v></v>
      </c>
    </row>
    <row r="130" spans="14:15" x14ac:dyDescent="0.25">
      <c r="N130">
        <v>130</v>
      </c>
      <c r="O130" t="str">
        <f t="shared" ref="O130:O193" si="6">CHAR(N130)</f>
        <v>‚</v>
      </c>
    </row>
    <row r="131" spans="14:15" x14ac:dyDescent="0.25">
      <c r="N131">
        <v>131</v>
      </c>
      <c r="O131" t="str">
        <f t="shared" si="6"/>
        <v>ƒ</v>
      </c>
    </row>
    <row r="132" spans="14:15" x14ac:dyDescent="0.25">
      <c r="N132">
        <v>132</v>
      </c>
      <c r="O132" t="str">
        <f t="shared" si="6"/>
        <v>„</v>
      </c>
    </row>
    <row r="133" spans="14:15" x14ac:dyDescent="0.25">
      <c r="N133">
        <v>133</v>
      </c>
      <c r="O133" t="str">
        <f t="shared" si="6"/>
        <v>…</v>
      </c>
    </row>
    <row r="134" spans="14:15" x14ac:dyDescent="0.25">
      <c r="N134">
        <v>134</v>
      </c>
      <c r="O134" t="str">
        <f t="shared" si="6"/>
        <v>†</v>
      </c>
    </row>
    <row r="135" spans="14:15" x14ac:dyDescent="0.25">
      <c r="N135">
        <v>135</v>
      </c>
      <c r="O135" t="str">
        <f t="shared" si="6"/>
        <v>‡</v>
      </c>
    </row>
    <row r="136" spans="14:15" x14ac:dyDescent="0.25">
      <c r="N136">
        <v>136</v>
      </c>
      <c r="O136" t="str">
        <f t="shared" si="6"/>
        <v>ˆ</v>
      </c>
    </row>
    <row r="137" spans="14:15" x14ac:dyDescent="0.25">
      <c r="N137">
        <v>137</v>
      </c>
      <c r="O137" t="str">
        <f t="shared" si="6"/>
        <v>‰</v>
      </c>
    </row>
    <row r="138" spans="14:15" x14ac:dyDescent="0.25">
      <c r="N138">
        <v>138</v>
      </c>
      <c r="O138" t="str">
        <f t="shared" si="6"/>
        <v>Š</v>
      </c>
    </row>
    <row r="139" spans="14:15" x14ac:dyDescent="0.25">
      <c r="N139">
        <v>139</v>
      </c>
      <c r="O139" t="str">
        <f t="shared" si="6"/>
        <v>‹</v>
      </c>
    </row>
    <row r="140" spans="14:15" x14ac:dyDescent="0.25">
      <c r="N140">
        <v>140</v>
      </c>
      <c r="O140" t="str">
        <f t="shared" si="6"/>
        <v>Œ</v>
      </c>
    </row>
    <row r="141" spans="14:15" x14ac:dyDescent="0.25">
      <c r="N141">
        <v>141</v>
      </c>
      <c r="O141" t="str">
        <f t="shared" si="6"/>
        <v></v>
      </c>
    </row>
    <row r="142" spans="14:15" x14ac:dyDescent="0.25">
      <c r="N142">
        <v>142</v>
      </c>
      <c r="O142" t="str">
        <f t="shared" si="6"/>
        <v>Ž</v>
      </c>
    </row>
    <row r="143" spans="14:15" x14ac:dyDescent="0.25">
      <c r="N143">
        <v>143</v>
      </c>
      <c r="O143" t="str">
        <f t="shared" si="6"/>
        <v></v>
      </c>
    </row>
    <row r="144" spans="14:15" x14ac:dyDescent="0.25">
      <c r="N144">
        <v>144</v>
      </c>
      <c r="O144" t="str">
        <f t="shared" si="6"/>
        <v></v>
      </c>
    </row>
    <row r="145" spans="14:15" x14ac:dyDescent="0.25">
      <c r="N145">
        <v>145</v>
      </c>
      <c r="O145" t="str">
        <f t="shared" si="6"/>
        <v>‘</v>
      </c>
    </row>
    <row r="146" spans="14:15" x14ac:dyDescent="0.25">
      <c r="N146">
        <v>146</v>
      </c>
      <c r="O146" t="str">
        <f t="shared" si="6"/>
        <v>’</v>
      </c>
    </row>
    <row r="147" spans="14:15" x14ac:dyDescent="0.25">
      <c r="N147">
        <v>147</v>
      </c>
      <c r="O147" t="str">
        <f t="shared" si="6"/>
        <v>“</v>
      </c>
    </row>
    <row r="148" spans="14:15" x14ac:dyDescent="0.25">
      <c r="N148">
        <v>148</v>
      </c>
      <c r="O148" t="str">
        <f t="shared" si="6"/>
        <v>”</v>
      </c>
    </row>
    <row r="149" spans="14:15" x14ac:dyDescent="0.25">
      <c r="N149">
        <v>149</v>
      </c>
      <c r="O149" t="str">
        <f t="shared" si="6"/>
        <v>•</v>
      </c>
    </row>
    <row r="150" spans="14:15" x14ac:dyDescent="0.25">
      <c r="N150">
        <v>150</v>
      </c>
      <c r="O150" t="str">
        <f t="shared" si="6"/>
        <v>–</v>
      </c>
    </row>
    <row r="151" spans="14:15" x14ac:dyDescent="0.25">
      <c r="N151">
        <v>151</v>
      </c>
      <c r="O151" t="str">
        <f t="shared" si="6"/>
        <v>—</v>
      </c>
    </row>
    <row r="152" spans="14:15" x14ac:dyDescent="0.25">
      <c r="N152">
        <v>152</v>
      </c>
      <c r="O152" t="str">
        <f t="shared" si="6"/>
        <v>˜</v>
      </c>
    </row>
    <row r="153" spans="14:15" x14ac:dyDescent="0.25">
      <c r="N153">
        <v>153</v>
      </c>
      <c r="O153" t="str">
        <f t="shared" si="6"/>
        <v>™</v>
      </c>
    </row>
    <row r="154" spans="14:15" x14ac:dyDescent="0.25">
      <c r="N154">
        <v>154</v>
      </c>
      <c r="O154" t="str">
        <f t="shared" si="6"/>
        <v>š</v>
      </c>
    </row>
    <row r="155" spans="14:15" x14ac:dyDescent="0.25">
      <c r="N155">
        <v>155</v>
      </c>
      <c r="O155" t="str">
        <f t="shared" si="6"/>
        <v>›</v>
      </c>
    </row>
    <row r="156" spans="14:15" x14ac:dyDescent="0.25">
      <c r="N156">
        <v>156</v>
      </c>
      <c r="O156" t="str">
        <f t="shared" si="6"/>
        <v>œ</v>
      </c>
    </row>
    <row r="157" spans="14:15" x14ac:dyDescent="0.25">
      <c r="N157">
        <v>157</v>
      </c>
      <c r="O157" t="str">
        <f t="shared" si="6"/>
        <v></v>
      </c>
    </row>
    <row r="158" spans="14:15" x14ac:dyDescent="0.25">
      <c r="N158">
        <v>158</v>
      </c>
      <c r="O158" t="str">
        <f t="shared" si="6"/>
        <v>ž</v>
      </c>
    </row>
    <row r="159" spans="14:15" x14ac:dyDescent="0.25">
      <c r="N159">
        <v>159</v>
      </c>
      <c r="O159" t="str">
        <f t="shared" si="6"/>
        <v>Ÿ</v>
      </c>
    </row>
    <row r="160" spans="14:15" x14ac:dyDescent="0.25">
      <c r="N160">
        <v>160</v>
      </c>
      <c r="O160" t="str">
        <f t="shared" si="6"/>
        <v> </v>
      </c>
    </row>
    <row r="161" spans="14:15" x14ac:dyDescent="0.25">
      <c r="N161">
        <v>161</v>
      </c>
      <c r="O161" t="str">
        <f t="shared" si="6"/>
        <v>¡</v>
      </c>
    </row>
    <row r="162" spans="14:15" x14ac:dyDescent="0.25">
      <c r="N162">
        <v>162</v>
      </c>
      <c r="O162" t="str">
        <f t="shared" si="6"/>
        <v>¢</v>
      </c>
    </row>
    <row r="163" spans="14:15" x14ac:dyDescent="0.25">
      <c r="N163">
        <v>163</v>
      </c>
      <c r="O163" t="str">
        <f t="shared" si="6"/>
        <v>£</v>
      </c>
    </row>
    <row r="164" spans="14:15" x14ac:dyDescent="0.25">
      <c r="N164">
        <v>164</v>
      </c>
      <c r="O164" t="str">
        <f t="shared" si="6"/>
        <v>¤</v>
      </c>
    </row>
    <row r="165" spans="14:15" x14ac:dyDescent="0.25">
      <c r="N165">
        <v>165</v>
      </c>
      <c r="O165" t="str">
        <f t="shared" si="6"/>
        <v>¥</v>
      </c>
    </row>
    <row r="166" spans="14:15" x14ac:dyDescent="0.25">
      <c r="N166">
        <v>166</v>
      </c>
      <c r="O166" t="str">
        <f t="shared" si="6"/>
        <v>¦</v>
      </c>
    </row>
    <row r="167" spans="14:15" x14ac:dyDescent="0.25">
      <c r="N167">
        <v>167</v>
      </c>
      <c r="O167" t="str">
        <f t="shared" si="6"/>
        <v>§</v>
      </c>
    </row>
    <row r="168" spans="14:15" x14ac:dyDescent="0.25">
      <c r="N168">
        <v>168</v>
      </c>
      <c r="O168" t="str">
        <f t="shared" si="6"/>
        <v>¨</v>
      </c>
    </row>
    <row r="169" spans="14:15" x14ac:dyDescent="0.25">
      <c r="N169">
        <v>169</v>
      </c>
      <c r="O169" t="str">
        <f t="shared" si="6"/>
        <v>©</v>
      </c>
    </row>
    <row r="170" spans="14:15" x14ac:dyDescent="0.25">
      <c r="N170">
        <v>170</v>
      </c>
      <c r="O170" t="str">
        <f t="shared" si="6"/>
        <v>ª</v>
      </c>
    </row>
    <row r="171" spans="14:15" x14ac:dyDescent="0.25">
      <c r="N171">
        <v>171</v>
      </c>
      <c r="O171" t="str">
        <f t="shared" si="6"/>
        <v>«</v>
      </c>
    </row>
    <row r="172" spans="14:15" x14ac:dyDescent="0.25">
      <c r="N172">
        <v>172</v>
      </c>
      <c r="O172" t="str">
        <f t="shared" si="6"/>
        <v>¬</v>
      </c>
    </row>
    <row r="173" spans="14:15" x14ac:dyDescent="0.25">
      <c r="N173">
        <v>173</v>
      </c>
      <c r="O173" t="str">
        <f t="shared" si="6"/>
        <v>­</v>
      </c>
    </row>
    <row r="174" spans="14:15" x14ac:dyDescent="0.25">
      <c r="N174">
        <v>174</v>
      </c>
      <c r="O174" t="str">
        <f t="shared" si="6"/>
        <v>®</v>
      </c>
    </row>
    <row r="175" spans="14:15" x14ac:dyDescent="0.25">
      <c r="N175">
        <v>175</v>
      </c>
      <c r="O175" t="str">
        <f t="shared" si="6"/>
        <v>¯</v>
      </c>
    </row>
    <row r="176" spans="14:15" x14ac:dyDescent="0.25">
      <c r="N176">
        <v>176</v>
      </c>
      <c r="O176" t="str">
        <f t="shared" si="6"/>
        <v>°</v>
      </c>
    </row>
    <row r="177" spans="14:15" x14ac:dyDescent="0.25">
      <c r="N177">
        <v>177</v>
      </c>
      <c r="O177" t="str">
        <f t="shared" si="6"/>
        <v>±</v>
      </c>
    </row>
    <row r="178" spans="14:15" x14ac:dyDescent="0.25">
      <c r="N178">
        <v>178</v>
      </c>
      <c r="O178" t="str">
        <f t="shared" si="6"/>
        <v>²</v>
      </c>
    </row>
    <row r="179" spans="14:15" x14ac:dyDescent="0.25">
      <c r="N179">
        <v>179</v>
      </c>
      <c r="O179" t="str">
        <f t="shared" si="6"/>
        <v>³</v>
      </c>
    </row>
    <row r="180" spans="14:15" x14ac:dyDescent="0.25">
      <c r="N180">
        <v>180</v>
      </c>
      <c r="O180" t="str">
        <f t="shared" si="6"/>
        <v>´</v>
      </c>
    </row>
    <row r="181" spans="14:15" x14ac:dyDescent="0.25">
      <c r="N181">
        <v>181</v>
      </c>
      <c r="O181" t="str">
        <f t="shared" si="6"/>
        <v>µ</v>
      </c>
    </row>
    <row r="182" spans="14:15" x14ac:dyDescent="0.25">
      <c r="N182">
        <v>182</v>
      </c>
      <c r="O182" t="str">
        <f t="shared" si="6"/>
        <v>¶</v>
      </c>
    </row>
    <row r="183" spans="14:15" x14ac:dyDescent="0.25">
      <c r="N183">
        <v>183</v>
      </c>
      <c r="O183" t="str">
        <f t="shared" si="6"/>
        <v>·</v>
      </c>
    </row>
    <row r="184" spans="14:15" x14ac:dyDescent="0.25">
      <c r="N184">
        <v>184</v>
      </c>
      <c r="O184" t="str">
        <f t="shared" si="6"/>
        <v>¸</v>
      </c>
    </row>
    <row r="185" spans="14:15" x14ac:dyDescent="0.25">
      <c r="N185">
        <v>185</v>
      </c>
      <c r="O185" t="str">
        <f t="shared" si="6"/>
        <v>¹</v>
      </c>
    </row>
    <row r="186" spans="14:15" x14ac:dyDescent="0.25">
      <c r="N186">
        <v>186</v>
      </c>
      <c r="O186" t="str">
        <f t="shared" si="6"/>
        <v>º</v>
      </c>
    </row>
    <row r="187" spans="14:15" x14ac:dyDescent="0.25">
      <c r="N187">
        <v>187</v>
      </c>
      <c r="O187" t="str">
        <f t="shared" si="6"/>
        <v>»</v>
      </c>
    </row>
    <row r="188" spans="14:15" x14ac:dyDescent="0.25">
      <c r="N188">
        <v>188</v>
      </c>
      <c r="O188" t="str">
        <f t="shared" si="6"/>
        <v>¼</v>
      </c>
    </row>
    <row r="189" spans="14:15" x14ac:dyDescent="0.25">
      <c r="N189">
        <v>189</v>
      </c>
      <c r="O189" t="str">
        <f t="shared" si="6"/>
        <v>½</v>
      </c>
    </row>
    <row r="190" spans="14:15" x14ac:dyDescent="0.25">
      <c r="N190">
        <v>190</v>
      </c>
      <c r="O190" t="str">
        <f t="shared" si="6"/>
        <v>¾</v>
      </c>
    </row>
    <row r="191" spans="14:15" x14ac:dyDescent="0.25">
      <c r="N191">
        <v>191</v>
      </c>
      <c r="O191" t="str">
        <f t="shared" si="6"/>
        <v>¿</v>
      </c>
    </row>
    <row r="192" spans="14:15" x14ac:dyDescent="0.25">
      <c r="N192">
        <v>192</v>
      </c>
      <c r="O192" t="str">
        <f t="shared" si="6"/>
        <v>À</v>
      </c>
    </row>
    <row r="193" spans="14:15" x14ac:dyDescent="0.25">
      <c r="N193">
        <v>193</v>
      </c>
      <c r="O193" t="str">
        <f t="shared" si="6"/>
        <v>Á</v>
      </c>
    </row>
    <row r="194" spans="14:15" x14ac:dyDescent="0.25">
      <c r="N194">
        <v>194</v>
      </c>
      <c r="O194" t="str">
        <f t="shared" ref="O194:O257" si="7">CHAR(N194)</f>
        <v>Â</v>
      </c>
    </row>
    <row r="195" spans="14:15" x14ac:dyDescent="0.25">
      <c r="N195">
        <v>195</v>
      </c>
      <c r="O195" t="str">
        <f t="shared" si="7"/>
        <v>Ã</v>
      </c>
    </row>
    <row r="196" spans="14:15" x14ac:dyDescent="0.25">
      <c r="N196">
        <v>196</v>
      </c>
      <c r="O196" t="str">
        <f t="shared" si="7"/>
        <v>Ä</v>
      </c>
    </row>
    <row r="197" spans="14:15" x14ac:dyDescent="0.25">
      <c r="N197">
        <v>197</v>
      </c>
      <c r="O197" t="str">
        <f t="shared" si="7"/>
        <v>Å</v>
      </c>
    </row>
    <row r="198" spans="14:15" x14ac:dyDescent="0.25">
      <c r="N198">
        <v>198</v>
      </c>
      <c r="O198" t="str">
        <f t="shared" si="7"/>
        <v>Æ</v>
      </c>
    </row>
    <row r="199" spans="14:15" x14ac:dyDescent="0.25">
      <c r="N199">
        <v>199</v>
      </c>
      <c r="O199" t="str">
        <f t="shared" si="7"/>
        <v>Ç</v>
      </c>
    </row>
    <row r="200" spans="14:15" x14ac:dyDescent="0.25">
      <c r="N200">
        <v>200</v>
      </c>
      <c r="O200" t="str">
        <f t="shared" si="7"/>
        <v>È</v>
      </c>
    </row>
    <row r="201" spans="14:15" x14ac:dyDescent="0.25">
      <c r="N201">
        <v>201</v>
      </c>
      <c r="O201" t="str">
        <f t="shared" si="7"/>
        <v>É</v>
      </c>
    </row>
    <row r="202" spans="14:15" x14ac:dyDescent="0.25">
      <c r="N202">
        <v>202</v>
      </c>
      <c r="O202" t="str">
        <f t="shared" si="7"/>
        <v>Ê</v>
      </c>
    </row>
    <row r="203" spans="14:15" x14ac:dyDescent="0.25">
      <c r="N203">
        <v>203</v>
      </c>
      <c r="O203" t="str">
        <f t="shared" si="7"/>
        <v>Ë</v>
      </c>
    </row>
    <row r="204" spans="14:15" x14ac:dyDescent="0.25">
      <c r="N204">
        <v>204</v>
      </c>
      <c r="O204" t="str">
        <f t="shared" si="7"/>
        <v>Ì</v>
      </c>
    </row>
    <row r="205" spans="14:15" x14ac:dyDescent="0.25">
      <c r="N205">
        <v>205</v>
      </c>
      <c r="O205" t="str">
        <f t="shared" si="7"/>
        <v>Í</v>
      </c>
    </row>
    <row r="206" spans="14:15" x14ac:dyDescent="0.25">
      <c r="N206">
        <v>206</v>
      </c>
      <c r="O206" t="str">
        <f t="shared" si="7"/>
        <v>Î</v>
      </c>
    </row>
    <row r="207" spans="14:15" x14ac:dyDescent="0.25">
      <c r="N207">
        <v>207</v>
      </c>
      <c r="O207" t="str">
        <f t="shared" si="7"/>
        <v>Ï</v>
      </c>
    </row>
    <row r="208" spans="14:15" x14ac:dyDescent="0.25">
      <c r="N208">
        <v>208</v>
      </c>
      <c r="O208" t="str">
        <f t="shared" si="7"/>
        <v>Ð</v>
      </c>
    </row>
    <row r="209" spans="14:15" x14ac:dyDescent="0.25">
      <c r="N209">
        <v>209</v>
      </c>
      <c r="O209" t="str">
        <f t="shared" si="7"/>
        <v>Ñ</v>
      </c>
    </row>
    <row r="210" spans="14:15" x14ac:dyDescent="0.25">
      <c r="N210">
        <v>210</v>
      </c>
      <c r="O210" t="str">
        <f t="shared" si="7"/>
        <v>Ò</v>
      </c>
    </row>
    <row r="211" spans="14:15" x14ac:dyDescent="0.25">
      <c r="N211">
        <v>211</v>
      </c>
      <c r="O211" t="str">
        <f t="shared" si="7"/>
        <v>Ó</v>
      </c>
    </row>
    <row r="212" spans="14:15" x14ac:dyDescent="0.25">
      <c r="N212">
        <v>212</v>
      </c>
      <c r="O212" t="str">
        <f t="shared" si="7"/>
        <v>Ô</v>
      </c>
    </row>
    <row r="213" spans="14:15" x14ac:dyDescent="0.25">
      <c r="N213">
        <v>213</v>
      </c>
      <c r="O213" t="str">
        <f t="shared" si="7"/>
        <v>Õ</v>
      </c>
    </row>
    <row r="214" spans="14:15" x14ac:dyDescent="0.25">
      <c r="N214">
        <v>214</v>
      </c>
      <c r="O214" t="str">
        <f t="shared" si="7"/>
        <v>Ö</v>
      </c>
    </row>
    <row r="215" spans="14:15" x14ac:dyDescent="0.25">
      <c r="N215">
        <v>215</v>
      </c>
      <c r="O215" t="str">
        <f t="shared" si="7"/>
        <v>×</v>
      </c>
    </row>
    <row r="216" spans="14:15" x14ac:dyDescent="0.25">
      <c r="N216">
        <v>216</v>
      </c>
      <c r="O216" t="str">
        <f t="shared" si="7"/>
        <v>Ø</v>
      </c>
    </row>
    <row r="217" spans="14:15" x14ac:dyDescent="0.25">
      <c r="N217">
        <v>217</v>
      </c>
      <c r="O217" t="str">
        <f t="shared" si="7"/>
        <v>Ù</v>
      </c>
    </row>
    <row r="218" spans="14:15" x14ac:dyDescent="0.25">
      <c r="N218">
        <v>218</v>
      </c>
      <c r="O218" t="str">
        <f t="shared" si="7"/>
        <v>Ú</v>
      </c>
    </row>
    <row r="219" spans="14:15" x14ac:dyDescent="0.25">
      <c r="N219">
        <v>219</v>
      </c>
      <c r="O219" t="str">
        <f t="shared" si="7"/>
        <v>Û</v>
      </c>
    </row>
    <row r="220" spans="14:15" x14ac:dyDescent="0.25">
      <c r="N220">
        <v>220</v>
      </c>
      <c r="O220" t="str">
        <f t="shared" si="7"/>
        <v>Ü</v>
      </c>
    </row>
    <row r="221" spans="14:15" x14ac:dyDescent="0.25">
      <c r="N221">
        <v>221</v>
      </c>
      <c r="O221" t="str">
        <f t="shared" si="7"/>
        <v>Ý</v>
      </c>
    </row>
    <row r="222" spans="14:15" x14ac:dyDescent="0.25">
      <c r="N222">
        <v>222</v>
      </c>
      <c r="O222" t="str">
        <f t="shared" si="7"/>
        <v>Þ</v>
      </c>
    </row>
    <row r="223" spans="14:15" x14ac:dyDescent="0.25">
      <c r="N223">
        <v>223</v>
      </c>
      <c r="O223" t="str">
        <f t="shared" si="7"/>
        <v>ß</v>
      </c>
    </row>
    <row r="224" spans="14:15" x14ac:dyDescent="0.25">
      <c r="N224">
        <v>224</v>
      </c>
      <c r="O224" t="str">
        <f t="shared" si="7"/>
        <v>à</v>
      </c>
    </row>
    <row r="225" spans="14:15" x14ac:dyDescent="0.25">
      <c r="N225">
        <v>225</v>
      </c>
      <c r="O225" t="str">
        <f t="shared" si="7"/>
        <v>á</v>
      </c>
    </row>
    <row r="226" spans="14:15" x14ac:dyDescent="0.25">
      <c r="N226">
        <v>226</v>
      </c>
      <c r="O226" t="str">
        <f t="shared" si="7"/>
        <v>â</v>
      </c>
    </row>
    <row r="227" spans="14:15" x14ac:dyDescent="0.25">
      <c r="N227">
        <v>227</v>
      </c>
      <c r="O227" t="str">
        <f t="shared" si="7"/>
        <v>ã</v>
      </c>
    </row>
    <row r="228" spans="14:15" x14ac:dyDescent="0.25">
      <c r="N228">
        <v>228</v>
      </c>
      <c r="O228" t="str">
        <f t="shared" si="7"/>
        <v>ä</v>
      </c>
    </row>
    <row r="229" spans="14:15" x14ac:dyDescent="0.25">
      <c r="N229">
        <v>229</v>
      </c>
      <c r="O229" t="str">
        <f t="shared" si="7"/>
        <v>å</v>
      </c>
    </row>
    <row r="230" spans="14:15" x14ac:dyDescent="0.25">
      <c r="N230">
        <v>230</v>
      </c>
      <c r="O230" t="str">
        <f t="shared" si="7"/>
        <v>æ</v>
      </c>
    </row>
    <row r="231" spans="14:15" x14ac:dyDescent="0.25">
      <c r="N231">
        <v>231</v>
      </c>
      <c r="O231" t="str">
        <f t="shared" si="7"/>
        <v>ç</v>
      </c>
    </row>
    <row r="232" spans="14:15" x14ac:dyDescent="0.25">
      <c r="N232">
        <v>232</v>
      </c>
      <c r="O232" t="str">
        <f t="shared" si="7"/>
        <v>è</v>
      </c>
    </row>
    <row r="233" spans="14:15" x14ac:dyDescent="0.25">
      <c r="N233">
        <v>233</v>
      </c>
      <c r="O233" t="str">
        <f t="shared" si="7"/>
        <v>é</v>
      </c>
    </row>
    <row r="234" spans="14:15" x14ac:dyDescent="0.25">
      <c r="N234">
        <v>234</v>
      </c>
      <c r="O234" t="str">
        <f t="shared" si="7"/>
        <v>ê</v>
      </c>
    </row>
    <row r="235" spans="14:15" x14ac:dyDescent="0.25">
      <c r="N235">
        <v>235</v>
      </c>
      <c r="O235" t="str">
        <f t="shared" si="7"/>
        <v>ë</v>
      </c>
    </row>
    <row r="236" spans="14:15" x14ac:dyDescent="0.25">
      <c r="N236">
        <v>236</v>
      </c>
      <c r="O236" t="str">
        <f t="shared" si="7"/>
        <v>ì</v>
      </c>
    </row>
    <row r="237" spans="14:15" x14ac:dyDescent="0.25">
      <c r="N237">
        <v>237</v>
      </c>
      <c r="O237" t="str">
        <f t="shared" si="7"/>
        <v>í</v>
      </c>
    </row>
    <row r="238" spans="14:15" x14ac:dyDescent="0.25">
      <c r="N238">
        <v>238</v>
      </c>
      <c r="O238" t="str">
        <f t="shared" si="7"/>
        <v>î</v>
      </c>
    </row>
    <row r="239" spans="14:15" x14ac:dyDescent="0.25">
      <c r="N239">
        <v>239</v>
      </c>
      <c r="O239" t="str">
        <f t="shared" si="7"/>
        <v>ï</v>
      </c>
    </row>
    <row r="240" spans="14:15" x14ac:dyDescent="0.25">
      <c r="N240">
        <v>240</v>
      </c>
      <c r="O240" t="str">
        <f t="shared" si="7"/>
        <v>ð</v>
      </c>
    </row>
    <row r="241" spans="14:15" x14ac:dyDescent="0.25">
      <c r="N241">
        <v>241</v>
      </c>
      <c r="O241" t="str">
        <f t="shared" si="7"/>
        <v>ñ</v>
      </c>
    </row>
    <row r="242" spans="14:15" x14ac:dyDescent="0.25">
      <c r="N242">
        <v>242</v>
      </c>
      <c r="O242" t="str">
        <f t="shared" si="7"/>
        <v>ò</v>
      </c>
    </row>
    <row r="243" spans="14:15" x14ac:dyDescent="0.25">
      <c r="N243">
        <v>243</v>
      </c>
      <c r="O243" t="str">
        <f t="shared" si="7"/>
        <v>ó</v>
      </c>
    </row>
    <row r="244" spans="14:15" x14ac:dyDescent="0.25">
      <c r="N244">
        <v>244</v>
      </c>
      <c r="O244" t="str">
        <f t="shared" si="7"/>
        <v>ô</v>
      </c>
    </row>
    <row r="245" spans="14:15" x14ac:dyDescent="0.25">
      <c r="N245">
        <v>245</v>
      </c>
      <c r="O245" t="str">
        <f t="shared" si="7"/>
        <v>õ</v>
      </c>
    </row>
    <row r="246" spans="14:15" x14ac:dyDescent="0.25">
      <c r="N246">
        <v>246</v>
      </c>
      <c r="O246" t="str">
        <f t="shared" si="7"/>
        <v>ö</v>
      </c>
    </row>
    <row r="247" spans="14:15" x14ac:dyDescent="0.25">
      <c r="N247">
        <v>247</v>
      </c>
      <c r="O247" t="str">
        <f t="shared" si="7"/>
        <v>÷</v>
      </c>
    </row>
    <row r="248" spans="14:15" x14ac:dyDescent="0.25">
      <c r="N248">
        <v>248</v>
      </c>
      <c r="O248" t="str">
        <f t="shared" si="7"/>
        <v>ø</v>
      </c>
    </row>
    <row r="249" spans="14:15" x14ac:dyDescent="0.25">
      <c r="N249">
        <v>249</v>
      </c>
      <c r="O249" t="str">
        <f t="shared" si="7"/>
        <v>ù</v>
      </c>
    </row>
    <row r="250" spans="14:15" x14ac:dyDescent="0.25">
      <c r="N250">
        <v>250</v>
      </c>
      <c r="O250" t="str">
        <f t="shared" si="7"/>
        <v>ú</v>
      </c>
    </row>
    <row r="251" spans="14:15" x14ac:dyDescent="0.25">
      <c r="N251">
        <v>251</v>
      </c>
      <c r="O251" t="str">
        <f t="shared" si="7"/>
        <v>û</v>
      </c>
    </row>
    <row r="252" spans="14:15" x14ac:dyDescent="0.25">
      <c r="N252">
        <v>252</v>
      </c>
      <c r="O252" t="str">
        <f t="shared" si="7"/>
        <v>ü</v>
      </c>
    </row>
    <row r="253" spans="14:15" x14ac:dyDescent="0.25">
      <c r="N253">
        <v>253</v>
      </c>
      <c r="O253" t="str">
        <f t="shared" si="7"/>
        <v>ý</v>
      </c>
    </row>
    <row r="254" spans="14:15" x14ac:dyDescent="0.25">
      <c r="N254">
        <v>254</v>
      </c>
      <c r="O254" t="str">
        <f t="shared" si="7"/>
        <v>þ</v>
      </c>
    </row>
    <row r="255" spans="14:15" x14ac:dyDescent="0.25">
      <c r="N255">
        <v>255</v>
      </c>
      <c r="O255" t="str">
        <f t="shared" si="7"/>
        <v>ÿ</v>
      </c>
    </row>
    <row r="256" spans="14:15" x14ac:dyDescent="0.25">
      <c r="N256">
        <v>256</v>
      </c>
      <c r="O256" t="e">
        <f t="shared" si="7"/>
        <v>#VALUE!</v>
      </c>
    </row>
    <row r="257" spans="14:15" x14ac:dyDescent="0.25">
      <c r="N257">
        <v>257</v>
      </c>
      <c r="O257" t="e">
        <f t="shared" si="7"/>
        <v>#VALUE!</v>
      </c>
    </row>
    <row r="258" spans="14:15" x14ac:dyDescent="0.25">
      <c r="N258">
        <v>258</v>
      </c>
      <c r="O258" t="e">
        <f t="shared" ref="O258" si="8">CHAR(N258)</f>
        <v>#VALUE!</v>
      </c>
    </row>
  </sheetData>
  <mergeCells count="1">
    <mergeCell ref="A4:B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29"/>
  <sheetViews>
    <sheetView zoomScale="150" zoomScaleNormal="150" workbookViewId="0">
      <selection activeCell="C4" sqref="C4:C12"/>
    </sheetView>
  </sheetViews>
  <sheetFormatPr defaultRowHeight="15" x14ac:dyDescent="0.25"/>
  <cols>
    <col min="1" max="1" width="20.42578125" bestFit="1" customWidth="1"/>
    <col min="2" max="2" width="14.28515625" bestFit="1" customWidth="1"/>
    <col min="3" max="3" width="11.85546875" bestFit="1" customWidth="1"/>
    <col min="4" max="4" width="12.5703125" customWidth="1"/>
  </cols>
  <sheetData>
    <row r="1" spans="1:9" x14ac:dyDescent="0.25">
      <c r="C1" s="14" t="s">
        <v>117</v>
      </c>
    </row>
    <row r="3" spans="1:9" x14ac:dyDescent="0.25">
      <c r="A3" s="29" t="s">
        <v>105</v>
      </c>
      <c r="B3" s="29" t="s">
        <v>106</v>
      </c>
      <c r="C3" s="29" t="s">
        <v>107</v>
      </c>
    </row>
    <row r="4" spans="1:9" x14ac:dyDescent="0.25">
      <c r="A4" s="1" t="s">
        <v>108</v>
      </c>
      <c r="B4" s="1" t="str">
        <f t="array" aca="1" ref="B4" ca="1">LEFT(A4,MIN(FIND(CHAR(ROW(INDIRECT("65:90"))),A4&amp;CHAR(ROW(INDIRECT("65:90"))),2)-1))</f>
        <v>Mohit</v>
      </c>
      <c r="C4" s="1" t="str">
        <f ca="1">SUBSTITUTE(A4,B4,"")</f>
        <v>Jain</v>
      </c>
      <c r="H4" t="s">
        <v>77</v>
      </c>
      <c r="I4">
        <f>CODE(H4)</f>
        <v>65</v>
      </c>
    </row>
    <row r="5" spans="1:9" x14ac:dyDescent="0.25">
      <c r="A5" s="1" t="s">
        <v>109</v>
      </c>
      <c r="B5" s="1" t="str">
        <f t="array" aca="1" ref="B5" ca="1">LEFT(A5,MIN(FIND(CHAR(ROW(INDIRECT("65:90"))),A5&amp;CHAR(ROW(INDIRECT("65:90"))),2)-1))</f>
        <v>Sunil</v>
      </c>
      <c r="C5" s="1" t="str">
        <f t="shared" ref="C5:C12" ca="1" si="0">SUBSTITUTE(A5,B5,"")</f>
        <v>Tiwari</v>
      </c>
      <c r="H5" t="s">
        <v>95</v>
      </c>
      <c r="I5">
        <f>CODE(H5)</f>
        <v>66</v>
      </c>
    </row>
    <row r="6" spans="1:9" x14ac:dyDescent="0.25">
      <c r="A6" s="1" t="s">
        <v>110</v>
      </c>
      <c r="B6" s="1" t="str">
        <f t="array" aca="1" ref="B6" ca="1">LEFT(A6,MIN(FIND(CHAR(ROW(INDIRECT("65:90"))),A6&amp;CHAR(ROW(INDIRECT("65:90"))),2)-1))</f>
        <v>Muthaiya</v>
      </c>
      <c r="C6" s="1" t="str">
        <f t="shared" ca="1" si="0"/>
        <v>Murlidharan</v>
      </c>
      <c r="H6" t="s">
        <v>103</v>
      </c>
      <c r="I6">
        <f t="shared" ref="I6:I29" si="1">CODE(H6)</f>
        <v>67</v>
      </c>
    </row>
    <row r="7" spans="1:9" x14ac:dyDescent="0.25">
      <c r="A7" s="1" t="s">
        <v>111</v>
      </c>
      <c r="B7" s="1" t="str">
        <f t="array" aca="1" ref="B7" ca="1">LEFT(A7,MIN(FIND(CHAR(ROW(INDIRECT("65:90"))),A7&amp;CHAR(ROW(INDIRECT("65:90"))),2)-1))</f>
        <v>Lokesh</v>
      </c>
      <c r="C7" s="1" t="str">
        <f t="shared" ca="1" si="0"/>
        <v>Pathak</v>
      </c>
      <c r="H7" t="s">
        <v>150</v>
      </c>
      <c r="I7">
        <f t="shared" si="1"/>
        <v>68</v>
      </c>
    </row>
    <row r="8" spans="1:9" x14ac:dyDescent="0.25">
      <c r="A8" s="1" t="s">
        <v>112</v>
      </c>
      <c r="B8" s="1" t="str">
        <f t="array" aca="1" ref="B8" ca="1">LEFT(A8,MIN(FIND(CHAR(ROW(INDIRECT("65:90"))),A8&amp;CHAR(ROW(INDIRECT("65:90"))),2)-1))</f>
        <v>Sachin</v>
      </c>
      <c r="C8" s="1" t="str">
        <f t="shared" ca="1" si="0"/>
        <v>Tendulkar</v>
      </c>
      <c r="H8" t="s">
        <v>151</v>
      </c>
      <c r="I8">
        <f t="shared" si="1"/>
        <v>69</v>
      </c>
    </row>
    <row r="9" spans="1:9" x14ac:dyDescent="0.25">
      <c r="A9" s="1" t="s">
        <v>113</v>
      </c>
      <c r="B9" s="1" t="str">
        <f t="array" aca="1" ref="B9" ca="1">LEFT(A9,MIN(FIND(CHAR(ROW(INDIRECT("65:90"))),A9&amp;CHAR(ROW(INDIRECT("65:90"))),2)-1))</f>
        <v>Kapil</v>
      </c>
      <c r="C9" s="1" t="str">
        <f t="shared" ca="1" si="0"/>
        <v>Singh</v>
      </c>
      <c r="H9" t="s">
        <v>152</v>
      </c>
      <c r="I9">
        <f t="shared" si="1"/>
        <v>70</v>
      </c>
    </row>
    <row r="10" spans="1:9" x14ac:dyDescent="0.25">
      <c r="A10" s="1" t="s">
        <v>114</v>
      </c>
      <c r="B10" s="1" t="str">
        <f t="array" aca="1" ref="B10" ca="1">LEFT(A10,MIN(FIND(CHAR(ROW(INDIRECT("65:90"))),A10&amp;CHAR(ROW(INDIRECT("65:90"))),2)-1))</f>
        <v>Shobhit</v>
      </c>
      <c r="C10" s="1" t="str">
        <f t="shared" ca="1" si="0"/>
        <v>Rajput</v>
      </c>
      <c r="H10" t="s">
        <v>153</v>
      </c>
      <c r="I10">
        <f t="shared" si="1"/>
        <v>71</v>
      </c>
    </row>
    <row r="11" spans="1:9" x14ac:dyDescent="0.25">
      <c r="A11" s="1" t="s">
        <v>115</v>
      </c>
      <c r="B11" s="1" t="str">
        <f t="array" aca="1" ref="B11" ca="1">LEFT(A11,MIN(FIND(CHAR(ROW(INDIRECT("65:90"))),A11&amp;CHAR(ROW(INDIRECT("65:90"))),2)-1))</f>
        <v>chandan</v>
      </c>
      <c r="C11" s="1" t="str">
        <f t="shared" ca="1" si="0"/>
        <v>Bisht</v>
      </c>
      <c r="H11" t="s">
        <v>154</v>
      </c>
      <c r="I11">
        <f t="shared" si="1"/>
        <v>72</v>
      </c>
    </row>
    <row r="12" spans="1:9" x14ac:dyDescent="0.25">
      <c r="A12" s="16" t="s">
        <v>116</v>
      </c>
      <c r="B12" s="1" t="str">
        <f t="array" aca="1" ref="B12" ca="1">LEFT(A12,MIN(FIND(CHAR(ROW(INDIRECT("65:90"))),A12&amp;CHAR(ROW(INDIRECT("65:90"))),2)-1))</f>
        <v>Subramaniyam</v>
      </c>
      <c r="C12" s="1" t="str">
        <f t="shared" ca="1" si="0"/>
        <v>Swami</v>
      </c>
      <c r="H12" t="s">
        <v>155</v>
      </c>
      <c r="I12">
        <f t="shared" si="1"/>
        <v>73</v>
      </c>
    </row>
    <row r="13" spans="1:9" x14ac:dyDescent="0.25">
      <c r="H13" t="s">
        <v>156</v>
      </c>
      <c r="I13">
        <f t="shared" si="1"/>
        <v>74</v>
      </c>
    </row>
    <row r="14" spans="1:9" x14ac:dyDescent="0.25">
      <c r="H14" t="s">
        <v>157</v>
      </c>
      <c r="I14">
        <f t="shared" si="1"/>
        <v>75</v>
      </c>
    </row>
    <row r="15" spans="1:9" x14ac:dyDescent="0.25">
      <c r="H15" t="s">
        <v>158</v>
      </c>
      <c r="I15">
        <f t="shared" si="1"/>
        <v>76</v>
      </c>
    </row>
    <row r="16" spans="1:9" x14ac:dyDescent="0.25">
      <c r="H16" t="s">
        <v>159</v>
      </c>
      <c r="I16">
        <f t="shared" si="1"/>
        <v>77</v>
      </c>
    </row>
    <row r="17" spans="8:9" x14ac:dyDescent="0.25">
      <c r="H17" t="s">
        <v>160</v>
      </c>
      <c r="I17">
        <f t="shared" si="1"/>
        <v>78</v>
      </c>
    </row>
    <row r="18" spans="8:9" x14ac:dyDescent="0.25">
      <c r="H18" t="s">
        <v>161</v>
      </c>
      <c r="I18">
        <f t="shared" si="1"/>
        <v>79</v>
      </c>
    </row>
    <row r="19" spans="8:9" x14ac:dyDescent="0.25">
      <c r="H19" t="s">
        <v>162</v>
      </c>
      <c r="I19">
        <f t="shared" si="1"/>
        <v>80</v>
      </c>
    </row>
    <row r="20" spans="8:9" x14ac:dyDescent="0.25">
      <c r="H20" t="s">
        <v>163</v>
      </c>
      <c r="I20">
        <f t="shared" si="1"/>
        <v>81</v>
      </c>
    </row>
    <row r="21" spans="8:9" x14ac:dyDescent="0.25">
      <c r="H21" t="s">
        <v>164</v>
      </c>
      <c r="I21">
        <f t="shared" si="1"/>
        <v>82</v>
      </c>
    </row>
    <row r="22" spans="8:9" x14ac:dyDescent="0.25">
      <c r="H22" t="s">
        <v>165</v>
      </c>
      <c r="I22">
        <f t="shared" si="1"/>
        <v>83</v>
      </c>
    </row>
    <row r="23" spans="8:9" x14ac:dyDescent="0.25">
      <c r="H23" t="s">
        <v>166</v>
      </c>
      <c r="I23">
        <f t="shared" si="1"/>
        <v>84</v>
      </c>
    </row>
    <row r="24" spans="8:9" x14ac:dyDescent="0.25">
      <c r="H24" t="s">
        <v>167</v>
      </c>
      <c r="I24">
        <f t="shared" si="1"/>
        <v>85</v>
      </c>
    </row>
    <row r="25" spans="8:9" x14ac:dyDescent="0.25">
      <c r="H25" t="s">
        <v>168</v>
      </c>
      <c r="I25">
        <f t="shared" si="1"/>
        <v>86</v>
      </c>
    </row>
    <row r="26" spans="8:9" x14ac:dyDescent="0.25">
      <c r="H26" t="s">
        <v>169</v>
      </c>
      <c r="I26">
        <f t="shared" si="1"/>
        <v>87</v>
      </c>
    </row>
    <row r="27" spans="8:9" x14ac:dyDescent="0.25">
      <c r="H27" t="s">
        <v>170</v>
      </c>
      <c r="I27">
        <f t="shared" si="1"/>
        <v>88</v>
      </c>
    </row>
    <row r="28" spans="8:9" x14ac:dyDescent="0.25">
      <c r="H28" t="s">
        <v>171</v>
      </c>
      <c r="I28">
        <f t="shared" si="1"/>
        <v>89</v>
      </c>
    </row>
    <row r="29" spans="8:9" x14ac:dyDescent="0.25">
      <c r="H29" t="s">
        <v>121</v>
      </c>
      <c r="I29">
        <f t="shared" si="1"/>
        <v>90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zoomScale="140" zoomScaleNormal="140" workbookViewId="0">
      <selection activeCell="B2" sqref="B2:B4"/>
    </sheetView>
  </sheetViews>
  <sheetFormatPr defaultRowHeight="15" x14ac:dyDescent="0.25"/>
  <cols>
    <col min="1" max="1" width="12.85546875" customWidth="1"/>
    <col min="2" max="2" width="16.28515625" customWidth="1"/>
  </cols>
  <sheetData>
    <row r="1" spans="1:8" x14ac:dyDescent="0.25">
      <c r="A1" s="35" t="s">
        <v>1</v>
      </c>
      <c r="B1" s="36" t="s">
        <v>181</v>
      </c>
      <c r="E1" s="14" t="s">
        <v>182</v>
      </c>
    </row>
    <row r="2" spans="1:8" x14ac:dyDescent="0.25">
      <c r="A2" s="20" t="s">
        <v>179</v>
      </c>
      <c r="B2" s="37">
        <f t="array" aca="1" ref="B2" ca="1">SUMPRODUCT(CODE(MID(UPPER(A2),ROW(INDIRECT("1:"&amp;LEN(A2))),1))-64)</f>
        <v>29</v>
      </c>
    </row>
    <row r="3" spans="1:8" x14ac:dyDescent="0.25">
      <c r="A3" s="20" t="s">
        <v>178</v>
      </c>
      <c r="B3" s="37">
        <f t="array" aca="1" ref="B3" ca="1">SUMPRODUCT(CODE(MID(UPPER(A3),ROW(INDIRECT("1:"&amp;LEN(A3))),1))-64)</f>
        <v>67</v>
      </c>
      <c r="E3" s="20" t="s">
        <v>77</v>
      </c>
      <c r="F3" s="20">
        <v>1</v>
      </c>
      <c r="G3" s="20" t="s">
        <v>160</v>
      </c>
      <c r="H3" s="20">
        <v>14</v>
      </c>
    </row>
    <row r="4" spans="1:8" x14ac:dyDescent="0.25">
      <c r="A4" s="20" t="s">
        <v>180</v>
      </c>
      <c r="B4" s="37">
        <f t="array" aca="1" ref="B4" ca="1">SUMPRODUCT(CODE(MID(UPPER(A4),ROW(INDIRECT("1:"&amp;LEN(A4))),1))-64)</f>
        <v>66</v>
      </c>
      <c r="E4" s="20" t="s">
        <v>95</v>
      </c>
      <c r="F4" s="20">
        <v>2</v>
      </c>
      <c r="G4" s="20" t="s">
        <v>161</v>
      </c>
      <c r="H4" s="20">
        <v>15</v>
      </c>
    </row>
    <row r="5" spans="1:8" x14ac:dyDescent="0.25">
      <c r="E5" s="20" t="s">
        <v>103</v>
      </c>
      <c r="F5" s="20">
        <v>3</v>
      </c>
      <c r="G5" s="20" t="s">
        <v>162</v>
      </c>
      <c r="H5" s="20">
        <v>16</v>
      </c>
    </row>
    <row r="6" spans="1:8" x14ac:dyDescent="0.25">
      <c r="E6" s="20" t="s">
        <v>150</v>
      </c>
      <c r="F6" s="20">
        <v>4</v>
      </c>
      <c r="G6" s="20" t="s">
        <v>163</v>
      </c>
      <c r="H6" s="20">
        <v>17</v>
      </c>
    </row>
    <row r="7" spans="1:8" x14ac:dyDescent="0.25">
      <c r="E7" s="20" t="s">
        <v>151</v>
      </c>
      <c r="F7" s="20">
        <v>5</v>
      </c>
      <c r="G7" s="20" t="s">
        <v>164</v>
      </c>
      <c r="H7" s="20">
        <v>18</v>
      </c>
    </row>
    <row r="8" spans="1:8" x14ac:dyDescent="0.25">
      <c r="E8" s="20" t="s">
        <v>152</v>
      </c>
      <c r="F8" s="20">
        <v>6</v>
      </c>
      <c r="G8" s="20" t="s">
        <v>165</v>
      </c>
      <c r="H8" s="20">
        <v>19</v>
      </c>
    </row>
    <row r="9" spans="1:8" x14ac:dyDescent="0.25">
      <c r="E9" s="20" t="s">
        <v>153</v>
      </c>
      <c r="F9" s="20">
        <v>7</v>
      </c>
      <c r="G9" s="20" t="s">
        <v>166</v>
      </c>
      <c r="H9" s="20">
        <v>20</v>
      </c>
    </row>
    <row r="10" spans="1:8" x14ac:dyDescent="0.25">
      <c r="E10" s="20" t="s">
        <v>154</v>
      </c>
      <c r="F10" s="20">
        <v>8</v>
      </c>
      <c r="G10" s="20" t="s">
        <v>167</v>
      </c>
      <c r="H10" s="20">
        <v>21</v>
      </c>
    </row>
    <row r="11" spans="1:8" x14ac:dyDescent="0.25">
      <c r="E11" s="20" t="s">
        <v>155</v>
      </c>
      <c r="F11" s="20">
        <v>9</v>
      </c>
      <c r="G11" s="20" t="s">
        <v>168</v>
      </c>
      <c r="H11" s="20">
        <v>22</v>
      </c>
    </row>
    <row r="12" spans="1:8" x14ac:dyDescent="0.25">
      <c r="A12" t="s">
        <v>164</v>
      </c>
      <c r="B12">
        <v>18</v>
      </c>
      <c r="E12" s="20" t="s">
        <v>156</v>
      </c>
      <c r="F12" s="20">
        <v>10</v>
      </c>
      <c r="G12" s="20" t="s">
        <v>169</v>
      </c>
      <c r="H12" s="20">
        <v>23</v>
      </c>
    </row>
    <row r="13" spans="1:8" x14ac:dyDescent="0.25">
      <c r="A13" t="s">
        <v>77</v>
      </c>
      <c r="B13">
        <v>1</v>
      </c>
      <c r="E13" s="20" t="s">
        <v>157</v>
      </c>
      <c r="F13" s="20">
        <v>11</v>
      </c>
      <c r="G13" s="20" t="s">
        <v>170</v>
      </c>
      <c r="H13" s="20">
        <v>24</v>
      </c>
    </row>
    <row r="14" spans="1:8" x14ac:dyDescent="0.25">
      <c r="A14" t="s">
        <v>156</v>
      </c>
      <c r="B14">
        <v>10</v>
      </c>
      <c r="E14" s="20" t="s">
        <v>158</v>
      </c>
      <c r="F14" s="20">
        <v>12</v>
      </c>
      <c r="G14" s="20" t="s">
        <v>171</v>
      </c>
      <c r="H14" s="20">
        <v>25</v>
      </c>
    </row>
    <row r="15" spans="1:8" x14ac:dyDescent="0.25">
      <c r="B15">
        <f>SUM(B12:B14)</f>
        <v>29</v>
      </c>
      <c r="E15" s="20" t="s">
        <v>159</v>
      </c>
      <c r="F15" s="20">
        <v>13</v>
      </c>
      <c r="G15" s="20" t="s">
        <v>121</v>
      </c>
      <c r="H15" s="20">
        <v>26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3"/>
  <sheetViews>
    <sheetView tabSelected="1" zoomScale="130" zoomScaleNormal="130" workbookViewId="0">
      <selection activeCell="B2" sqref="B2:B23"/>
    </sheetView>
  </sheetViews>
  <sheetFormatPr defaultRowHeight="15" x14ac:dyDescent="0.25"/>
  <cols>
    <col min="1" max="1" width="28" customWidth="1"/>
    <col min="2" max="2" width="17.42578125" customWidth="1"/>
    <col min="3" max="3" width="15.42578125" customWidth="1"/>
  </cols>
  <sheetData>
    <row r="1" spans="1:7" x14ac:dyDescent="0.25">
      <c r="A1" s="27" t="s">
        <v>44</v>
      </c>
      <c r="B1" s="20"/>
      <c r="C1" s="25"/>
    </row>
    <row r="2" spans="1:7" x14ac:dyDescent="0.25">
      <c r="A2" s="20" t="s">
        <v>126</v>
      </c>
      <c r="B2" s="20" t="str">
        <f t="array" aca="1" ref="B2" ca="1">IF(LEN(INT(MID(A2,MATCH(TRUE,ISNUMBER(VALUE(MID(A2,ROW(INDIRECT("1:"&amp;LEN(A2))),10))),0),10)))=10,INT(MID(A2,MATCH(TRUE,ISNUMBER(VALUE(MID(A2,ROW(INDIRECT("1:"&amp;LEN(A2))),10))),0),10)),"")</f>
        <v/>
      </c>
      <c r="C2" s="25"/>
      <c r="E2" s="14" t="s">
        <v>82</v>
      </c>
    </row>
    <row r="3" spans="1:7" x14ac:dyDescent="0.25">
      <c r="A3" s="20" t="s">
        <v>120</v>
      </c>
      <c r="B3" s="20" t="str">
        <f t="array" aca="1" ref="B3" ca="1">IF(LEN(INT(MID(A3,MATCH(TRUE,ISNUMBER(VALUE(MID(A3,ROW(INDIRECT("1:"&amp;LEN(A3))),10))),0),10)))=10,INT(MID(A3,MATCH(TRUE,ISNUMBER(VALUE(MID(A3,ROW(INDIRECT("1:"&amp;LEN(A3))),10))),0),10)),"")</f>
        <v/>
      </c>
      <c r="C3" s="25"/>
      <c r="E3" s="14"/>
    </row>
    <row r="4" spans="1:7" x14ac:dyDescent="0.25">
      <c r="A4" s="20" t="s">
        <v>45</v>
      </c>
      <c r="B4" s="20">
        <f t="array" aca="1" ref="B4" ca="1">IF(LEN(INT(MID(A4,MATCH(TRUE,ISNUMBER(VALUE(MID(A4,ROW(INDIRECT("1:"&amp;LEN(A4))),10))),0),10)))=10,INT(MID(A4,MATCH(TRUE,ISNUMBER(VALUE(MID(A4,ROW(INDIRECT("1:"&amp;LEN(A4))),10))),0),10)),"")</f>
        <v>8860339000</v>
      </c>
      <c r="C4" s="25"/>
      <c r="E4" s="14" t="s">
        <v>83</v>
      </c>
    </row>
    <row r="5" spans="1:7" x14ac:dyDescent="0.25">
      <c r="A5" s="20" t="s">
        <v>177</v>
      </c>
      <c r="B5" s="20">
        <f t="array" aca="1" ref="B5" ca="1">IF(LEN(INT(MID(A5,MATCH(TRUE,ISNUMBER(VALUE(MID(A5,ROW(INDIRECT("1:"&amp;LEN(A5))),10))),0),10)))=10,INT(MID(A5,MATCH(TRUE,ISNUMBER(VALUE(MID(A5,ROW(INDIRECT("1:"&amp;LEN(A5))),10))),0),10)),"")</f>
        <v>9873903709</v>
      </c>
      <c r="C5" s="25"/>
    </row>
    <row r="6" spans="1:7" x14ac:dyDescent="0.25">
      <c r="A6" s="20" t="s">
        <v>46</v>
      </c>
      <c r="B6" s="20">
        <f t="array" aca="1" ref="B6" ca="1">IF(LEN(INT(MID(A6,MATCH(TRUE,ISNUMBER(VALUE(MID(A6,ROW(INDIRECT("1:"&amp;LEN(A6))),10))),0),10)))=10,INT(MID(A6,MATCH(TRUE,ISNUMBER(VALUE(MID(A6,ROW(INDIRECT("1:"&amp;LEN(A6))),10))),0),10)),"")</f>
        <v>9810241172</v>
      </c>
      <c r="C6" s="25"/>
    </row>
    <row r="7" spans="1:7" x14ac:dyDescent="0.25">
      <c r="A7" s="20" t="s">
        <v>174</v>
      </c>
      <c r="B7" s="20">
        <f t="array" aca="1" ref="B7" ca="1">IF(LEN(INT(MID(A7,MATCH(TRUE,ISNUMBER(VALUE(MID(A7,ROW(INDIRECT("1:"&amp;LEN(A7))),10))),0),10)))=10,INT(MID(A7,MATCH(TRUE,ISNUMBER(VALUE(MID(A7,ROW(INDIRECT("1:"&amp;LEN(A7))),10))),0),10)),"")</f>
        <v>9582121827</v>
      </c>
      <c r="C7" s="25"/>
    </row>
    <row r="8" spans="1:7" x14ac:dyDescent="0.25">
      <c r="A8" s="20" t="s">
        <v>47</v>
      </c>
      <c r="B8" s="20">
        <f t="array" aca="1" ref="B8" ca="1">IF(LEN(INT(MID(A8,MATCH(TRUE,ISNUMBER(VALUE(MID(A8,ROW(INDIRECT("1:"&amp;LEN(A8))),10))),0),10)))=10,INT(MID(A8,MATCH(TRUE,ISNUMBER(VALUE(MID(A8,ROW(INDIRECT("1:"&amp;LEN(A8))),10))),0),10)),"")</f>
        <v>9999377066</v>
      </c>
      <c r="C8" s="25"/>
    </row>
    <row r="9" spans="1:7" x14ac:dyDescent="0.25">
      <c r="A9" s="20" t="s">
        <v>48</v>
      </c>
      <c r="B9" s="20">
        <f t="array" aca="1" ref="B9" ca="1">IF(LEN(INT(MID(A9,MATCH(TRUE,ISNUMBER(VALUE(MID(A9,ROW(INDIRECT("1:"&amp;LEN(A9))),10))),0),10)))=10,INT(MID(A9,MATCH(TRUE,ISNUMBER(VALUE(MID(A9,ROW(INDIRECT("1:"&amp;LEN(A9))),10))),0),10)),"")</f>
        <v>9873744954</v>
      </c>
      <c r="C9" s="25"/>
      <c r="E9" t="s">
        <v>175</v>
      </c>
      <c r="G9" t="str">
        <f>MID(E9,FIND(" ",E9)+1,FIND(" ",E9,FIND(" ",E9)+1)-FIND(" ",E9))</f>
        <v xml:space="preserve">Kumar </v>
      </c>
    </row>
    <row r="10" spans="1:7" x14ac:dyDescent="0.25">
      <c r="A10" s="20" t="s">
        <v>49</v>
      </c>
      <c r="B10" s="20">
        <f t="array" aca="1" ref="B10" ca="1">IF(LEN(INT(MID(A10,MATCH(TRUE,ISNUMBER(VALUE(MID(A10,ROW(INDIRECT("1:"&amp;LEN(A10))),10))),0),10)))=10,INT(MID(A10,MATCH(TRUE,ISNUMBER(VALUE(MID(A10,ROW(INDIRECT("1:"&amp;LEN(A10))),10))),0),10)),"")</f>
        <v>9818803734</v>
      </c>
      <c r="C10" s="25"/>
    </row>
    <row r="11" spans="1:7" x14ac:dyDescent="0.25">
      <c r="A11" s="20" t="s">
        <v>50</v>
      </c>
      <c r="B11" s="20">
        <f t="array" aca="1" ref="B11" ca="1">IF(LEN(INT(MID(A11,MATCH(TRUE,ISNUMBER(VALUE(MID(A11,ROW(INDIRECT("1:"&amp;LEN(A11))),10))),0),10)))=10,INT(MID(A11,MATCH(TRUE,ISNUMBER(VALUE(MID(A11,ROW(INDIRECT("1:"&amp;LEN(A11))),10))),0),10)),"")</f>
        <v>9266494491</v>
      </c>
      <c r="C11" s="25"/>
    </row>
    <row r="12" spans="1:7" x14ac:dyDescent="0.25">
      <c r="A12" s="20" t="s">
        <v>51</v>
      </c>
      <c r="B12" s="20">
        <f t="array" aca="1" ref="B12" ca="1">IF(LEN(INT(MID(A12,MATCH(TRUE,ISNUMBER(VALUE(MID(A12,ROW(INDIRECT("1:"&amp;LEN(A12))),10))),0),10)))=10,INT(MID(A12,MATCH(TRUE,ISNUMBER(VALUE(MID(A12,ROW(INDIRECT("1:"&amp;LEN(A12))),10))),0),10)),"")</f>
        <v>8459022058</v>
      </c>
      <c r="C12" s="25"/>
    </row>
    <row r="13" spans="1:7" x14ac:dyDescent="0.25">
      <c r="A13" s="20" t="s">
        <v>52</v>
      </c>
      <c r="B13" s="20">
        <f t="array" aca="1" ref="B13" ca="1">IF(LEN(INT(MID(A13,MATCH(TRUE,ISNUMBER(VALUE(MID(A13,ROW(INDIRECT("1:"&amp;LEN(A13))),10))),0),10)))=10,INT(MID(A13,MATCH(TRUE,ISNUMBER(VALUE(MID(A13,ROW(INDIRECT("1:"&amp;LEN(A13))),10))),0),10)),"")</f>
        <v>8447060022</v>
      </c>
      <c r="C13" s="25"/>
    </row>
    <row r="14" spans="1:7" x14ac:dyDescent="0.25">
      <c r="A14" s="20" t="s">
        <v>118</v>
      </c>
      <c r="B14" s="20" t="str">
        <f t="array" aca="1" ref="B14" ca="1">IF(LEN(INT(MID(A14,MATCH(TRUE,ISNUMBER(VALUE(MID(A14,ROW(INDIRECT("1:"&amp;LEN(A14))),10))),0),10)))=10,INT(MID(A14,MATCH(TRUE,ISNUMBER(VALUE(MID(A14,ROW(INDIRECT("1:"&amp;LEN(A14))),10))),0),10)),"")</f>
        <v/>
      </c>
      <c r="C14" s="25"/>
      <c r="D14" t="s">
        <v>176</v>
      </c>
    </row>
    <row r="15" spans="1:7" x14ac:dyDescent="0.25">
      <c r="A15" s="20" t="s">
        <v>53</v>
      </c>
      <c r="B15" s="20">
        <f t="array" aca="1" ref="B15" ca="1">IF(LEN(INT(MID(A15,MATCH(TRUE,ISNUMBER(VALUE(MID(A15,ROW(INDIRECT("1:"&amp;LEN(A15))),10))),0),10)))=10,INT(MID(A15,MATCH(TRUE,ISNUMBER(VALUE(MID(A15,ROW(INDIRECT("1:"&amp;LEN(A15))),10))),0),10)),"")</f>
        <v>9560682826</v>
      </c>
      <c r="C15" s="25"/>
    </row>
    <row r="16" spans="1:7" x14ac:dyDescent="0.25">
      <c r="A16" s="20" t="s">
        <v>54</v>
      </c>
      <c r="B16" s="20">
        <f t="array" aca="1" ref="B16" ca="1">IF(LEN(INT(MID(A16,MATCH(TRUE,ISNUMBER(VALUE(MID(A16,ROW(INDIRECT("1:"&amp;LEN(A16))),10))),0),10)))=10,INT(MID(A16,MATCH(TRUE,ISNUMBER(VALUE(MID(A16,ROW(INDIRECT("1:"&amp;LEN(A16))),10))),0),10)),"")</f>
        <v>9958111357</v>
      </c>
      <c r="C16" s="25"/>
    </row>
    <row r="17" spans="1:3" x14ac:dyDescent="0.25">
      <c r="A17" s="20" t="s">
        <v>55</v>
      </c>
      <c r="B17" s="20">
        <f t="array" aca="1" ref="B17" ca="1">IF(LEN(INT(MID(A17,MATCH(TRUE,ISNUMBER(VALUE(MID(A17,ROW(INDIRECT("1:"&amp;LEN(A17))),10))),0),10)))=10,INT(MID(A17,MATCH(TRUE,ISNUMBER(VALUE(MID(A17,ROW(INDIRECT("1:"&amp;LEN(A17))),10))),0),10)),"")</f>
        <v>9711678805</v>
      </c>
      <c r="C17" s="25"/>
    </row>
    <row r="18" spans="1:3" x14ac:dyDescent="0.25">
      <c r="A18" s="20" t="s">
        <v>56</v>
      </c>
      <c r="B18" s="20">
        <f t="array" aca="1" ref="B18" ca="1">IF(LEN(INT(MID(A18,MATCH(TRUE,ISNUMBER(VALUE(MID(A18,ROW(INDIRECT("1:"&amp;LEN(A18))),10))),0),10)))=10,INT(MID(A18,MATCH(TRUE,ISNUMBER(VALUE(MID(A18,ROW(INDIRECT("1:"&amp;LEN(A18))),10))),0),10)),"")</f>
        <v>8285529150</v>
      </c>
      <c r="C18" s="25"/>
    </row>
    <row r="19" spans="1:3" x14ac:dyDescent="0.25">
      <c r="A19" s="20" t="s">
        <v>57</v>
      </c>
      <c r="B19" s="20">
        <f t="array" aca="1" ref="B19" ca="1">IF(LEN(INT(MID(A19,MATCH(TRUE,ISNUMBER(VALUE(MID(A19,ROW(INDIRECT("1:"&amp;LEN(A19))),10))),0),10)))=10,INT(MID(A19,MATCH(TRUE,ISNUMBER(VALUE(MID(A19,ROW(INDIRECT("1:"&amp;LEN(A19))),10))),0),10)),"")</f>
        <v>9953068326</v>
      </c>
      <c r="C19" s="25"/>
    </row>
    <row r="20" spans="1:3" x14ac:dyDescent="0.25">
      <c r="A20" s="20" t="s">
        <v>58</v>
      </c>
      <c r="B20" s="20">
        <f t="array" aca="1" ref="B20" ca="1">IF(LEN(INT(MID(A20,MATCH(TRUE,ISNUMBER(VALUE(MID(A20,ROW(INDIRECT("1:"&amp;LEN(A20))),10))),0),10)))=10,INT(MID(A20,MATCH(TRUE,ISNUMBER(VALUE(MID(A20,ROW(INDIRECT("1:"&amp;LEN(A20))),10))),0),10)),"")</f>
        <v>9868814541</v>
      </c>
      <c r="C20" s="25"/>
    </row>
    <row r="21" spans="1:3" x14ac:dyDescent="0.25">
      <c r="A21" s="20" t="s">
        <v>59</v>
      </c>
      <c r="B21" s="20">
        <f t="array" aca="1" ref="B21" ca="1">IF(LEN(INT(MID(A21,MATCH(TRUE,ISNUMBER(VALUE(MID(A21,ROW(INDIRECT("1:"&amp;LEN(A21))),10))),0),10)))=10,INT(MID(A21,MATCH(TRUE,ISNUMBER(VALUE(MID(A21,ROW(INDIRECT("1:"&amp;LEN(A21))),10))),0),10)),"")</f>
        <v>9810108418</v>
      </c>
      <c r="C21" s="25"/>
    </row>
    <row r="22" spans="1:3" x14ac:dyDescent="0.25">
      <c r="A22" s="20" t="s">
        <v>60</v>
      </c>
      <c r="B22" s="20">
        <f t="array" aca="1" ref="B22" ca="1">IF(LEN(INT(MID(A22,MATCH(TRUE,ISNUMBER(VALUE(MID(A22,ROW(INDIRECT("1:"&amp;LEN(A22))),10))),0),10)))=10,INT(MID(A22,MATCH(TRUE,ISNUMBER(VALUE(MID(A22,ROW(INDIRECT("1:"&amp;LEN(A22))),10))),0),10)),"")</f>
        <v>9540071572</v>
      </c>
      <c r="C22" s="25"/>
    </row>
    <row r="23" spans="1:3" x14ac:dyDescent="0.25">
      <c r="A23" s="20" t="s">
        <v>61</v>
      </c>
      <c r="B23" s="20">
        <f t="array" aca="1" ref="B23" ca="1">IF(LEN(INT(MID(A23,MATCH(TRUE,ISNUMBER(VALUE(MID(A23,ROW(INDIRECT("1:"&amp;LEN(A23))),10))),0),10)))=10,INT(MID(A23,MATCH(TRUE,ISNUMBER(VALUE(MID(A23,ROW(INDIRECT("1:"&amp;LEN(A23))),10))),0),10)),"")</f>
        <v>9540071572</v>
      </c>
      <c r="C23" s="2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29</vt:i4>
      </vt:variant>
    </vt:vector>
  </HeadingPairs>
  <TitlesOfParts>
    <vt:vector size="46" baseType="lpstr">
      <vt:lpstr>SUMMARY</vt:lpstr>
      <vt:lpstr>Indirect-0</vt:lpstr>
      <vt:lpstr>Indirect-1</vt:lpstr>
      <vt:lpstr>Indirect-2</vt:lpstr>
      <vt:lpstr>Indirect-3</vt:lpstr>
      <vt:lpstr>Indirect-4</vt:lpstr>
      <vt:lpstr>Images</vt:lpstr>
      <vt:lpstr>Indirect-6</vt:lpstr>
      <vt:lpstr>Indirect-7</vt:lpstr>
      <vt:lpstr>Indirect-8</vt:lpstr>
      <vt:lpstr>Indirect-9</vt:lpstr>
      <vt:lpstr>Indirect-11</vt:lpstr>
      <vt:lpstr>Indirect-12</vt:lpstr>
      <vt:lpstr>Indirect-20</vt:lpstr>
      <vt:lpstr>Indirect-19</vt:lpstr>
      <vt:lpstr>Sheet21</vt:lpstr>
      <vt:lpstr>Indirect-10</vt:lpstr>
      <vt:lpstr>Apr</vt:lpstr>
      <vt:lpstr>Aug</vt:lpstr>
      <vt:lpstr>Bangalore</vt:lpstr>
      <vt:lpstr>Bus</vt:lpstr>
      <vt:lpstr>Car</vt:lpstr>
      <vt:lpstr>City</vt:lpstr>
      <vt:lpstr>Dec</vt:lpstr>
      <vt:lpstr>Delhi</vt:lpstr>
      <vt:lpstr>Feb</vt:lpstr>
      <vt:lpstr>Group_A</vt:lpstr>
      <vt:lpstr>Group_B</vt:lpstr>
      <vt:lpstr>Group_C</vt:lpstr>
      <vt:lpstr>Jan</vt:lpstr>
      <vt:lpstr>Jul</vt:lpstr>
      <vt:lpstr>Jun</vt:lpstr>
      <vt:lpstr>Keyboard</vt:lpstr>
      <vt:lpstr>Kolkata</vt:lpstr>
      <vt:lpstr>Laptop</vt:lpstr>
      <vt:lpstr>Mar</vt:lpstr>
      <vt:lpstr>May</vt:lpstr>
      <vt:lpstr>MotherBoard</vt:lpstr>
      <vt:lpstr>Motor</vt:lpstr>
      <vt:lpstr>Mouse</vt:lpstr>
      <vt:lpstr>Mumbai</vt:lpstr>
      <vt:lpstr>Nov</vt:lpstr>
      <vt:lpstr>Oct</vt:lpstr>
      <vt:lpstr>Sep</vt:lpstr>
      <vt:lpstr>Ship</vt:lpstr>
      <vt:lpstr>Tempu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</dc:creator>
  <cp:lastModifiedBy>Nilesh</cp:lastModifiedBy>
  <dcterms:created xsi:type="dcterms:W3CDTF">2013-05-19T05:15:39Z</dcterms:created>
  <dcterms:modified xsi:type="dcterms:W3CDTF">2019-09-16T02:33:07Z</dcterms:modified>
</cp:coreProperties>
</file>