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0400" windowHeight="7755" activeTab="10"/>
  </bookViews>
  <sheets>
    <sheet name="CF-1" sheetId="1" r:id="rId1"/>
    <sheet name="CF-2" sheetId="4" r:id="rId2"/>
    <sheet name="CF-3" sheetId="5" r:id="rId3"/>
    <sheet name="CF-5" sheetId="7" r:id="rId4"/>
    <sheet name="CF-7" sheetId="9" state="hidden" r:id="rId5"/>
    <sheet name="CF-8" sheetId="10" r:id="rId6"/>
    <sheet name="CF-9" sheetId="11" r:id="rId7"/>
    <sheet name="CF-10" sheetId="12" r:id="rId8"/>
    <sheet name="Sheet1" sheetId="15" r:id="rId9"/>
    <sheet name="Sheet2" sheetId="16" r:id="rId10"/>
    <sheet name="HOME TASK" sheetId="14" r:id="rId11"/>
  </sheets>
  <definedNames>
    <definedName name="Data1">'CF-3'!#REF!</definedName>
    <definedName name="Data2">#REF!</definedName>
  </definedNames>
  <calcPr calcId="145621"/>
</workbook>
</file>

<file path=xl/calcChain.xml><?xml version="1.0" encoding="utf-8"?>
<calcChain xmlns="http://schemas.openxmlformats.org/spreadsheetml/2006/main">
  <c r="B2" i="14" l="1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3" i="16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B3" i="15"/>
  <c r="B2" i="15"/>
  <c r="B1" i="12"/>
  <c r="A2" i="12"/>
  <c r="A3" i="12"/>
  <c r="A4" i="12"/>
  <c r="A5" i="12"/>
  <c r="A6" i="12"/>
  <c r="A7" i="12"/>
  <c r="A1" i="12"/>
  <c r="B1" i="11"/>
  <c r="A2" i="11"/>
  <c r="A3" i="11"/>
  <c r="A4" i="11"/>
  <c r="A5" i="11"/>
  <c r="A6" i="11"/>
  <c r="A7" i="11"/>
  <c r="A8" i="11"/>
  <c r="A9" i="11"/>
  <c r="A10" i="11"/>
  <c r="A11" i="11"/>
  <c r="A12" i="11"/>
  <c r="A13" i="11"/>
  <c r="A1" i="11"/>
  <c r="D2" i="10"/>
  <c r="B2" i="7"/>
  <c r="B3" i="7"/>
  <c r="B4" i="7"/>
  <c r="B5" i="7"/>
  <c r="B6" i="7"/>
  <c r="B7" i="7"/>
  <c r="B8" i="7"/>
  <c r="B9" i="7"/>
  <c r="B10" i="7"/>
  <c r="B11" i="7"/>
  <c r="B12" i="7"/>
  <c r="B13" i="7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" i="5"/>
  <c r="B2" i="5"/>
  <c r="F2" i="4"/>
  <c r="B2" i="4"/>
  <c r="I10" i="1"/>
  <c r="E10" i="1"/>
  <c r="A3" i="9" l="1"/>
  <c r="A3" i="5"/>
  <c r="A4" i="5" l="1"/>
  <c r="A5" i="5" s="1"/>
  <c r="A4" i="9"/>
  <c r="A5" i="9"/>
  <c r="A6" i="5" l="1"/>
  <c r="A6" i="9"/>
  <c r="A7" i="5" l="1"/>
  <c r="A7" i="9"/>
  <c r="A8" i="5" l="1"/>
  <c r="A8" i="9"/>
  <c r="A9" i="5" l="1"/>
  <c r="A9" i="9"/>
  <c r="A10" i="5" l="1"/>
  <c r="A10" i="9"/>
  <c r="A11" i="5" l="1"/>
  <c r="A11" i="9"/>
  <c r="A12" i="5" l="1"/>
  <c r="A12" i="9"/>
  <c r="A13" i="5" l="1"/>
  <c r="A13" i="9"/>
  <c r="A14" i="5" l="1"/>
  <c r="A14" i="9"/>
  <c r="A15" i="5" l="1"/>
  <c r="A15" i="9"/>
  <c r="A16" i="5" l="1"/>
  <c r="A16" i="9"/>
  <c r="A17" i="5" l="1"/>
  <c r="A17" i="9"/>
  <c r="A18" i="5" l="1"/>
  <c r="A18" i="9"/>
  <c r="A19" i="5" l="1"/>
  <c r="A19" i="9"/>
  <c r="A20" i="5" l="1"/>
  <c r="A20" i="9"/>
  <c r="A21" i="5" l="1"/>
  <c r="A21" i="9"/>
  <c r="A22" i="5" l="1"/>
  <c r="A22" i="9"/>
  <c r="A23" i="5" l="1"/>
  <c r="A23" i="9"/>
  <c r="A24" i="5" l="1"/>
  <c r="A24" i="9"/>
  <c r="A25" i="5" l="1"/>
  <c r="A25" i="9"/>
  <c r="A26" i="5" l="1"/>
  <c r="A26" i="9"/>
  <c r="A27" i="5" l="1"/>
  <c r="A27" i="9"/>
  <c r="A28" i="5" l="1"/>
  <c r="A28" i="9"/>
  <c r="A29" i="5" l="1"/>
  <c r="A29" i="9"/>
  <c r="A30" i="5" l="1"/>
  <c r="A30" i="9"/>
  <c r="A31" i="5" l="1"/>
  <c r="A31" i="9"/>
  <c r="A32" i="5" l="1"/>
  <c r="A32" i="9"/>
  <c r="A33" i="5" l="1"/>
  <c r="A33" i="9"/>
  <c r="A34" i="5" l="1"/>
  <c r="A34" i="9"/>
  <c r="A35" i="5" l="1"/>
  <c r="A35" i="9"/>
  <c r="A36" i="5" l="1"/>
  <c r="A36" i="9"/>
  <c r="A37" i="5" l="1"/>
  <c r="A37" i="9"/>
  <c r="A38" i="5" l="1"/>
  <c r="A38" i="9"/>
  <c r="A39" i="5" l="1"/>
  <c r="A39" i="9"/>
  <c r="A40" i="5" l="1"/>
  <c r="A40" i="9"/>
  <c r="A41" i="5" l="1"/>
  <c r="A41" i="9"/>
  <c r="A42" i="5" l="1"/>
  <c r="A42" i="9"/>
  <c r="A43" i="5" l="1"/>
  <c r="A43" i="9"/>
  <c r="A44" i="5" l="1"/>
  <c r="A44" i="9"/>
  <c r="A45" i="5" l="1"/>
  <c r="A45" i="9"/>
  <c r="A46" i="5" l="1"/>
  <c r="A46" i="9"/>
  <c r="A47" i="5" l="1"/>
  <c r="A47" i="9"/>
  <c r="A48" i="5" l="1"/>
  <c r="A48" i="9"/>
  <c r="A49" i="5" l="1"/>
  <c r="A49" i="9"/>
  <c r="A50" i="5" l="1"/>
  <c r="A50" i="9"/>
  <c r="A51" i="9" l="1"/>
  <c r="A51" i="5"/>
  <c r="A52" i="9" l="1"/>
  <c r="A52" i="5"/>
  <c r="A53" i="9" l="1"/>
  <c r="A53" i="5"/>
  <c r="A54" i="9" l="1"/>
  <c r="A54" i="5"/>
  <c r="A55" i="9" l="1"/>
  <c r="A55" i="5"/>
  <c r="A56" i="9" l="1"/>
  <c r="A56" i="5"/>
  <c r="A57" i="9" l="1"/>
  <c r="A57" i="5"/>
  <c r="A58" i="9" l="1"/>
  <c r="A58" i="5"/>
  <c r="A59" i="9" l="1"/>
  <c r="A59" i="5"/>
  <c r="A60" i="9" l="1"/>
  <c r="A60" i="5"/>
  <c r="A61" i="9" l="1"/>
  <c r="A61" i="5"/>
  <c r="A62" i="9" l="1"/>
  <c r="A62" i="5"/>
  <c r="A63" i="9" l="1"/>
  <c r="A63" i="5"/>
  <c r="A64" i="9" l="1"/>
  <c r="A64" i="5"/>
  <c r="A65" i="9" l="1"/>
  <c r="A65" i="5"/>
  <c r="A66" i="9" l="1"/>
  <c r="A66" i="5"/>
  <c r="A67" i="9" l="1"/>
  <c r="A67" i="5"/>
  <c r="A68" i="9" l="1"/>
  <c r="A68" i="5"/>
  <c r="A69" i="9" l="1"/>
  <c r="A69" i="5"/>
  <c r="A70" i="9" l="1"/>
  <c r="A70" i="5"/>
  <c r="A71" i="9" l="1"/>
  <c r="A71" i="5"/>
  <c r="A72" i="9" l="1"/>
  <c r="A72" i="5"/>
  <c r="A73" i="9" l="1"/>
  <c r="A73" i="5"/>
  <c r="A74" i="9" l="1"/>
  <c r="A74" i="5"/>
  <c r="A75" i="9" l="1"/>
  <c r="A75" i="5"/>
  <c r="A76" i="9" l="1"/>
  <c r="A76" i="5"/>
  <c r="A77" i="9" l="1"/>
  <c r="A77" i="5"/>
  <c r="A78" i="9" l="1"/>
  <c r="A78" i="5"/>
  <c r="A79" i="9" l="1"/>
  <c r="A79" i="5"/>
  <c r="A80" i="9" l="1"/>
  <c r="A80" i="5"/>
  <c r="A81" i="9" l="1"/>
  <c r="A81" i="5"/>
  <c r="A82" i="9" l="1"/>
  <c r="A82" i="5"/>
  <c r="A83" i="9" l="1"/>
  <c r="A83" i="5"/>
  <c r="A84" i="9" l="1"/>
  <c r="A84" i="5"/>
  <c r="A85" i="9" l="1"/>
  <c r="A85" i="5"/>
  <c r="A86" i="9" l="1"/>
  <c r="A86" i="5"/>
  <c r="A87" i="9" l="1"/>
  <c r="A87" i="5"/>
  <c r="A88" i="9" l="1"/>
  <c r="A88" i="5"/>
  <c r="A89" i="9" l="1"/>
  <c r="A89" i="5"/>
  <c r="A90" i="9" l="1"/>
  <c r="A90" i="5"/>
  <c r="A91" i="9" l="1"/>
  <c r="A91" i="5"/>
  <c r="A92" i="9" l="1"/>
  <c r="A92" i="5"/>
  <c r="A93" i="5" l="1"/>
  <c r="A94" i="5" l="1"/>
  <c r="A95" i="5" l="1"/>
  <c r="A96" i="5" l="1"/>
  <c r="A97" i="5" l="1"/>
  <c r="A98" i="5" l="1"/>
  <c r="A99" i="5" l="1"/>
  <c r="A100" i="5" l="1"/>
  <c r="A101" i="5" l="1"/>
  <c r="A102" i="5" l="1"/>
  <c r="A103" i="5" l="1"/>
  <c r="A104" i="5" l="1"/>
  <c r="A105" i="5" l="1"/>
  <c r="A106" i="5" l="1"/>
  <c r="A107" i="5" l="1"/>
  <c r="A108" i="5" l="1"/>
  <c r="A109" i="5" l="1"/>
  <c r="A110" i="5" l="1"/>
  <c r="A111" i="5" l="1"/>
  <c r="A112" i="5" l="1"/>
  <c r="A113" i="5" l="1"/>
  <c r="A114" i="5" l="1"/>
  <c r="A115" i="5" l="1"/>
  <c r="A116" i="5" l="1"/>
  <c r="A117" i="5" l="1"/>
  <c r="A118" i="5" l="1"/>
  <c r="A119" i="5" l="1"/>
  <c r="A120" i="5" l="1"/>
  <c r="A121" i="5" l="1"/>
  <c r="A122" i="5" l="1"/>
  <c r="A123" i="5" l="1"/>
  <c r="A124" i="5" l="1"/>
  <c r="A125" i="5" l="1"/>
  <c r="A126" i="5" l="1"/>
  <c r="A127" i="5" l="1"/>
  <c r="A128" i="5" l="1"/>
  <c r="A129" i="5" l="1"/>
  <c r="A130" i="5" l="1"/>
  <c r="A131" i="5" l="1"/>
  <c r="A132" i="5" l="1"/>
  <c r="A133" i="5" l="1"/>
  <c r="A134" i="5" l="1"/>
  <c r="A135" i="5" l="1"/>
  <c r="A136" i="5" l="1"/>
  <c r="A137" i="5" l="1"/>
  <c r="A138" i="5" l="1"/>
  <c r="A139" i="5" l="1"/>
  <c r="A140" i="5" l="1"/>
  <c r="A141" i="5" l="1"/>
  <c r="A142" i="5" l="1"/>
  <c r="A143" i="5" l="1"/>
  <c r="A144" i="5" l="1"/>
  <c r="A145" i="5" l="1"/>
  <c r="A146" i="5" l="1"/>
  <c r="A147" i="5" l="1"/>
  <c r="A148" i="5" l="1"/>
  <c r="A149" i="5" l="1"/>
  <c r="A150" i="5" l="1"/>
  <c r="A151" i="5" l="1"/>
  <c r="A152" i="5" l="1"/>
  <c r="A153" i="5" l="1"/>
  <c r="A154" i="5" l="1"/>
  <c r="A155" i="5" l="1"/>
  <c r="A156" i="5" l="1"/>
  <c r="A157" i="5" l="1"/>
  <c r="A158" i="5" l="1"/>
  <c r="A159" i="5" l="1"/>
  <c r="A160" i="5" l="1"/>
  <c r="A161" i="5" l="1"/>
  <c r="A162" i="5" l="1"/>
  <c r="A163" i="5" l="1"/>
  <c r="A164" i="5" l="1"/>
  <c r="A165" i="5" l="1"/>
  <c r="A166" i="5" l="1"/>
  <c r="A167" i="5" l="1"/>
  <c r="A168" i="5" l="1"/>
  <c r="A169" i="5" l="1"/>
  <c r="A170" i="5" l="1"/>
  <c r="A171" i="5" l="1"/>
  <c r="A172" i="5" l="1"/>
  <c r="A173" i="5" l="1"/>
  <c r="A174" i="5" l="1"/>
  <c r="A175" i="5" l="1"/>
  <c r="A176" i="5" l="1"/>
  <c r="A177" i="5" l="1"/>
  <c r="A178" i="5" l="1"/>
  <c r="A179" i="5" l="1"/>
  <c r="A180" i="5" l="1"/>
  <c r="A181" i="5" l="1"/>
</calcChain>
</file>

<file path=xl/sharedStrings.xml><?xml version="1.0" encoding="utf-8"?>
<sst xmlns="http://schemas.openxmlformats.org/spreadsheetml/2006/main" count="94" uniqueCount="68">
  <si>
    <t>SELF CREATED CONDITIONAL FORMATING</t>
  </si>
  <si>
    <t>Max</t>
  </si>
  <si>
    <t>Min</t>
  </si>
  <si>
    <t>Players Name</t>
  </si>
  <si>
    <t>Score</t>
  </si>
  <si>
    <t>Sachin</t>
  </si>
  <si>
    <t>Dhoni</t>
  </si>
  <si>
    <t>Sahbag</t>
  </si>
  <si>
    <t>Raina</t>
  </si>
  <si>
    <t>Gambhir</t>
  </si>
  <si>
    <t>Yuvraj</t>
  </si>
  <si>
    <t>Players</t>
  </si>
  <si>
    <t>Specific Characters</t>
  </si>
  <si>
    <t>Srisant</t>
  </si>
  <si>
    <t>Saurabh</t>
  </si>
  <si>
    <t>Date</t>
  </si>
  <si>
    <t>Data</t>
  </si>
  <si>
    <t>Name</t>
  </si>
  <si>
    <t>Yesterday</t>
  </si>
  <si>
    <t xml:space="preserve"> =$A2=today()-1</t>
  </si>
  <si>
    <t>today</t>
  </si>
  <si>
    <t xml:space="preserve"> =$A2=today()</t>
  </si>
  <si>
    <t>Tomorrow</t>
  </si>
  <si>
    <t xml:space="preserve"> =$A2=TODAY()+1</t>
  </si>
  <si>
    <t>Last 7 Days</t>
  </si>
  <si>
    <t xml:space="preserve"> =OR($A2=TODAY()-7,$A2=TODAY()-6,$A2=TODAY()-5,$A2=TODAY()-4,$A2=TODAY()-3,$A2=TODAY()-2,$A2=TODAY()-1)</t>
  </si>
  <si>
    <t>Last week</t>
  </si>
  <si>
    <t xml:space="preserve"> =WEEKNUM($A2)=WEEKNUM(TODAY())-1</t>
  </si>
  <si>
    <t>Current Week</t>
  </si>
  <si>
    <t xml:space="preserve"> =WEEKNUM($A2)=WEEKNUM(TODAY())</t>
  </si>
  <si>
    <t>Next week</t>
  </si>
  <si>
    <t xml:space="preserve"> =WEEKNUM($A2)=WEEKNUM(TODAY())+1</t>
  </si>
  <si>
    <t>Last Month</t>
  </si>
  <si>
    <t xml:space="preserve"> =MONTH($A2)=MONTH(TODAY())-1</t>
  </si>
  <si>
    <t>Current Month</t>
  </si>
  <si>
    <t xml:space="preserve"> =MONTH($A2)=MONTH(TODAY())</t>
  </si>
  <si>
    <t xml:space="preserve"> =TEXT(A2,"mmm")=TEXT(TODAY(),"mmm")</t>
  </si>
  <si>
    <t>Next Month</t>
  </si>
  <si>
    <t xml:space="preserve"> =MONTH($A2)=MONTH(TODAY())+1</t>
  </si>
  <si>
    <t>Status</t>
  </si>
  <si>
    <t>Error</t>
  </si>
  <si>
    <t>Accuracy</t>
  </si>
  <si>
    <t>Marks</t>
  </si>
  <si>
    <t>Red</t>
  </si>
  <si>
    <t>&gt;=33 and &lt;45</t>
  </si>
  <si>
    <t>green</t>
  </si>
  <si>
    <t>&gt;=45 and &lt;60</t>
  </si>
  <si>
    <t>yellow</t>
  </si>
  <si>
    <t>&gt;=60 and &lt;75</t>
  </si>
  <si>
    <t>Blue</t>
  </si>
  <si>
    <t>&gt;=75 and &lt;=100</t>
  </si>
  <si>
    <t>Purple</t>
  </si>
  <si>
    <t>Yuvraj S</t>
  </si>
  <si>
    <t>Gambhir S</t>
  </si>
  <si>
    <t>S Yuvraj</t>
  </si>
  <si>
    <t>ishan</t>
  </si>
  <si>
    <t>&gt;0 and &lt;33</t>
  </si>
  <si>
    <t>Sambhir</t>
  </si>
  <si>
    <t>Done</t>
  </si>
  <si>
    <t>Ram</t>
  </si>
  <si>
    <t>Mohan</t>
  </si>
  <si>
    <t>Sohan</t>
  </si>
  <si>
    <t>Rahim</t>
  </si>
  <si>
    <t>Kajal</t>
  </si>
  <si>
    <t>Mona</t>
  </si>
  <si>
    <t>Reema</t>
  </si>
  <si>
    <t>Raj</t>
  </si>
  <si>
    <t>Ranu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</si>
</sst>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theme="1"/>
      <name val="Wingdings 3"/>
      <family val="1"/>
      <charset val="2"/>
    </font>
    <font>
      <b/>
      <sz val="12"/>
      <color theme="1"/>
      <name val="Calibri"/>
      <family val="2"/>
      <scheme val="minor"/>
    </font>
    <font>
      <b/>
      <sz val="16"/>
      <color theme="3"/>
      <name val="Cambria"/>
      <family val="2"/>
      <scheme val="major"/>
    </font>
    <font>
      <sz val="11"/>
      <name val="Calibri"/>
      <family val="2"/>
      <scheme val="minor"/>
    </font>
    <font>
      <sz val="8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15" fontId="0" fillId="0" borderId="0" xfId="0" applyNumberFormat="1"/>
    <xf numFmtId="15" fontId="0" fillId="0" borderId="1" xfId="0" applyNumberFormat="1" applyBorder="1"/>
    <xf numFmtId="14" fontId="0" fillId="0" borderId="0" xfId="0" applyNumberFormat="1"/>
    <xf numFmtId="15" fontId="2" fillId="0" borderId="0" xfId="0" applyNumberFormat="1" applyFont="1"/>
    <xf numFmtId="0" fontId="4" fillId="0" borderId="0" xfId="0" applyFont="1"/>
    <xf numFmtId="0" fontId="2" fillId="0" borderId="0" xfId="0" applyFont="1"/>
    <xf numFmtId="0" fontId="2" fillId="3" borderId="1" xfId="0" applyFont="1" applyFill="1" applyBorder="1" applyAlignment="1">
      <alignment horizontal="center" vertical="center"/>
    </xf>
    <xf numFmtId="0" fontId="5" fillId="0" borderId="0" xfId="0" applyFont="1"/>
    <xf numFmtId="0" fontId="2" fillId="3" borderId="1" xfId="0" applyFont="1" applyFill="1" applyBorder="1" applyAlignment="1">
      <alignment horizontal="center"/>
    </xf>
    <xf numFmtId="0" fontId="7" fillId="0" borderId="1" xfId="0" applyFont="1" applyBorder="1"/>
    <xf numFmtId="9" fontId="7" fillId="0" borderId="1" xfId="1" applyFont="1" applyBorder="1"/>
    <xf numFmtId="9" fontId="7" fillId="0" borderId="1" xfId="0" applyNumberFormat="1" applyFont="1" applyBorder="1"/>
    <xf numFmtId="0" fontId="0" fillId="0" borderId="0" xfId="0" applyBorder="1"/>
    <xf numFmtId="0" fontId="6" fillId="2" borderId="1" xfId="2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Title" xfId="2" builtinId="15"/>
  </cellStyles>
  <dxfs count="29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C000"/>
          </stop>
          <stop position="1">
            <color rgb="FFFFFF00"/>
          </stop>
        </gradient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rgb="FFFF0000"/>
      </font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Medium9"/>
  <colors>
    <mruColors>
      <color rgb="FF99FF99"/>
      <color rgb="FFFF99FF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CheckBox" checked="Checked" fmlaLink="$F$1" lockText="1" noThreeD="1"/>
</file>

<file path=xl/ctrlProps/ctrlProp3.xml><?xml version="1.0" encoding="utf-8"?>
<formControlPr xmlns="http://schemas.microsoft.com/office/spreadsheetml/2009/9/main" objectType="CheckBox" checked="Checked" fmlaLink="$G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5</xdr:row>
          <xdr:rowOff>66675</xdr:rowOff>
        </xdr:from>
        <xdr:to>
          <xdr:col>11</xdr:col>
          <xdr:colOff>85725</xdr:colOff>
          <xdr:row>10</xdr:row>
          <xdr:rowOff>95250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5</xdr:row>
          <xdr:rowOff>171450</xdr:rowOff>
        </xdr:from>
        <xdr:to>
          <xdr:col>10</xdr:col>
          <xdr:colOff>371475</xdr:colOff>
          <xdr:row>7</xdr:row>
          <xdr:rowOff>38100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Unique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8</xdr:row>
          <xdr:rowOff>171450</xdr:rowOff>
        </xdr:from>
        <xdr:to>
          <xdr:col>10</xdr:col>
          <xdr:colOff>371475</xdr:colOff>
          <xdr:row>10</xdr:row>
          <xdr:rowOff>38100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Duplicate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I19"/>
  <sheetViews>
    <sheetView zoomScale="150" zoomScaleNormal="150" workbookViewId="0">
      <selection activeCell="I10" sqref="I10"/>
    </sheetView>
  </sheetViews>
  <sheetFormatPr defaultRowHeight="15" x14ac:dyDescent="0.25"/>
  <cols>
    <col min="3" max="3" width="15" customWidth="1"/>
    <col min="7" max="7" width="13.28515625" bestFit="1" customWidth="1"/>
  </cols>
  <sheetData>
    <row r="2" spans="3:9" ht="6" customHeight="1" x14ac:dyDescent="0.25">
      <c r="C2" s="16" t="s">
        <v>0</v>
      </c>
      <c r="D2" s="16"/>
      <c r="E2" s="16"/>
      <c r="F2" s="16"/>
      <c r="G2" s="16"/>
      <c r="H2" s="16"/>
    </row>
    <row r="3" spans="3:9" ht="6" customHeight="1" x14ac:dyDescent="0.25">
      <c r="C3" s="16"/>
      <c r="D3" s="16"/>
      <c r="E3" s="16"/>
      <c r="F3" s="16"/>
      <c r="G3" s="16"/>
      <c r="H3" s="16"/>
    </row>
    <row r="4" spans="3:9" ht="6" customHeight="1" x14ac:dyDescent="0.25">
      <c r="C4" s="16"/>
      <c r="D4" s="16"/>
      <c r="E4" s="16"/>
      <c r="F4" s="16"/>
      <c r="G4" s="16"/>
      <c r="H4" s="16"/>
    </row>
    <row r="8" spans="3:9" ht="15.75" x14ac:dyDescent="0.25">
      <c r="C8" s="17" t="s">
        <v>1</v>
      </c>
      <c r="D8" s="17"/>
      <c r="E8" s="10"/>
      <c r="F8" s="10"/>
      <c r="G8" s="17" t="s">
        <v>2</v>
      </c>
      <c r="H8" s="17"/>
    </row>
    <row r="9" spans="3:9" ht="15.75" x14ac:dyDescent="0.25">
      <c r="C9" s="9" t="s">
        <v>3</v>
      </c>
      <c r="D9" s="9" t="s">
        <v>4</v>
      </c>
      <c r="E9" s="10"/>
      <c r="F9" s="10"/>
      <c r="G9" s="9" t="s">
        <v>3</v>
      </c>
      <c r="H9" s="9" t="s">
        <v>4</v>
      </c>
    </row>
    <row r="10" spans="3:9" ht="15.75" x14ac:dyDescent="0.25">
      <c r="C10" s="1" t="s">
        <v>5</v>
      </c>
      <c r="D10" s="1">
        <v>11</v>
      </c>
      <c r="E10" s="10" t="b">
        <f>MAX($D$10:$D$17)=$D10</f>
        <v>0</v>
      </c>
      <c r="F10" s="10"/>
      <c r="G10" s="1" t="s">
        <v>5</v>
      </c>
      <c r="H10" s="1">
        <v>1</v>
      </c>
      <c r="I10" t="b">
        <f>MIN($H$10:$H$15)=$H10</f>
        <v>1</v>
      </c>
    </row>
    <row r="11" spans="3:9" ht="15.75" x14ac:dyDescent="0.25">
      <c r="C11" s="1" t="s">
        <v>6</v>
      </c>
      <c r="D11" s="1">
        <v>9</v>
      </c>
      <c r="E11" s="10"/>
      <c r="F11" s="10"/>
      <c r="G11" s="1" t="s">
        <v>6</v>
      </c>
      <c r="H11" s="1">
        <v>12</v>
      </c>
    </row>
    <row r="12" spans="3:9" ht="15.75" x14ac:dyDescent="0.25">
      <c r="C12" s="1" t="s">
        <v>7</v>
      </c>
      <c r="D12" s="1">
        <v>999</v>
      </c>
      <c r="E12" s="10"/>
      <c r="F12" s="10"/>
      <c r="G12" s="1" t="s">
        <v>7</v>
      </c>
      <c r="H12" s="1">
        <v>1</v>
      </c>
    </row>
    <row r="13" spans="3:9" ht="15.75" x14ac:dyDescent="0.25">
      <c r="C13" s="1" t="s">
        <v>8</v>
      </c>
      <c r="D13" s="1">
        <v>555</v>
      </c>
      <c r="E13" s="10"/>
      <c r="F13" s="10"/>
      <c r="G13" s="1" t="s">
        <v>8</v>
      </c>
      <c r="H13" s="1">
        <v>10</v>
      </c>
    </row>
    <row r="14" spans="3:9" ht="15.75" x14ac:dyDescent="0.25">
      <c r="C14" s="1" t="s">
        <v>9</v>
      </c>
      <c r="D14" s="1">
        <v>999</v>
      </c>
      <c r="E14" s="10"/>
      <c r="F14" s="10"/>
      <c r="G14" s="1" t="s">
        <v>9</v>
      </c>
      <c r="H14" s="1">
        <v>9</v>
      </c>
    </row>
    <row r="15" spans="3:9" ht="15.75" x14ac:dyDescent="0.25">
      <c r="C15" s="1" t="s">
        <v>10</v>
      </c>
      <c r="D15" s="1">
        <v>12</v>
      </c>
      <c r="E15" s="10"/>
      <c r="F15" s="10"/>
      <c r="G15" s="1" t="s">
        <v>10</v>
      </c>
      <c r="H15" s="1">
        <v>10</v>
      </c>
    </row>
    <row r="16" spans="3:9" ht="15.75" x14ac:dyDescent="0.25">
      <c r="C16" s="1" t="s">
        <v>9</v>
      </c>
      <c r="D16" s="1">
        <v>99</v>
      </c>
      <c r="E16" s="10"/>
      <c r="F16" s="10"/>
    </row>
    <row r="17" spans="3:6" ht="15.75" x14ac:dyDescent="0.25">
      <c r="C17" s="1" t="s">
        <v>10</v>
      </c>
      <c r="D17" s="1">
        <v>999</v>
      </c>
      <c r="E17" s="10"/>
      <c r="F17" s="10"/>
    </row>
    <row r="18" spans="3:6" ht="15.75" x14ac:dyDescent="0.25">
      <c r="E18" s="10"/>
      <c r="F18" s="10"/>
    </row>
    <row r="19" spans="3:6" ht="15.75" x14ac:dyDescent="0.25">
      <c r="E19" s="10"/>
    </row>
  </sheetData>
  <mergeCells count="3">
    <mergeCell ref="C2:H4"/>
    <mergeCell ref="C8:D8"/>
    <mergeCell ref="G8:H8"/>
  </mergeCells>
  <conditionalFormatting sqref="C10:D17">
    <cfRule type="expression" dxfId="28" priority="2">
      <formula>MAX($D$10:$D$17)=$D10</formula>
    </cfRule>
  </conditionalFormatting>
  <conditionalFormatting sqref="G10:H15">
    <cfRule type="expression" dxfId="27" priority="1">
      <formula>MIN($H$10:$H$15)=$H10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zoomScale="148" zoomScaleNormal="148" workbookViewId="0">
      <selection activeCell="E13" sqref="E13"/>
    </sheetView>
  </sheetViews>
  <sheetFormatPr defaultRowHeight="15" x14ac:dyDescent="0.25"/>
  <cols>
    <col min="1" max="3" width="10.140625" customWidth="1"/>
    <col min="5" max="5" width="17.42578125" customWidth="1"/>
  </cols>
  <sheetData>
    <row r="1" spans="1:6" x14ac:dyDescent="0.25">
      <c r="A1" s="1" t="s">
        <v>11</v>
      </c>
      <c r="B1" s="15"/>
      <c r="C1" s="15"/>
      <c r="E1" t="s">
        <v>12</v>
      </c>
    </row>
    <row r="2" spans="1:6" x14ac:dyDescent="0.25">
      <c r="A2" s="1" t="s">
        <v>5</v>
      </c>
      <c r="B2" s="15" t="b">
        <f>LEFT(A2,1)="s"</f>
        <v>1</v>
      </c>
      <c r="C2" s="15"/>
      <c r="E2" s="1" t="s">
        <v>5</v>
      </c>
      <c r="F2" t="b">
        <f>FIND("i",E2)&gt;=1</f>
        <v>1</v>
      </c>
    </row>
    <row r="3" spans="1:6" x14ac:dyDescent="0.25">
      <c r="A3" s="1" t="s">
        <v>6</v>
      </c>
      <c r="B3" s="15"/>
      <c r="C3" s="15"/>
      <c r="E3" s="1" t="s">
        <v>6</v>
      </c>
    </row>
    <row r="4" spans="1:6" x14ac:dyDescent="0.25">
      <c r="A4" s="1" t="s">
        <v>7</v>
      </c>
      <c r="B4" s="15"/>
      <c r="C4" s="15"/>
      <c r="E4" s="1" t="s">
        <v>7</v>
      </c>
    </row>
    <row r="5" spans="1:6" x14ac:dyDescent="0.25">
      <c r="A5" s="1" t="s">
        <v>8</v>
      </c>
      <c r="B5" s="15"/>
      <c r="C5" s="15"/>
      <c r="E5" s="1" t="s">
        <v>8</v>
      </c>
    </row>
    <row r="6" spans="1:6" x14ac:dyDescent="0.25">
      <c r="A6" s="1" t="s">
        <v>57</v>
      </c>
      <c r="B6" s="15"/>
      <c r="C6" s="15"/>
      <c r="E6" s="1" t="s">
        <v>53</v>
      </c>
    </row>
    <row r="7" spans="1:6" x14ac:dyDescent="0.25">
      <c r="A7" s="1" t="s">
        <v>52</v>
      </c>
      <c r="B7" s="15"/>
      <c r="C7" s="15"/>
      <c r="E7" s="1" t="s">
        <v>54</v>
      </c>
    </row>
    <row r="8" spans="1:6" x14ac:dyDescent="0.25">
      <c r="A8" s="1" t="s">
        <v>13</v>
      </c>
      <c r="B8" s="15"/>
      <c r="C8" s="15"/>
      <c r="E8" s="1" t="s">
        <v>13</v>
      </c>
    </row>
    <row r="9" spans="1:6" x14ac:dyDescent="0.25">
      <c r="A9" s="1" t="s">
        <v>14</v>
      </c>
      <c r="B9" s="15"/>
      <c r="C9" s="15"/>
      <c r="E9" s="1" t="s">
        <v>55</v>
      </c>
    </row>
  </sheetData>
  <conditionalFormatting sqref="A2:A9">
    <cfRule type="expression" dxfId="26" priority="2">
      <formula>LEFT(A2,1)="s"</formula>
    </cfRule>
  </conditionalFormatting>
  <conditionalFormatting sqref="E2:E9">
    <cfRule type="expression" dxfId="25" priority="1">
      <formula>FIND("i",E2)&gt;=1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81"/>
  <sheetViews>
    <sheetView zoomScale="130" zoomScaleNormal="130" workbookViewId="0">
      <selection activeCell="E14" sqref="E14"/>
    </sheetView>
  </sheetViews>
  <sheetFormatPr defaultRowHeight="15" x14ac:dyDescent="0.25"/>
  <cols>
    <col min="1" max="1" width="10.42578125" style="3" bestFit="1" customWidth="1"/>
  </cols>
  <sheetData>
    <row r="1" spans="1:3" x14ac:dyDescent="0.25">
      <c r="A1" s="3" t="s">
        <v>15</v>
      </c>
    </row>
    <row r="2" spans="1:3" x14ac:dyDescent="0.25">
      <c r="A2" s="3">
        <v>41395</v>
      </c>
      <c r="B2" t="b">
        <f>WEEKDAY(A2,2)&gt;5</f>
        <v>0</v>
      </c>
      <c r="C2" t="str">
        <f>TEXT(A2,"DDD")</f>
        <v>Wed</v>
      </c>
    </row>
    <row r="3" spans="1:3" x14ac:dyDescent="0.25">
      <c r="A3" s="3">
        <f>A2+1</f>
        <v>41396</v>
      </c>
      <c r="C3" t="str">
        <f t="shared" ref="C3:C19" si="0">TEXT(A3,"DDD")</f>
        <v>Thu</v>
      </c>
    </row>
    <row r="4" spans="1:3" x14ac:dyDescent="0.25">
      <c r="A4" s="3">
        <f t="shared" ref="A4:A67" si="1">A3+1</f>
        <v>41397</v>
      </c>
      <c r="C4" t="str">
        <f t="shared" si="0"/>
        <v>Fri</v>
      </c>
    </row>
    <row r="5" spans="1:3" x14ac:dyDescent="0.25">
      <c r="A5" s="3">
        <f t="shared" si="1"/>
        <v>41398</v>
      </c>
      <c r="C5" t="str">
        <f t="shared" si="0"/>
        <v>Sat</v>
      </c>
    </row>
    <row r="6" spans="1:3" x14ac:dyDescent="0.25">
      <c r="A6" s="3">
        <f t="shared" si="1"/>
        <v>41399</v>
      </c>
      <c r="C6" t="str">
        <f t="shared" si="0"/>
        <v>Sun</v>
      </c>
    </row>
    <row r="7" spans="1:3" x14ac:dyDescent="0.25">
      <c r="A7" s="3">
        <f t="shared" si="1"/>
        <v>41400</v>
      </c>
      <c r="C7" t="str">
        <f t="shared" si="0"/>
        <v>Mon</v>
      </c>
    </row>
    <row r="8" spans="1:3" x14ac:dyDescent="0.25">
      <c r="A8" s="3">
        <f t="shared" si="1"/>
        <v>41401</v>
      </c>
      <c r="C8" t="str">
        <f t="shared" si="0"/>
        <v>Tue</v>
      </c>
    </row>
    <row r="9" spans="1:3" x14ac:dyDescent="0.25">
      <c r="A9" s="3">
        <f t="shared" si="1"/>
        <v>41402</v>
      </c>
      <c r="C9" t="str">
        <f t="shared" si="0"/>
        <v>Wed</v>
      </c>
    </row>
    <row r="10" spans="1:3" x14ac:dyDescent="0.25">
      <c r="A10" s="3">
        <f t="shared" si="1"/>
        <v>41403</v>
      </c>
      <c r="C10" t="str">
        <f t="shared" si="0"/>
        <v>Thu</v>
      </c>
    </row>
    <row r="11" spans="1:3" x14ac:dyDescent="0.25">
      <c r="A11" s="3">
        <f t="shared" si="1"/>
        <v>41404</v>
      </c>
      <c r="C11" t="str">
        <f t="shared" si="0"/>
        <v>Fri</v>
      </c>
    </row>
    <row r="12" spans="1:3" x14ac:dyDescent="0.25">
      <c r="A12" s="3">
        <f t="shared" si="1"/>
        <v>41405</v>
      </c>
      <c r="C12" t="str">
        <f t="shared" si="0"/>
        <v>Sat</v>
      </c>
    </row>
    <row r="13" spans="1:3" x14ac:dyDescent="0.25">
      <c r="A13" s="3">
        <f t="shared" si="1"/>
        <v>41406</v>
      </c>
      <c r="C13" t="str">
        <f t="shared" si="0"/>
        <v>Sun</v>
      </c>
    </row>
    <row r="14" spans="1:3" x14ac:dyDescent="0.25">
      <c r="A14" s="3">
        <f t="shared" si="1"/>
        <v>41407</v>
      </c>
      <c r="C14" t="str">
        <f t="shared" si="0"/>
        <v>Mon</v>
      </c>
    </row>
    <row r="15" spans="1:3" x14ac:dyDescent="0.25">
      <c r="A15" s="3">
        <f t="shared" si="1"/>
        <v>41408</v>
      </c>
      <c r="C15" t="str">
        <f t="shared" si="0"/>
        <v>Tue</v>
      </c>
    </row>
    <row r="16" spans="1:3" x14ac:dyDescent="0.25">
      <c r="A16" s="3">
        <f t="shared" si="1"/>
        <v>41409</v>
      </c>
      <c r="C16" t="str">
        <f t="shared" si="0"/>
        <v>Wed</v>
      </c>
    </row>
    <row r="17" spans="1:3" x14ac:dyDescent="0.25">
      <c r="A17" s="3">
        <f t="shared" si="1"/>
        <v>41410</v>
      </c>
      <c r="C17" t="str">
        <f t="shared" si="0"/>
        <v>Thu</v>
      </c>
    </row>
    <row r="18" spans="1:3" x14ac:dyDescent="0.25">
      <c r="A18" s="3">
        <f t="shared" si="1"/>
        <v>41411</v>
      </c>
      <c r="C18" t="str">
        <f t="shared" si="0"/>
        <v>Fri</v>
      </c>
    </row>
    <row r="19" spans="1:3" x14ac:dyDescent="0.25">
      <c r="A19" s="3">
        <f t="shared" si="1"/>
        <v>41412</v>
      </c>
      <c r="C19" t="str">
        <f t="shared" si="0"/>
        <v>Sat</v>
      </c>
    </row>
    <row r="20" spans="1:3" x14ac:dyDescent="0.25">
      <c r="A20" s="3">
        <f t="shared" si="1"/>
        <v>41413</v>
      </c>
    </row>
    <row r="21" spans="1:3" x14ac:dyDescent="0.25">
      <c r="A21" s="3">
        <f t="shared" si="1"/>
        <v>41414</v>
      </c>
    </row>
    <row r="22" spans="1:3" x14ac:dyDescent="0.25">
      <c r="A22" s="3">
        <f t="shared" si="1"/>
        <v>41415</v>
      </c>
    </row>
    <row r="23" spans="1:3" x14ac:dyDescent="0.25">
      <c r="A23" s="3">
        <f t="shared" si="1"/>
        <v>41416</v>
      </c>
    </row>
    <row r="24" spans="1:3" x14ac:dyDescent="0.25">
      <c r="A24" s="3">
        <f t="shared" si="1"/>
        <v>41417</v>
      </c>
    </row>
    <row r="25" spans="1:3" x14ac:dyDescent="0.25">
      <c r="A25" s="3">
        <f t="shared" si="1"/>
        <v>41418</v>
      </c>
    </row>
    <row r="26" spans="1:3" x14ac:dyDescent="0.25">
      <c r="A26" s="3">
        <f t="shared" si="1"/>
        <v>41419</v>
      </c>
    </row>
    <row r="27" spans="1:3" x14ac:dyDescent="0.25">
      <c r="A27" s="3">
        <f t="shared" si="1"/>
        <v>41420</v>
      </c>
    </row>
    <row r="28" spans="1:3" x14ac:dyDescent="0.25">
      <c r="A28" s="3">
        <f t="shared" si="1"/>
        <v>41421</v>
      </c>
    </row>
    <row r="29" spans="1:3" x14ac:dyDescent="0.25">
      <c r="A29" s="3">
        <f t="shared" si="1"/>
        <v>41422</v>
      </c>
    </row>
    <row r="30" spans="1:3" x14ac:dyDescent="0.25">
      <c r="A30" s="3">
        <f t="shared" si="1"/>
        <v>41423</v>
      </c>
    </row>
    <row r="31" spans="1:3" x14ac:dyDescent="0.25">
      <c r="A31" s="3">
        <f t="shared" si="1"/>
        <v>41424</v>
      </c>
    </row>
    <row r="32" spans="1:3" x14ac:dyDescent="0.25">
      <c r="A32" s="3">
        <f t="shared" si="1"/>
        <v>41425</v>
      </c>
    </row>
    <row r="33" spans="1:1" x14ac:dyDescent="0.25">
      <c r="A33" s="3">
        <f t="shared" si="1"/>
        <v>41426</v>
      </c>
    </row>
    <row r="34" spans="1:1" x14ac:dyDescent="0.25">
      <c r="A34" s="3">
        <f t="shared" si="1"/>
        <v>41427</v>
      </c>
    </row>
    <row r="35" spans="1:1" x14ac:dyDescent="0.25">
      <c r="A35" s="3">
        <f t="shared" si="1"/>
        <v>41428</v>
      </c>
    </row>
    <row r="36" spans="1:1" x14ac:dyDescent="0.25">
      <c r="A36" s="3">
        <f t="shared" si="1"/>
        <v>41429</v>
      </c>
    </row>
    <row r="37" spans="1:1" x14ac:dyDescent="0.25">
      <c r="A37" s="3">
        <f t="shared" si="1"/>
        <v>41430</v>
      </c>
    </row>
    <row r="38" spans="1:1" x14ac:dyDescent="0.25">
      <c r="A38" s="3">
        <f t="shared" si="1"/>
        <v>41431</v>
      </c>
    </row>
    <row r="39" spans="1:1" x14ac:dyDescent="0.25">
      <c r="A39" s="3">
        <f t="shared" si="1"/>
        <v>41432</v>
      </c>
    </row>
    <row r="40" spans="1:1" x14ac:dyDescent="0.25">
      <c r="A40" s="3">
        <f t="shared" si="1"/>
        <v>41433</v>
      </c>
    </row>
    <row r="41" spans="1:1" x14ac:dyDescent="0.25">
      <c r="A41" s="3">
        <f t="shared" si="1"/>
        <v>41434</v>
      </c>
    </row>
    <row r="42" spans="1:1" x14ac:dyDescent="0.25">
      <c r="A42" s="3">
        <f t="shared" si="1"/>
        <v>41435</v>
      </c>
    </row>
    <row r="43" spans="1:1" x14ac:dyDescent="0.25">
      <c r="A43" s="3">
        <f t="shared" si="1"/>
        <v>41436</v>
      </c>
    </row>
    <row r="44" spans="1:1" x14ac:dyDescent="0.25">
      <c r="A44" s="3">
        <f t="shared" si="1"/>
        <v>41437</v>
      </c>
    </row>
    <row r="45" spans="1:1" x14ac:dyDescent="0.25">
      <c r="A45" s="3">
        <f t="shared" si="1"/>
        <v>41438</v>
      </c>
    </row>
    <row r="46" spans="1:1" x14ac:dyDescent="0.25">
      <c r="A46" s="3">
        <f t="shared" si="1"/>
        <v>41439</v>
      </c>
    </row>
    <row r="47" spans="1:1" x14ac:dyDescent="0.25">
      <c r="A47" s="3">
        <f t="shared" si="1"/>
        <v>41440</v>
      </c>
    </row>
    <row r="48" spans="1:1" x14ac:dyDescent="0.25">
      <c r="A48" s="3">
        <f t="shared" si="1"/>
        <v>41441</v>
      </c>
    </row>
    <row r="49" spans="1:1" x14ac:dyDescent="0.25">
      <c r="A49" s="3">
        <f t="shared" si="1"/>
        <v>41442</v>
      </c>
    </row>
    <row r="50" spans="1:1" x14ac:dyDescent="0.25">
      <c r="A50" s="3">
        <f t="shared" si="1"/>
        <v>41443</v>
      </c>
    </row>
    <row r="51" spans="1:1" x14ac:dyDescent="0.25">
      <c r="A51" s="3">
        <f t="shared" si="1"/>
        <v>41444</v>
      </c>
    </row>
    <row r="52" spans="1:1" x14ac:dyDescent="0.25">
      <c r="A52" s="3">
        <f t="shared" si="1"/>
        <v>41445</v>
      </c>
    </row>
    <row r="53" spans="1:1" x14ac:dyDescent="0.25">
      <c r="A53" s="3">
        <f t="shared" si="1"/>
        <v>41446</v>
      </c>
    </row>
    <row r="54" spans="1:1" x14ac:dyDescent="0.25">
      <c r="A54" s="3">
        <f t="shared" si="1"/>
        <v>41447</v>
      </c>
    </row>
    <row r="55" spans="1:1" x14ac:dyDescent="0.25">
      <c r="A55" s="3">
        <f t="shared" si="1"/>
        <v>41448</v>
      </c>
    </row>
    <row r="56" spans="1:1" x14ac:dyDescent="0.25">
      <c r="A56" s="3">
        <f t="shared" si="1"/>
        <v>41449</v>
      </c>
    </row>
    <row r="57" spans="1:1" x14ac:dyDescent="0.25">
      <c r="A57" s="3">
        <f t="shared" si="1"/>
        <v>41450</v>
      </c>
    </row>
    <row r="58" spans="1:1" x14ac:dyDescent="0.25">
      <c r="A58" s="3">
        <f t="shared" si="1"/>
        <v>41451</v>
      </c>
    </row>
    <row r="59" spans="1:1" x14ac:dyDescent="0.25">
      <c r="A59" s="3">
        <f t="shared" si="1"/>
        <v>41452</v>
      </c>
    </row>
    <row r="60" spans="1:1" x14ac:dyDescent="0.25">
      <c r="A60" s="3">
        <f t="shared" si="1"/>
        <v>41453</v>
      </c>
    </row>
    <row r="61" spans="1:1" x14ac:dyDescent="0.25">
      <c r="A61" s="3">
        <f t="shared" si="1"/>
        <v>41454</v>
      </c>
    </row>
    <row r="62" spans="1:1" x14ac:dyDescent="0.25">
      <c r="A62" s="3">
        <f t="shared" si="1"/>
        <v>41455</v>
      </c>
    </row>
    <row r="63" spans="1:1" x14ac:dyDescent="0.25">
      <c r="A63" s="3">
        <f t="shared" si="1"/>
        <v>41456</v>
      </c>
    </row>
    <row r="64" spans="1:1" x14ac:dyDescent="0.25">
      <c r="A64" s="3">
        <f t="shared" si="1"/>
        <v>41457</v>
      </c>
    </row>
    <row r="65" spans="1:1" x14ac:dyDescent="0.25">
      <c r="A65" s="3">
        <f t="shared" si="1"/>
        <v>41458</v>
      </c>
    </row>
    <row r="66" spans="1:1" x14ac:dyDescent="0.25">
      <c r="A66" s="3">
        <f t="shared" si="1"/>
        <v>41459</v>
      </c>
    </row>
    <row r="67" spans="1:1" x14ac:dyDescent="0.25">
      <c r="A67" s="3">
        <f t="shared" si="1"/>
        <v>41460</v>
      </c>
    </row>
    <row r="68" spans="1:1" x14ac:dyDescent="0.25">
      <c r="A68" s="3">
        <f t="shared" ref="A68:A131" si="2">A67+1</f>
        <v>41461</v>
      </c>
    </row>
    <row r="69" spans="1:1" x14ac:dyDescent="0.25">
      <c r="A69" s="3">
        <f t="shared" si="2"/>
        <v>41462</v>
      </c>
    </row>
    <row r="70" spans="1:1" x14ac:dyDescent="0.25">
      <c r="A70" s="3">
        <f t="shared" si="2"/>
        <v>41463</v>
      </c>
    </row>
    <row r="71" spans="1:1" x14ac:dyDescent="0.25">
      <c r="A71" s="3">
        <f t="shared" si="2"/>
        <v>41464</v>
      </c>
    </row>
    <row r="72" spans="1:1" x14ac:dyDescent="0.25">
      <c r="A72" s="3">
        <f t="shared" si="2"/>
        <v>41465</v>
      </c>
    </row>
    <row r="73" spans="1:1" x14ac:dyDescent="0.25">
      <c r="A73" s="3">
        <f t="shared" si="2"/>
        <v>41466</v>
      </c>
    </row>
    <row r="74" spans="1:1" x14ac:dyDescent="0.25">
      <c r="A74" s="3">
        <f t="shared" si="2"/>
        <v>41467</v>
      </c>
    </row>
    <row r="75" spans="1:1" x14ac:dyDescent="0.25">
      <c r="A75" s="3">
        <f t="shared" si="2"/>
        <v>41468</v>
      </c>
    </row>
    <row r="76" spans="1:1" x14ac:dyDescent="0.25">
      <c r="A76" s="3">
        <f t="shared" si="2"/>
        <v>41469</v>
      </c>
    </row>
    <row r="77" spans="1:1" x14ac:dyDescent="0.25">
      <c r="A77" s="3">
        <f t="shared" si="2"/>
        <v>41470</v>
      </c>
    </row>
    <row r="78" spans="1:1" x14ac:dyDescent="0.25">
      <c r="A78" s="3">
        <f t="shared" si="2"/>
        <v>41471</v>
      </c>
    </row>
    <row r="79" spans="1:1" x14ac:dyDescent="0.25">
      <c r="A79" s="3">
        <f t="shared" si="2"/>
        <v>41472</v>
      </c>
    </row>
    <row r="80" spans="1:1" x14ac:dyDescent="0.25">
      <c r="A80" s="3">
        <f t="shared" si="2"/>
        <v>41473</v>
      </c>
    </row>
    <row r="81" spans="1:1" x14ac:dyDescent="0.25">
      <c r="A81" s="3">
        <f t="shared" si="2"/>
        <v>41474</v>
      </c>
    </row>
    <row r="82" spans="1:1" x14ac:dyDescent="0.25">
      <c r="A82" s="3">
        <f t="shared" si="2"/>
        <v>41475</v>
      </c>
    </row>
    <row r="83" spans="1:1" x14ac:dyDescent="0.25">
      <c r="A83" s="3">
        <f t="shared" si="2"/>
        <v>41476</v>
      </c>
    </row>
    <row r="84" spans="1:1" x14ac:dyDescent="0.25">
      <c r="A84" s="3">
        <f t="shared" si="2"/>
        <v>41477</v>
      </c>
    </row>
    <row r="85" spans="1:1" x14ac:dyDescent="0.25">
      <c r="A85" s="3">
        <f t="shared" si="2"/>
        <v>41478</v>
      </c>
    </row>
    <row r="86" spans="1:1" x14ac:dyDescent="0.25">
      <c r="A86" s="3">
        <f t="shared" si="2"/>
        <v>41479</v>
      </c>
    </row>
    <row r="87" spans="1:1" x14ac:dyDescent="0.25">
      <c r="A87" s="3">
        <f t="shared" si="2"/>
        <v>41480</v>
      </c>
    </row>
    <row r="88" spans="1:1" x14ac:dyDescent="0.25">
      <c r="A88" s="3">
        <f t="shared" si="2"/>
        <v>41481</v>
      </c>
    </row>
    <row r="89" spans="1:1" x14ac:dyDescent="0.25">
      <c r="A89" s="3">
        <f t="shared" si="2"/>
        <v>41482</v>
      </c>
    </row>
    <row r="90" spans="1:1" x14ac:dyDescent="0.25">
      <c r="A90" s="3">
        <f t="shared" si="2"/>
        <v>41483</v>
      </c>
    </row>
    <row r="91" spans="1:1" x14ac:dyDescent="0.25">
      <c r="A91" s="3">
        <f t="shared" si="2"/>
        <v>41484</v>
      </c>
    </row>
    <row r="92" spans="1:1" x14ac:dyDescent="0.25">
      <c r="A92" s="3">
        <f t="shared" si="2"/>
        <v>41485</v>
      </c>
    </row>
    <row r="93" spans="1:1" x14ac:dyDescent="0.25">
      <c r="A93" s="3">
        <f t="shared" si="2"/>
        <v>41486</v>
      </c>
    </row>
    <row r="94" spans="1:1" x14ac:dyDescent="0.25">
      <c r="A94" s="3">
        <f t="shared" si="2"/>
        <v>41487</v>
      </c>
    </row>
    <row r="95" spans="1:1" x14ac:dyDescent="0.25">
      <c r="A95" s="3">
        <f t="shared" si="2"/>
        <v>41488</v>
      </c>
    </row>
    <row r="96" spans="1:1" x14ac:dyDescent="0.25">
      <c r="A96" s="3">
        <f t="shared" si="2"/>
        <v>41489</v>
      </c>
    </row>
    <row r="97" spans="1:1" x14ac:dyDescent="0.25">
      <c r="A97" s="3">
        <f t="shared" si="2"/>
        <v>41490</v>
      </c>
    </row>
    <row r="98" spans="1:1" x14ac:dyDescent="0.25">
      <c r="A98" s="3">
        <f t="shared" si="2"/>
        <v>41491</v>
      </c>
    </row>
    <row r="99" spans="1:1" x14ac:dyDescent="0.25">
      <c r="A99" s="3">
        <f t="shared" si="2"/>
        <v>41492</v>
      </c>
    </row>
    <row r="100" spans="1:1" x14ac:dyDescent="0.25">
      <c r="A100" s="3">
        <f t="shared" si="2"/>
        <v>41493</v>
      </c>
    </row>
    <row r="101" spans="1:1" x14ac:dyDescent="0.25">
      <c r="A101" s="3">
        <f t="shared" si="2"/>
        <v>41494</v>
      </c>
    </row>
    <row r="102" spans="1:1" x14ac:dyDescent="0.25">
      <c r="A102" s="3">
        <f t="shared" si="2"/>
        <v>41495</v>
      </c>
    </row>
    <row r="103" spans="1:1" x14ac:dyDescent="0.25">
      <c r="A103" s="3">
        <f t="shared" si="2"/>
        <v>41496</v>
      </c>
    </row>
    <row r="104" spans="1:1" x14ac:dyDescent="0.25">
      <c r="A104" s="3">
        <f t="shared" si="2"/>
        <v>41497</v>
      </c>
    </row>
    <row r="105" spans="1:1" x14ac:dyDescent="0.25">
      <c r="A105" s="3">
        <f t="shared" si="2"/>
        <v>41498</v>
      </c>
    </row>
    <row r="106" spans="1:1" x14ac:dyDescent="0.25">
      <c r="A106" s="3">
        <f t="shared" si="2"/>
        <v>41499</v>
      </c>
    </row>
    <row r="107" spans="1:1" x14ac:dyDescent="0.25">
      <c r="A107" s="3">
        <f t="shared" si="2"/>
        <v>41500</v>
      </c>
    </row>
    <row r="108" spans="1:1" x14ac:dyDescent="0.25">
      <c r="A108" s="3">
        <f t="shared" si="2"/>
        <v>41501</v>
      </c>
    </row>
    <row r="109" spans="1:1" x14ac:dyDescent="0.25">
      <c r="A109" s="3">
        <f t="shared" si="2"/>
        <v>41502</v>
      </c>
    </row>
    <row r="110" spans="1:1" x14ac:dyDescent="0.25">
      <c r="A110" s="3">
        <f t="shared" si="2"/>
        <v>41503</v>
      </c>
    </row>
    <row r="111" spans="1:1" x14ac:dyDescent="0.25">
      <c r="A111" s="3">
        <f t="shared" si="2"/>
        <v>41504</v>
      </c>
    </row>
    <row r="112" spans="1:1" x14ac:dyDescent="0.25">
      <c r="A112" s="3">
        <f t="shared" si="2"/>
        <v>41505</v>
      </c>
    </row>
    <row r="113" spans="1:1" x14ac:dyDescent="0.25">
      <c r="A113" s="3">
        <f t="shared" si="2"/>
        <v>41506</v>
      </c>
    </row>
    <row r="114" spans="1:1" x14ac:dyDescent="0.25">
      <c r="A114" s="3">
        <f t="shared" si="2"/>
        <v>41507</v>
      </c>
    </row>
    <row r="115" spans="1:1" x14ac:dyDescent="0.25">
      <c r="A115" s="3">
        <f t="shared" si="2"/>
        <v>41508</v>
      </c>
    </row>
    <row r="116" spans="1:1" x14ac:dyDescent="0.25">
      <c r="A116" s="3">
        <f t="shared" si="2"/>
        <v>41509</v>
      </c>
    </row>
    <row r="117" spans="1:1" x14ac:dyDescent="0.25">
      <c r="A117" s="3">
        <f t="shared" si="2"/>
        <v>41510</v>
      </c>
    </row>
    <row r="118" spans="1:1" x14ac:dyDescent="0.25">
      <c r="A118" s="3">
        <f t="shared" si="2"/>
        <v>41511</v>
      </c>
    </row>
    <row r="119" spans="1:1" x14ac:dyDescent="0.25">
      <c r="A119" s="3">
        <f t="shared" si="2"/>
        <v>41512</v>
      </c>
    </row>
    <row r="120" spans="1:1" x14ac:dyDescent="0.25">
      <c r="A120" s="3">
        <f t="shared" si="2"/>
        <v>41513</v>
      </c>
    </row>
    <row r="121" spans="1:1" x14ac:dyDescent="0.25">
      <c r="A121" s="3">
        <f t="shared" si="2"/>
        <v>41514</v>
      </c>
    </row>
    <row r="122" spans="1:1" x14ac:dyDescent="0.25">
      <c r="A122" s="3">
        <f t="shared" si="2"/>
        <v>41515</v>
      </c>
    </row>
    <row r="123" spans="1:1" x14ac:dyDescent="0.25">
      <c r="A123" s="3">
        <f t="shared" si="2"/>
        <v>41516</v>
      </c>
    </row>
    <row r="124" spans="1:1" x14ac:dyDescent="0.25">
      <c r="A124" s="3">
        <f t="shared" si="2"/>
        <v>41517</v>
      </c>
    </row>
    <row r="125" spans="1:1" x14ac:dyDescent="0.25">
      <c r="A125" s="3">
        <f t="shared" si="2"/>
        <v>41518</v>
      </c>
    </row>
    <row r="126" spans="1:1" x14ac:dyDescent="0.25">
      <c r="A126" s="3">
        <f t="shared" si="2"/>
        <v>41519</v>
      </c>
    </row>
    <row r="127" spans="1:1" x14ac:dyDescent="0.25">
      <c r="A127" s="3">
        <f t="shared" si="2"/>
        <v>41520</v>
      </c>
    </row>
    <row r="128" spans="1:1" x14ac:dyDescent="0.25">
      <c r="A128" s="3">
        <f t="shared" si="2"/>
        <v>41521</v>
      </c>
    </row>
    <row r="129" spans="1:1" x14ac:dyDescent="0.25">
      <c r="A129" s="3">
        <f t="shared" si="2"/>
        <v>41522</v>
      </c>
    </row>
    <row r="130" spans="1:1" x14ac:dyDescent="0.25">
      <c r="A130" s="3">
        <f t="shared" si="2"/>
        <v>41523</v>
      </c>
    </row>
    <row r="131" spans="1:1" x14ac:dyDescent="0.25">
      <c r="A131" s="3">
        <f t="shared" si="2"/>
        <v>41524</v>
      </c>
    </row>
    <row r="132" spans="1:1" x14ac:dyDescent="0.25">
      <c r="A132" s="3">
        <f t="shared" ref="A132:A181" si="3">A131+1</f>
        <v>41525</v>
      </c>
    </row>
    <row r="133" spans="1:1" x14ac:dyDescent="0.25">
      <c r="A133" s="3">
        <f t="shared" si="3"/>
        <v>41526</v>
      </c>
    </row>
    <row r="134" spans="1:1" x14ac:dyDescent="0.25">
      <c r="A134" s="3">
        <f t="shared" si="3"/>
        <v>41527</v>
      </c>
    </row>
    <row r="135" spans="1:1" x14ac:dyDescent="0.25">
      <c r="A135" s="3">
        <f t="shared" si="3"/>
        <v>41528</v>
      </c>
    </row>
    <row r="136" spans="1:1" x14ac:dyDescent="0.25">
      <c r="A136" s="3">
        <f t="shared" si="3"/>
        <v>41529</v>
      </c>
    </row>
    <row r="137" spans="1:1" x14ac:dyDescent="0.25">
      <c r="A137" s="3">
        <f t="shared" si="3"/>
        <v>41530</v>
      </c>
    </row>
    <row r="138" spans="1:1" x14ac:dyDescent="0.25">
      <c r="A138" s="3">
        <f t="shared" si="3"/>
        <v>41531</v>
      </c>
    </row>
    <row r="139" spans="1:1" x14ac:dyDescent="0.25">
      <c r="A139" s="3">
        <f t="shared" si="3"/>
        <v>41532</v>
      </c>
    </row>
    <row r="140" spans="1:1" x14ac:dyDescent="0.25">
      <c r="A140" s="3">
        <f t="shared" si="3"/>
        <v>41533</v>
      </c>
    </row>
    <row r="141" spans="1:1" x14ac:dyDescent="0.25">
      <c r="A141" s="3">
        <f t="shared" si="3"/>
        <v>41534</v>
      </c>
    </row>
    <row r="142" spans="1:1" x14ac:dyDescent="0.25">
      <c r="A142" s="3">
        <f t="shared" si="3"/>
        <v>41535</v>
      </c>
    </row>
    <row r="143" spans="1:1" x14ac:dyDescent="0.25">
      <c r="A143" s="3">
        <f t="shared" si="3"/>
        <v>41536</v>
      </c>
    </row>
    <row r="144" spans="1:1" x14ac:dyDescent="0.25">
      <c r="A144" s="3">
        <f t="shared" si="3"/>
        <v>41537</v>
      </c>
    </row>
    <row r="145" spans="1:1" x14ac:dyDescent="0.25">
      <c r="A145" s="3">
        <f t="shared" si="3"/>
        <v>41538</v>
      </c>
    </row>
    <row r="146" spans="1:1" x14ac:dyDescent="0.25">
      <c r="A146" s="3">
        <f t="shared" si="3"/>
        <v>41539</v>
      </c>
    </row>
    <row r="147" spans="1:1" x14ac:dyDescent="0.25">
      <c r="A147" s="3">
        <f t="shared" si="3"/>
        <v>41540</v>
      </c>
    </row>
    <row r="148" spans="1:1" x14ac:dyDescent="0.25">
      <c r="A148" s="3">
        <f t="shared" si="3"/>
        <v>41541</v>
      </c>
    </row>
    <row r="149" spans="1:1" x14ac:dyDescent="0.25">
      <c r="A149" s="3">
        <f t="shared" si="3"/>
        <v>41542</v>
      </c>
    </row>
    <row r="150" spans="1:1" x14ac:dyDescent="0.25">
      <c r="A150" s="3">
        <f t="shared" si="3"/>
        <v>41543</v>
      </c>
    </row>
    <row r="151" spans="1:1" x14ac:dyDescent="0.25">
      <c r="A151" s="3">
        <f t="shared" si="3"/>
        <v>41544</v>
      </c>
    </row>
    <row r="152" spans="1:1" x14ac:dyDescent="0.25">
      <c r="A152" s="3">
        <f t="shared" si="3"/>
        <v>41545</v>
      </c>
    </row>
    <row r="153" spans="1:1" x14ac:dyDescent="0.25">
      <c r="A153" s="3">
        <f t="shared" si="3"/>
        <v>41546</v>
      </c>
    </row>
    <row r="154" spans="1:1" x14ac:dyDescent="0.25">
      <c r="A154" s="3">
        <f t="shared" si="3"/>
        <v>41547</v>
      </c>
    </row>
    <row r="155" spans="1:1" x14ac:dyDescent="0.25">
      <c r="A155" s="3">
        <f t="shared" si="3"/>
        <v>41548</v>
      </c>
    </row>
    <row r="156" spans="1:1" x14ac:dyDescent="0.25">
      <c r="A156" s="3">
        <f t="shared" si="3"/>
        <v>41549</v>
      </c>
    </row>
    <row r="157" spans="1:1" x14ac:dyDescent="0.25">
      <c r="A157" s="3">
        <f t="shared" si="3"/>
        <v>41550</v>
      </c>
    </row>
    <row r="158" spans="1:1" x14ac:dyDescent="0.25">
      <c r="A158" s="3">
        <f t="shared" si="3"/>
        <v>41551</v>
      </c>
    </row>
    <row r="159" spans="1:1" x14ac:dyDescent="0.25">
      <c r="A159" s="3">
        <f t="shared" si="3"/>
        <v>41552</v>
      </c>
    </row>
    <row r="160" spans="1:1" x14ac:dyDescent="0.25">
      <c r="A160" s="3">
        <f t="shared" si="3"/>
        <v>41553</v>
      </c>
    </row>
    <row r="161" spans="1:1" x14ac:dyDescent="0.25">
      <c r="A161" s="3">
        <f t="shared" si="3"/>
        <v>41554</v>
      </c>
    </row>
    <row r="162" spans="1:1" x14ac:dyDescent="0.25">
      <c r="A162" s="3">
        <f t="shared" si="3"/>
        <v>41555</v>
      </c>
    </row>
    <row r="163" spans="1:1" x14ac:dyDescent="0.25">
      <c r="A163" s="3">
        <f t="shared" si="3"/>
        <v>41556</v>
      </c>
    </row>
    <row r="164" spans="1:1" x14ac:dyDescent="0.25">
      <c r="A164" s="3">
        <f t="shared" si="3"/>
        <v>41557</v>
      </c>
    </row>
    <row r="165" spans="1:1" x14ac:dyDescent="0.25">
      <c r="A165" s="3">
        <f t="shared" si="3"/>
        <v>41558</v>
      </c>
    </row>
    <row r="166" spans="1:1" x14ac:dyDescent="0.25">
      <c r="A166" s="3">
        <f t="shared" si="3"/>
        <v>41559</v>
      </c>
    </row>
    <row r="167" spans="1:1" x14ac:dyDescent="0.25">
      <c r="A167" s="3">
        <f t="shared" si="3"/>
        <v>41560</v>
      </c>
    </row>
    <row r="168" spans="1:1" x14ac:dyDescent="0.25">
      <c r="A168" s="3">
        <f t="shared" si="3"/>
        <v>41561</v>
      </c>
    </row>
    <row r="169" spans="1:1" x14ac:dyDescent="0.25">
      <c r="A169" s="3">
        <f t="shared" si="3"/>
        <v>41562</v>
      </c>
    </row>
    <row r="170" spans="1:1" x14ac:dyDescent="0.25">
      <c r="A170" s="3">
        <f t="shared" si="3"/>
        <v>41563</v>
      </c>
    </row>
    <row r="171" spans="1:1" x14ac:dyDescent="0.25">
      <c r="A171" s="3">
        <f t="shared" si="3"/>
        <v>41564</v>
      </c>
    </row>
    <row r="172" spans="1:1" x14ac:dyDescent="0.25">
      <c r="A172" s="3">
        <f t="shared" si="3"/>
        <v>41565</v>
      </c>
    </row>
    <row r="173" spans="1:1" x14ac:dyDescent="0.25">
      <c r="A173" s="3">
        <f t="shared" si="3"/>
        <v>41566</v>
      </c>
    </row>
    <row r="174" spans="1:1" x14ac:dyDescent="0.25">
      <c r="A174" s="3">
        <f t="shared" si="3"/>
        <v>41567</v>
      </c>
    </row>
    <row r="175" spans="1:1" x14ac:dyDescent="0.25">
      <c r="A175" s="3">
        <f t="shared" si="3"/>
        <v>41568</v>
      </c>
    </row>
    <row r="176" spans="1:1" x14ac:dyDescent="0.25">
      <c r="A176" s="3">
        <f t="shared" si="3"/>
        <v>41569</v>
      </c>
    </row>
    <row r="177" spans="1:1" x14ac:dyDescent="0.25">
      <c r="A177" s="3">
        <f t="shared" si="3"/>
        <v>41570</v>
      </c>
    </row>
    <row r="178" spans="1:1" x14ac:dyDescent="0.25">
      <c r="A178" s="3">
        <f t="shared" si="3"/>
        <v>41571</v>
      </c>
    </row>
    <row r="179" spans="1:1" x14ac:dyDescent="0.25">
      <c r="A179" s="3">
        <f t="shared" si="3"/>
        <v>41572</v>
      </c>
    </row>
    <row r="180" spans="1:1" x14ac:dyDescent="0.25">
      <c r="A180" s="3">
        <f t="shared" si="3"/>
        <v>41573</v>
      </c>
    </row>
    <row r="181" spans="1:1" x14ac:dyDescent="0.25">
      <c r="A181" s="3">
        <f t="shared" si="3"/>
        <v>41574</v>
      </c>
    </row>
  </sheetData>
  <conditionalFormatting sqref="A2:A181">
    <cfRule type="expression" dxfId="24" priority="1">
      <formula>WEEKDAY(A2,2)&gt;5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3"/>
  <sheetViews>
    <sheetView zoomScale="180" zoomScaleNormal="180" workbookViewId="0">
      <selection activeCell="B2" sqref="B2"/>
    </sheetView>
  </sheetViews>
  <sheetFormatPr defaultRowHeight="15" x14ac:dyDescent="0.25"/>
  <sheetData>
    <row r="1" spans="1:2" x14ac:dyDescent="0.25">
      <c r="A1" t="s">
        <v>16</v>
      </c>
    </row>
    <row r="2" spans="1:2" x14ac:dyDescent="0.25">
      <c r="A2">
        <v>78</v>
      </c>
      <c r="B2" s="7" t="str">
        <f t="shared" ref="B2:B13" si="0">IF(A2&gt;0,"p","q")</f>
        <v>p</v>
      </c>
    </row>
    <row r="3" spans="1:2" x14ac:dyDescent="0.25">
      <c r="A3">
        <v>47</v>
      </c>
      <c r="B3" s="7" t="str">
        <f t="shared" si="0"/>
        <v>p</v>
      </c>
    </row>
    <row r="4" spans="1:2" x14ac:dyDescent="0.25">
      <c r="A4">
        <v>-5</v>
      </c>
      <c r="B4" s="7" t="str">
        <f t="shared" si="0"/>
        <v>q</v>
      </c>
    </row>
    <row r="5" spans="1:2" x14ac:dyDescent="0.25">
      <c r="A5">
        <v>70</v>
      </c>
      <c r="B5" s="7" t="str">
        <f t="shared" si="0"/>
        <v>p</v>
      </c>
    </row>
    <row r="6" spans="1:2" x14ac:dyDescent="0.25">
      <c r="A6">
        <v>-10</v>
      </c>
      <c r="B6" s="7" t="str">
        <f t="shared" si="0"/>
        <v>q</v>
      </c>
    </row>
    <row r="7" spans="1:2" x14ac:dyDescent="0.25">
      <c r="A7">
        <v>-69</v>
      </c>
      <c r="B7" s="7" t="str">
        <f t="shared" si="0"/>
        <v>q</v>
      </c>
    </row>
    <row r="8" spans="1:2" x14ac:dyDescent="0.25">
      <c r="A8">
        <v>70</v>
      </c>
      <c r="B8" s="7" t="str">
        <f t="shared" si="0"/>
        <v>p</v>
      </c>
    </row>
    <row r="9" spans="1:2" x14ac:dyDescent="0.25">
      <c r="A9">
        <v>4</v>
      </c>
      <c r="B9" s="7" t="str">
        <f t="shared" si="0"/>
        <v>p</v>
      </c>
    </row>
    <row r="10" spans="1:2" x14ac:dyDescent="0.25">
      <c r="A10">
        <v>-37</v>
      </c>
      <c r="B10" s="7" t="str">
        <f t="shared" si="0"/>
        <v>q</v>
      </c>
    </row>
    <row r="11" spans="1:2" x14ac:dyDescent="0.25">
      <c r="A11">
        <v>78</v>
      </c>
      <c r="B11" s="7" t="str">
        <f t="shared" si="0"/>
        <v>p</v>
      </c>
    </row>
    <row r="12" spans="1:2" x14ac:dyDescent="0.25">
      <c r="A12">
        <v>-70</v>
      </c>
      <c r="B12" s="7" t="str">
        <f t="shared" si="0"/>
        <v>q</v>
      </c>
    </row>
    <row r="13" spans="1:2" x14ac:dyDescent="0.25">
      <c r="A13">
        <v>26</v>
      </c>
      <c r="B13" s="7" t="str">
        <f t="shared" si="0"/>
        <v>p</v>
      </c>
    </row>
  </sheetData>
  <conditionalFormatting sqref="B2:B13">
    <cfRule type="cellIs" dxfId="23" priority="1" operator="equal">
      <formula>"q"</formula>
    </cfRule>
    <cfRule type="cellIs" dxfId="22" priority="2" operator="equal">
      <formula>"p"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95"/>
  <sheetViews>
    <sheetView zoomScale="112" zoomScaleNormal="112" workbookViewId="0">
      <selection activeCell="E6" sqref="E6:E15"/>
    </sheetView>
  </sheetViews>
  <sheetFormatPr defaultRowHeight="15" x14ac:dyDescent="0.25"/>
  <cols>
    <col min="1" max="1" width="10.5703125" customWidth="1"/>
    <col min="3" max="3" width="9.7109375" bestFit="1" customWidth="1"/>
    <col min="4" max="4" width="13" customWidth="1"/>
  </cols>
  <sheetData>
    <row r="1" spans="1:8" x14ac:dyDescent="0.25">
      <c r="A1" t="s">
        <v>15</v>
      </c>
    </row>
    <row r="2" spans="1:8" x14ac:dyDescent="0.25">
      <c r="A2" s="3">
        <v>42767</v>
      </c>
      <c r="B2" s="5"/>
      <c r="C2" s="5"/>
    </row>
    <row r="3" spans="1:8" x14ac:dyDescent="0.25">
      <c r="A3" s="3">
        <f>A2+1</f>
        <v>42768</v>
      </c>
      <c r="B3" s="5"/>
      <c r="C3" s="5"/>
    </row>
    <row r="4" spans="1:8" x14ac:dyDescent="0.25">
      <c r="A4" s="3">
        <f t="shared" ref="A4:A67" si="0">A3+1</f>
        <v>42769</v>
      </c>
      <c r="B4" s="5"/>
      <c r="C4" s="5"/>
    </row>
    <row r="5" spans="1:8" x14ac:dyDescent="0.25">
      <c r="A5" s="3">
        <f t="shared" si="0"/>
        <v>42770</v>
      </c>
      <c r="B5" s="5"/>
      <c r="C5" s="5"/>
    </row>
    <row r="6" spans="1:8" x14ac:dyDescent="0.25">
      <c r="A6" s="3">
        <f t="shared" si="0"/>
        <v>42771</v>
      </c>
      <c r="B6" s="5"/>
      <c r="C6" s="5"/>
      <c r="D6" t="s">
        <v>18</v>
      </c>
      <c r="E6" t="s">
        <v>19</v>
      </c>
    </row>
    <row r="7" spans="1:8" x14ac:dyDescent="0.25">
      <c r="A7" s="3">
        <f t="shared" si="0"/>
        <v>42772</v>
      </c>
      <c r="B7" s="5"/>
      <c r="C7" s="5"/>
      <c r="D7" t="s">
        <v>20</v>
      </c>
      <c r="E7" t="s">
        <v>21</v>
      </c>
    </row>
    <row r="8" spans="1:8" x14ac:dyDescent="0.25">
      <c r="A8" s="3">
        <f t="shared" si="0"/>
        <v>42773</v>
      </c>
      <c r="B8" s="5"/>
      <c r="C8" s="5"/>
      <c r="D8" t="s">
        <v>22</v>
      </c>
      <c r="E8" t="s">
        <v>23</v>
      </c>
    </row>
    <row r="9" spans="1:8" x14ac:dyDescent="0.25">
      <c r="A9" s="3">
        <f t="shared" si="0"/>
        <v>42774</v>
      </c>
      <c r="B9" s="5"/>
      <c r="C9" s="5"/>
      <c r="D9" t="s">
        <v>24</v>
      </c>
      <c r="E9" s="6" t="s">
        <v>25</v>
      </c>
    </row>
    <row r="10" spans="1:8" x14ac:dyDescent="0.25">
      <c r="A10" s="3">
        <f t="shared" si="0"/>
        <v>42775</v>
      </c>
      <c r="B10" s="5"/>
      <c r="C10" s="5"/>
      <c r="D10" t="s">
        <v>26</v>
      </c>
      <c r="E10" t="s">
        <v>27</v>
      </c>
    </row>
    <row r="11" spans="1:8" x14ac:dyDescent="0.25">
      <c r="A11" s="3">
        <f t="shared" si="0"/>
        <v>42776</v>
      </c>
      <c r="B11" s="5"/>
      <c r="C11" s="5"/>
      <c r="D11" t="s">
        <v>28</v>
      </c>
      <c r="E11" t="s">
        <v>29</v>
      </c>
    </row>
    <row r="12" spans="1:8" x14ac:dyDescent="0.25">
      <c r="A12" s="3">
        <f t="shared" si="0"/>
        <v>42777</v>
      </c>
      <c r="B12" s="5"/>
      <c r="C12" s="5"/>
      <c r="D12" t="s">
        <v>30</v>
      </c>
      <c r="E12" t="s">
        <v>31</v>
      </c>
    </row>
    <row r="13" spans="1:8" x14ac:dyDescent="0.25">
      <c r="A13" s="3">
        <f t="shared" si="0"/>
        <v>42778</v>
      </c>
      <c r="B13" s="5"/>
      <c r="C13" s="5"/>
      <c r="D13" t="s">
        <v>32</v>
      </c>
      <c r="E13" t="s">
        <v>33</v>
      </c>
    </row>
    <row r="14" spans="1:8" x14ac:dyDescent="0.25">
      <c r="A14" s="3">
        <f t="shared" si="0"/>
        <v>42779</v>
      </c>
      <c r="B14" s="5"/>
      <c r="C14" s="5"/>
      <c r="D14" t="s">
        <v>34</v>
      </c>
      <c r="E14" t="s">
        <v>35</v>
      </c>
      <c r="H14" t="s">
        <v>36</v>
      </c>
    </row>
    <row r="15" spans="1:8" x14ac:dyDescent="0.25">
      <c r="A15" s="3">
        <f t="shared" si="0"/>
        <v>42780</v>
      </c>
      <c r="B15" s="5"/>
      <c r="C15" s="5"/>
      <c r="D15" t="s">
        <v>37</v>
      </c>
      <c r="E15" t="s">
        <v>38</v>
      </c>
    </row>
    <row r="16" spans="1:8" x14ac:dyDescent="0.25">
      <c r="A16" s="3">
        <f t="shared" si="0"/>
        <v>42781</v>
      </c>
      <c r="B16" s="5"/>
      <c r="C16" s="5"/>
    </row>
    <row r="17" spans="1:3" x14ac:dyDescent="0.25">
      <c r="A17" s="3">
        <f t="shared" si="0"/>
        <v>42782</v>
      </c>
      <c r="B17" s="5"/>
      <c r="C17" s="5"/>
    </row>
    <row r="18" spans="1:3" x14ac:dyDescent="0.25">
      <c r="A18" s="3">
        <f t="shared" si="0"/>
        <v>42783</v>
      </c>
      <c r="B18" s="5"/>
      <c r="C18" s="5"/>
    </row>
    <row r="19" spans="1:3" x14ac:dyDescent="0.25">
      <c r="A19" s="3">
        <f t="shared" si="0"/>
        <v>42784</v>
      </c>
      <c r="B19" s="5"/>
      <c r="C19" s="5"/>
    </row>
    <row r="20" spans="1:3" x14ac:dyDescent="0.25">
      <c r="A20" s="3">
        <f t="shared" si="0"/>
        <v>42785</v>
      </c>
      <c r="B20" s="5"/>
      <c r="C20" s="5"/>
    </row>
    <row r="21" spans="1:3" x14ac:dyDescent="0.25">
      <c r="A21" s="3">
        <f t="shared" si="0"/>
        <v>42786</v>
      </c>
      <c r="B21" s="5"/>
      <c r="C21" s="5"/>
    </row>
    <row r="22" spans="1:3" x14ac:dyDescent="0.25">
      <c r="A22" s="3">
        <f t="shared" si="0"/>
        <v>42787</v>
      </c>
      <c r="B22" s="5"/>
      <c r="C22" s="5"/>
    </row>
    <row r="23" spans="1:3" x14ac:dyDescent="0.25">
      <c r="A23" s="3">
        <f t="shared" si="0"/>
        <v>42788</v>
      </c>
      <c r="B23" s="5"/>
      <c r="C23" s="5"/>
    </row>
    <row r="24" spans="1:3" x14ac:dyDescent="0.25">
      <c r="A24" s="3">
        <f t="shared" si="0"/>
        <v>42789</v>
      </c>
      <c r="B24" s="5"/>
      <c r="C24" s="5"/>
    </row>
    <row r="25" spans="1:3" x14ac:dyDescent="0.25">
      <c r="A25" s="3">
        <f t="shared" si="0"/>
        <v>42790</v>
      </c>
      <c r="B25" s="5"/>
      <c r="C25" s="5"/>
    </row>
    <row r="26" spans="1:3" x14ac:dyDescent="0.25">
      <c r="A26" s="3">
        <f t="shared" si="0"/>
        <v>42791</v>
      </c>
      <c r="B26" s="5"/>
      <c r="C26" s="5"/>
    </row>
    <row r="27" spans="1:3" x14ac:dyDescent="0.25">
      <c r="A27" s="3">
        <f t="shared" si="0"/>
        <v>42792</v>
      </c>
      <c r="B27" s="5"/>
      <c r="C27" s="5"/>
    </row>
    <row r="28" spans="1:3" x14ac:dyDescent="0.25">
      <c r="A28" s="3">
        <f t="shared" si="0"/>
        <v>42793</v>
      </c>
      <c r="B28" s="5"/>
      <c r="C28" s="5"/>
    </row>
    <row r="29" spans="1:3" x14ac:dyDescent="0.25">
      <c r="A29" s="3">
        <f t="shared" si="0"/>
        <v>42794</v>
      </c>
      <c r="B29" s="5"/>
      <c r="C29" s="5"/>
    </row>
    <row r="30" spans="1:3" x14ac:dyDescent="0.25">
      <c r="A30" s="3">
        <f t="shared" si="0"/>
        <v>42795</v>
      </c>
      <c r="B30" s="5"/>
      <c r="C30" s="5"/>
    </row>
    <row r="31" spans="1:3" x14ac:dyDescent="0.25">
      <c r="A31" s="3">
        <f t="shared" si="0"/>
        <v>42796</v>
      </c>
      <c r="B31" s="5"/>
      <c r="C31" s="5"/>
    </row>
    <row r="32" spans="1:3" x14ac:dyDescent="0.25">
      <c r="A32" s="3">
        <f t="shared" si="0"/>
        <v>42797</v>
      </c>
      <c r="B32" s="5"/>
      <c r="C32" s="5"/>
    </row>
    <row r="33" spans="1:3" x14ac:dyDescent="0.25">
      <c r="A33" s="3">
        <f t="shared" si="0"/>
        <v>42798</v>
      </c>
      <c r="B33" s="5"/>
      <c r="C33" s="5"/>
    </row>
    <row r="34" spans="1:3" x14ac:dyDescent="0.25">
      <c r="A34" s="3">
        <f t="shared" si="0"/>
        <v>42799</v>
      </c>
      <c r="B34" s="5"/>
      <c r="C34" s="5"/>
    </row>
    <row r="35" spans="1:3" x14ac:dyDescent="0.25">
      <c r="A35" s="3">
        <f t="shared" si="0"/>
        <v>42800</v>
      </c>
      <c r="B35" s="5"/>
      <c r="C35" s="5"/>
    </row>
    <row r="36" spans="1:3" x14ac:dyDescent="0.25">
      <c r="A36" s="3">
        <f t="shared" si="0"/>
        <v>42801</v>
      </c>
      <c r="B36" s="5"/>
      <c r="C36" s="5"/>
    </row>
    <row r="37" spans="1:3" x14ac:dyDescent="0.25">
      <c r="A37" s="3">
        <f t="shared" si="0"/>
        <v>42802</v>
      </c>
      <c r="B37" s="5"/>
      <c r="C37" s="5"/>
    </row>
    <row r="38" spans="1:3" x14ac:dyDescent="0.25">
      <c r="A38" s="3">
        <f t="shared" si="0"/>
        <v>42803</v>
      </c>
      <c r="B38" s="5"/>
      <c r="C38" s="5"/>
    </row>
    <row r="39" spans="1:3" x14ac:dyDescent="0.25">
      <c r="A39" s="3">
        <f t="shared" si="0"/>
        <v>42804</v>
      </c>
      <c r="B39" s="5"/>
      <c r="C39" s="5"/>
    </row>
    <row r="40" spans="1:3" x14ac:dyDescent="0.25">
      <c r="A40" s="3">
        <f t="shared" si="0"/>
        <v>42805</v>
      </c>
      <c r="B40" s="5"/>
      <c r="C40" s="5"/>
    </row>
    <row r="41" spans="1:3" x14ac:dyDescent="0.25">
      <c r="A41" s="3">
        <f t="shared" si="0"/>
        <v>42806</v>
      </c>
      <c r="B41" s="5"/>
      <c r="C41" s="5"/>
    </row>
    <row r="42" spans="1:3" x14ac:dyDescent="0.25">
      <c r="A42" s="3">
        <f t="shared" si="0"/>
        <v>42807</v>
      </c>
      <c r="B42" s="5"/>
      <c r="C42" s="5"/>
    </row>
    <row r="43" spans="1:3" x14ac:dyDescent="0.25">
      <c r="A43" s="3">
        <f t="shared" si="0"/>
        <v>42808</v>
      </c>
      <c r="B43" s="5"/>
      <c r="C43" s="5"/>
    </row>
    <row r="44" spans="1:3" x14ac:dyDescent="0.25">
      <c r="A44" s="3">
        <f t="shared" si="0"/>
        <v>42809</v>
      </c>
      <c r="B44" s="5"/>
      <c r="C44" s="5"/>
    </row>
    <row r="45" spans="1:3" x14ac:dyDescent="0.25">
      <c r="A45" s="3">
        <f t="shared" si="0"/>
        <v>42810</v>
      </c>
      <c r="B45" s="5"/>
      <c r="C45" s="5"/>
    </row>
    <row r="46" spans="1:3" x14ac:dyDescent="0.25">
      <c r="A46" s="3">
        <f t="shared" si="0"/>
        <v>42811</v>
      </c>
      <c r="B46" s="5"/>
      <c r="C46" s="5"/>
    </row>
    <row r="47" spans="1:3" x14ac:dyDescent="0.25">
      <c r="A47" s="3">
        <f t="shared" si="0"/>
        <v>42812</v>
      </c>
      <c r="B47" s="5"/>
      <c r="C47" s="5"/>
    </row>
    <row r="48" spans="1:3" x14ac:dyDescent="0.25">
      <c r="A48" s="3">
        <f t="shared" si="0"/>
        <v>42813</v>
      </c>
      <c r="B48" s="5"/>
      <c r="C48" s="5"/>
    </row>
    <row r="49" spans="1:3" x14ac:dyDescent="0.25">
      <c r="A49" s="3">
        <f t="shared" si="0"/>
        <v>42814</v>
      </c>
      <c r="B49" s="5"/>
      <c r="C49" s="5"/>
    </row>
    <row r="50" spans="1:3" x14ac:dyDescent="0.25">
      <c r="A50" s="3">
        <f t="shared" si="0"/>
        <v>42815</v>
      </c>
      <c r="B50" s="5"/>
    </row>
    <row r="51" spans="1:3" x14ac:dyDescent="0.25">
      <c r="A51" s="3">
        <f t="shared" si="0"/>
        <v>42816</v>
      </c>
      <c r="B51" s="5"/>
    </row>
    <row r="52" spans="1:3" x14ac:dyDescent="0.25">
      <c r="A52" s="3">
        <f t="shared" si="0"/>
        <v>42817</v>
      </c>
      <c r="B52" s="5"/>
    </row>
    <row r="53" spans="1:3" x14ac:dyDescent="0.25">
      <c r="A53" s="3">
        <f t="shared" si="0"/>
        <v>42818</v>
      </c>
      <c r="B53" s="5"/>
    </row>
    <row r="54" spans="1:3" x14ac:dyDescent="0.25">
      <c r="A54" s="3">
        <f t="shared" si="0"/>
        <v>42819</v>
      </c>
      <c r="B54" s="5"/>
    </row>
    <row r="55" spans="1:3" x14ac:dyDescent="0.25">
      <c r="A55" s="3">
        <f t="shared" si="0"/>
        <v>42820</v>
      </c>
      <c r="B55" s="5"/>
    </row>
    <row r="56" spans="1:3" x14ac:dyDescent="0.25">
      <c r="A56" s="3">
        <f t="shared" si="0"/>
        <v>42821</v>
      </c>
      <c r="B56" s="5"/>
    </row>
    <row r="57" spans="1:3" x14ac:dyDescent="0.25">
      <c r="A57" s="3">
        <f t="shared" si="0"/>
        <v>42822</v>
      </c>
      <c r="B57" s="5"/>
    </row>
    <row r="58" spans="1:3" x14ac:dyDescent="0.25">
      <c r="A58" s="3">
        <f t="shared" si="0"/>
        <v>42823</v>
      </c>
      <c r="B58" s="5"/>
    </row>
    <row r="59" spans="1:3" x14ac:dyDescent="0.25">
      <c r="A59" s="3">
        <f t="shared" si="0"/>
        <v>42824</v>
      </c>
      <c r="B59" s="5"/>
    </row>
    <row r="60" spans="1:3" x14ac:dyDescent="0.25">
      <c r="A60" s="3">
        <f t="shared" si="0"/>
        <v>42825</v>
      </c>
      <c r="B60" s="5"/>
    </row>
    <row r="61" spans="1:3" x14ac:dyDescent="0.25">
      <c r="A61" s="3">
        <f t="shared" si="0"/>
        <v>42826</v>
      </c>
      <c r="B61" s="5"/>
    </row>
    <row r="62" spans="1:3" x14ac:dyDescent="0.25">
      <c r="A62" s="3">
        <f t="shared" si="0"/>
        <v>42827</v>
      </c>
      <c r="B62" s="5"/>
    </row>
    <row r="63" spans="1:3" x14ac:dyDescent="0.25">
      <c r="A63" s="3">
        <f t="shared" si="0"/>
        <v>42828</v>
      </c>
      <c r="B63" s="5"/>
    </row>
    <row r="64" spans="1:3" x14ac:dyDescent="0.25">
      <c r="A64" s="3">
        <f t="shared" si="0"/>
        <v>42829</v>
      </c>
      <c r="B64" s="5"/>
    </row>
    <row r="65" spans="1:2" x14ac:dyDescent="0.25">
      <c r="A65" s="3">
        <f t="shared" si="0"/>
        <v>42830</v>
      </c>
      <c r="B65" s="5"/>
    </row>
    <row r="66" spans="1:2" x14ac:dyDescent="0.25">
      <c r="A66" s="3">
        <f t="shared" si="0"/>
        <v>42831</v>
      </c>
      <c r="B66" s="5"/>
    </row>
    <row r="67" spans="1:2" x14ac:dyDescent="0.25">
      <c r="A67" s="3">
        <f t="shared" si="0"/>
        <v>42832</v>
      </c>
      <c r="B67" s="5"/>
    </row>
    <row r="68" spans="1:2" x14ac:dyDescent="0.25">
      <c r="A68" s="3">
        <f t="shared" ref="A68:A92" si="1">A67+1</f>
        <v>42833</v>
      </c>
      <c r="B68" s="5"/>
    </row>
    <row r="69" spans="1:2" x14ac:dyDescent="0.25">
      <c r="A69" s="3">
        <f t="shared" si="1"/>
        <v>42834</v>
      </c>
      <c r="B69" s="5"/>
    </row>
    <row r="70" spans="1:2" x14ac:dyDescent="0.25">
      <c r="A70" s="3">
        <f t="shared" si="1"/>
        <v>42835</v>
      </c>
      <c r="B70" s="5"/>
    </row>
    <row r="71" spans="1:2" x14ac:dyDescent="0.25">
      <c r="A71" s="3">
        <f t="shared" si="1"/>
        <v>42836</v>
      </c>
      <c r="B71" s="5"/>
    </row>
    <row r="72" spans="1:2" x14ac:dyDescent="0.25">
      <c r="A72" s="3">
        <f t="shared" si="1"/>
        <v>42837</v>
      </c>
      <c r="B72" s="5"/>
    </row>
    <row r="73" spans="1:2" x14ac:dyDescent="0.25">
      <c r="A73" s="3">
        <f t="shared" si="1"/>
        <v>42838</v>
      </c>
      <c r="B73" s="5"/>
    </row>
    <row r="74" spans="1:2" x14ac:dyDescent="0.25">
      <c r="A74" s="3">
        <f t="shared" si="1"/>
        <v>42839</v>
      </c>
      <c r="B74" s="5"/>
    </row>
    <row r="75" spans="1:2" x14ac:dyDescent="0.25">
      <c r="A75" s="3">
        <f t="shared" si="1"/>
        <v>42840</v>
      </c>
      <c r="B75" s="5"/>
    </row>
    <row r="76" spans="1:2" x14ac:dyDescent="0.25">
      <c r="A76" s="3">
        <f t="shared" si="1"/>
        <v>42841</v>
      </c>
      <c r="B76" s="5"/>
    </row>
    <row r="77" spans="1:2" x14ac:dyDescent="0.25">
      <c r="A77" s="3">
        <f t="shared" si="1"/>
        <v>42842</v>
      </c>
      <c r="B77" s="5"/>
    </row>
    <row r="78" spans="1:2" x14ac:dyDescent="0.25">
      <c r="A78" s="3">
        <f t="shared" si="1"/>
        <v>42843</v>
      </c>
      <c r="B78" s="5"/>
    </row>
    <row r="79" spans="1:2" x14ac:dyDescent="0.25">
      <c r="A79" s="3">
        <f t="shared" si="1"/>
        <v>42844</v>
      </c>
      <c r="B79" s="5"/>
    </row>
    <row r="80" spans="1:2" x14ac:dyDescent="0.25">
      <c r="A80" s="3">
        <f t="shared" si="1"/>
        <v>42845</v>
      </c>
      <c r="B80" s="5"/>
    </row>
    <row r="81" spans="1:2" x14ac:dyDescent="0.25">
      <c r="A81" s="3">
        <f t="shared" si="1"/>
        <v>42846</v>
      </c>
      <c r="B81" s="5"/>
    </row>
    <row r="82" spans="1:2" x14ac:dyDescent="0.25">
      <c r="A82" s="3">
        <f t="shared" si="1"/>
        <v>42847</v>
      </c>
      <c r="B82" s="5"/>
    </row>
    <row r="83" spans="1:2" x14ac:dyDescent="0.25">
      <c r="A83" s="3">
        <f t="shared" si="1"/>
        <v>42848</v>
      </c>
      <c r="B83" s="5"/>
    </row>
    <row r="84" spans="1:2" x14ac:dyDescent="0.25">
      <c r="A84" s="3">
        <f t="shared" si="1"/>
        <v>42849</v>
      </c>
      <c r="B84" s="5"/>
    </row>
    <row r="85" spans="1:2" x14ac:dyDescent="0.25">
      <c r="A85" s="3">
        <f t="shared" si="1"/>
        <v>42850</v>
      </c>
      <c r="B85" s="5"/>
    </row>
    <row r="86" spans="1:2" x14ac:dyDescent="0.25">
      <c r="A86" s="3">
        <f t="shared" si="1"/>
        <v>42851</v>
      </c>
      <c r="B86" s="5"/>
    </row>
    <row r="87" spans="1:2" x14ac:dyDescent="0.25">
      <c r="A87" s="3">
        <f t="shared" si="1"/>
        <v>42852</v>
      </c>
      <c r="B87" s="5"/>
    </row>
    <row r="88" spans="1:2" x14ac:dyDescent="0.25">
      <c r="A88" s="3">
        <f t="shared" si="1"/>
        <v>42853</v>
      </c>
      <c r="B88" s="5"/>
    </row>
    <row r="89" spans="1:2" x14ac:dyDescent="0.25">
      <c r="A89" s="3">
        <f t="shared" si="1"/>
        <v>42854</v>
      </c>
      <c r="B89" s="5"/>
    </row>
    <row r="90" spans="1:2" x14ac:dyDescent="0.25">
      <c r="A90" s="3">
        <f t="shared" si="1"/>
        <v>42855</v>
      </c>
      <c r="B90" s="5"/>
    </row>
    <row r="91" spans="1:2" x14ac:dyDescent="0.25">
      <c r="A91" s="3">
        <f t="shared" si="1"/>
        <v>42856</v>
      </c>
      <c r="B91" s="5"/>
    </row>
    <row r="92" spans="1:2" x14ac:dyDescent="0.25">
      <c r="A92" s="3">
        <f t="shared" si="1"/>
        <v>42857</v>
      </c>
      <c r="B92" s="5"/>
    </row>
    <row r="93" spans="1:2" x14ac:dyDescent="0.25">
      <c r="A93" s="5"/>
    </row>
    <row r="94" spans="1:2" x14ac:dyDescent="0.25">
      <c r="A94" s="5"/>
    </row>
    <row r="95" spans="1:2" x14ac:dyDescent="0.25">
      <c r="A95" s="5"/>
    </row>
  </sheetData>
  <conditionalFormatting sqref="A2:A92">
    <cfRule type="expression" dxfId="21" priority="1">
      <formula>A2=TODAY()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3"/>
  <sheetViews>
    <sheetView zoomScale="136" zoomScaleNormal="136" workbookViewId="0">
      <selection activeCell="E4" sqref="E4"/>
    </sheetView>
  </sheetViews>
  <sheetFormatPr defaultRowHeight="15" x14ac:dyDescent="0.25"/>
  <sheetData>
    <row r="1" spans="1:4" x14ac:dyDescent="0.25">
      <c r="A1" s="11" t="s">
        <v>39</v>
      </c>
      <c r="B1" s="11" t="s">
        <v>40</v>
      </c>
      <c r="C1" s="11" t="s">
        <v>41</v>
      </c>
    </row>
    <row r="2" spans="1:4" x14ac:dyDescent="0.25">
      <c r="A2" s="12"/>
      <c r="B2" s="13"/>
      <c r="C2" s="13"/>
      <c r="D2" t="b">
        <f>AND($A2="Done",$B2=0%,$C2=100%)</f>
        <v>0</v>
      </c>
    </row>
    <row r="3" spans="1:4" x14ac:dyDescent="0.25">
      <c r="A3" s="12"/>
      <c r="B3" s="14"/>
      <c r="C3" s="13"/>
    </row>
    <row r="4" spans="1:4" x14ac:dyDescent="0.25">
      <c r="A4" s="12" t="s">
        <v>58</v>
      </c>
      <c r="B4" s="14">
        <v>0</v>
      </c>
      <c r="C4" s="13">
        <v>1</v>
      </c>
    </row>
    <row r="5" spans="1:4" x14ac:dyDescent="0.25">
      <c r="A5" s="12"/>
      <c r="B5" s="14"/>
      <c r="C5" s="13"/>
    </row>
    <row r="6" spans="1:4" x14ac:dyDescent="0.25">
      <c r="A6" s="12"/>
      <c r="B6" s="14"/>
      <c r="C6" s="13"/>
    </row>
    <row r="7" spans="1:4" x14ac:dyDescent="0.25">
      <c r="A7" s="12" t="s">
        <v>58</v>
      </c>
      <c r="B7" s="12">
        <v>0</v>
      </c>
      <c r="C7" s="13">
        <v>1</v>
      </c>
    </row>
    <row r="8" spans="1:4" x14ac:dyDescent="0.25">
      <c r="A8" s="12"/>
      <c r="B8" s="14"/>
      <c r="C8" s="13"/>
    </row>
    <row r="9" spans="1:4" x14ac:dyDescent="0.25">
      <c r="A9" s="12"/>
      <c r="B9" s="14"/>
      <c r="C9" s="13"/>
    </row>
    <row r="10" spans="1:4" x14ac:dyDescent="0.25">
      <c r="A10" s="12"/>
      <c r="B10" s="14"/>
      <c r="C10" s="13"/>
    </row>
    <row r="11" spans="1:4" x14ac:dyDescent="0.25">
      <c r="A11" s="12"/>
      <c r="B11" s="14"/>
      <c r="C11" s="13"/>
    </row>
    <row r="12" spans="1:4" x14ac:dyDescent="0.25">
      <c r="A12" s="12"/>
      <c r="B12" s="12"/>
      <c r="C12" s="12"/>
    </row>
    <row r="13" spans="1:4" x14ac:dyDescent="0.25">
      <c r="A13" s="12"/>
      <c r="B13" s="12"/>
      <c r="C13" s="12"/>
    </row>
  </sheetData>
  <conditionalFormatting sqref="A2:C13">
    <cfRule type="expression" dxfId="20" priority="1">
      <formula>AND($A2="Done",$B2=0%,$C2=100%)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3"/>
  <sheetViews>
    <sheetView zoomScale="110" zoomScaleNormal="110" workbookViewId="0">
      <selection activeCell="E2" sqref="E2:K18"/>
    </sheetView>
  </sheetViews>
  <sheetFormatPr defaultRowHeight="15" x14ac:dyDescent="0.25"/>
  <sheetData>
    <row r="1" spans="1:2" x14ac:dyDescent="0.25">
      <c r="A1" t="b">
        <f>MOD(ROW(),2)=0</f>
        <v>0</v>
      </c>
      <c r="B1" t="b">
        <f>MOD(ROW(),2)=1</f>
        <v>1</v>
      </c>
    </row>
    <row r="2" spans="1:2" x14ac:dyDescent="0.25">
      <c r="A2" t="b">
        <f t="shared" ref="A2:A13" si="0">MOD(ROW(),2)=0</f>
        <v>1</v>
      </c>
    </row>
    <row r="3" spans="1:2" x14ac:dyDescent="0.25">
      <c r="A3" t="b">
        <f t="shared" si="0"/>
        <v>0</v>
      </c>
    </row>
    <row r="4" spans="1:2" x14ac:dyDescent="0.25">
      <c r="A4" t="b">
        <f t="shared" si="0"/>
        <v>1</v>
      </c>
    </row>
    <row r="5" spans="1:2" x14ac:dyDescent="0.25">
      <c r="A5" t="b">
        <f t="shared" si="0"/>
        <v>0</v>
      </c>
    </row>
    <row r="6" spans="1:2" x14ac:dyDescent="0.25">
      <c r="A6" t="b">
        <f t="shared" si="0"/>
        <v>1</v>
      </c>
    </row>
    <row r="7" spans="1:2" x14ac:dyDescent="0.25">
      <c r="A7" t="b">
        <f t="shared" si="0"/>
        <v>0</v>
      </c>
    </row>
    <row r="8" spans="1:2" x14ac:dyDescent="0.25">
      <c r="A8" t="b">
        <f t="shared" si="0"/>
        <v>1</v>
      </c>
    </row>
    <row r="9" spans="1:2" x14ac:dyDescent="0.25">
      <c r="A9" t="b">
        <f t="shared" si="0"/>
        <v>0</v>
      </c>
    </row>
    <row r="10" spans="1:2" x14ac:dyDescent="0.25">
      <c r="A10" t="b">
        <f t="shared" si="0"/>
        <v>1</v>
      </c>
    </row>
    <row r="11" spans="1:2" x14ac:dyDescent="0.25">
      <c r="A11" t="b">
        <f t="shared" si="0"/>
        <v>0</v>
      </c>
    </row>
    <row r="12" spans="1:2" x14ac:dyDescent="0.25">
      <c r="A12" t="b">
        <f t="shared" si="0"/>
        <v>1</v>
      </c>
    </row>
    <row r="13" spans="1:2" x14ac:dyDescent="0.25">
      <c r="A13" t="b">
        <f t="shared" si="0"/>
        <v>0</v>
      </c>
    </row>
  </sheetData>
  <conditionalFormatting sqref="A1:Q19">
    <cfRule type="expression" dxfId="17" priority="1">
      <formula>MOD(ROW(),2)=1</formula>
    </cfRule>
    <cfRule type="expression" dxfId="16" priority="2">
      <formula>MOD(ROW(),2)=0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7"/>
  <sheetViews>
    <sheetView zoomScale="120" zoomScaleNormal="120" workbookViewId="0">
      <selection activeCell="H13" sqref="H13"/>
    </sheetView>
  </sheetViews>
  <sheetFormatPr defaultRowHeight="15" x14ac:dyDescent="0.25"/>
  <sheetData>
    <row r="1" spans="1:2" x14ac:dyDescent="0.25">
      <c r="A1" t="b">
        <f>EVEN(ROW())=ROW()</f>
        <v>0</v>
      </c>
      <c r="B1" t="b">
        <f>ODD(ROW())=ROW()</f>
        <v>1</v>
      </c>
    </row>
    <row r="2" spans="1:2" x14ac:dyDescent="0.25">
      <c r="A2" t="b">
        <f t="shared" ref="A2:A7" si="0">EVEN(ROW())=ROW()</f>
        <v>1</v>
      </c>
    </row>
    <row r="3" spans="1:2" x14ac:dyDescent="0.25">
      <c r="A3" t="b">
        <f t="shared" si="0"/>
        <v>0</v>
      </c>
    </row>
    <row r="4" spans="1:2" x14ac:dyDescent="0.25">
      <c r="A4" t="b">
        <f t="shared" si="0"/>
        <v>1</v>
      </c>
    </row>
    <row r="5" spans="1:2" x14ac:dyDescent="0.25">
      <c r="A5" t="b">
        <f t="shared" si="0"/>
        <v>0</v>
      </c>
    </row>
    <row r="6" spans="1:2" x14ac:dyDescent="0.25">
      <c r="A6" t="b">
        <f t="shared" si="0"/>
        <v>1</v>
      </c>
    </row>
    <row r="7" spans="1:2" x14ac:dyDescent="0.25">
      <c r="A7" t="b">
        <f t="shared" si="0"/>
        <v>0</v>
      </c>
    </row>
  </sheetData>
  <conditionalFormatting sqref="A1:P20">
    <cfRule type="expression" dxfId="13" priority="2">
      <formula>EVEN(ROW())=ROW()</formula>
    </cfRule>
  </conditionalFormatting>
  <conditionalFormatting sqref="A1:P19">
    <cfRule type="expression" dxfId="12" priority="1">
      <formula>ODD(ROW())=ROW()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8"/>
  <sheetViews>
    <sheetView workbookViewId="0">
      <selection activeCell="Q1" sqref="M1:Q15"/>
    </sheetView>
  </sheetViews>
  <sheetFormatPr defaultRowHeight="15" x14ac:dyDescent="0.25"/>
  <cols>
    <col min="2" max="10" width="8.7109375" bestFit="1" customWidth="1"/>
    <col min="11" max="31" width="9.7109375" bestFit="1" customWidth="1"/>
  </cols>
  <sheetData>
    <row r="1" spans="1:31" x14ac:dyDescent="0.25">
      <c r="A1" s="1" t="s">
        <v>17</v>
      </c>
      <c r="B1" s="4">
        <v>43709</v>
      </c>
      <c r="C1" s="4">
        <v>43710</v>
      </c>
      <c r="D1" s="4">
        <v>43711</v>
      </c>
      <c r="E1" s="4">
        <v>43712</v>
      </c>
      <c r="F1" s="4">
        <v>43713</v>
      </c>
      <c r="G1" s="4">
        <v>43714</v>
      </c>
      <c r="H1" s="4">
        <v>43715</v>
      </c>
      <c r="I1" s="4">
        <v>43716</v>
      </c>
      <c r="J1" s="4">
        <v>43717</v>
      </c>
      <c r="K1" s="4">
        <v>43718</v>
      </c>
      <c r="L1" s="4">
        <v>43719</v>
      </c>
      <c r="M1" s="4">
        <v>43720</v>
      </c>
      <c r="N1" s="4">
        <v>43721</v>
      </c>
      <c r="O1" s="4">
        <v>43722</v>
      </c>
      <c r="P1" s="4">
        <v>43723</v>
      </c>
      <c r="Q1" s="4">
        <v>43724</v>
      </c>
      <c r="R1" s="4">
        <v>43725</v>
      </c>
      <c r="S1" s="4">
        <v>43726</v>
      </c>
      <c r="T1" s="4">
        <v>43727</v>
      </c>
      <c r="U1" s="4">
        <v>43728</v>
      </c>
      <c r="V1" s="4">
        <v>43729</v>
      </c>
      <c r="W1" s="4">
        <v>43730</v>
      </c>
      <c r="X1" s="4">
        <v>43731</v>
      </c>
      <c r="Y1" s="4">
        <v>43732</v>
      </c>
      <c r="Z1" s="4">
        <v>43733</v>
      </c>
      <c r="AA1" s="4">
        <v>43734</v>
      </c>
      <c r="AB1" s="4">
        <v>43735</v>
      </c>
      <c r="AC1" s="4">
        <v>43736</v>
      </c>
      <c r="AD1" s="4">
        <v>43737</v>
      </c>
      <c r="AE1" s="4">
        <v>43738</v>
      </c>
    </row>
    <row r="2" spans="1:31" x14ac:dyDescent="0.25">
      <c r="A2" s="1"/>
      <c r="B2" s="1" t="b">
        <f>WEEKDAY(B$1,2)&gt;5</f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1"/>
      <c r="B3" s="1" t="str">
        <f>TEXT(B1,"DDD")</f>
        <v>Sun</v>
      </c>
      <c r="C3" s="1" t="str">
        <f t="shared" ref="C3:P3" si="0">TEXT(C1,"DDD")</f>
        <v>Mon</v>
      </c>
      <c r="D3" s="1" t="str">
        <f t="shared" si="0"/>
        <v>Tue</v>
      </c>
      <c r="E3" s="1" t="str">
        <f t="shared" si="0"/>
        <v>Wed</v>
      </c>
      <c r="F3" s="1" t="str">
        <f t="shared" si="0"/>
        <v>Thu</v>
      </c>
      <c r="G3" s="1" t="str">
        <f t="shared" si="0"/>
        <v>Fri</v>
      </c>
      <c r="H3" s="1" t="str">
        <f t="shared" si="0"/>
        <v>Sat</v>
      </c>
      <c r="I3" s="1" t="str">
        <f t="shared" si="0"/>
        <v>Sun</v>
      </c>
      <c r="J3" s="1" t="str">
        <f t="shared" si="0"/>
        <v>Mon</v>
      </c>
      <c r="K3" s="1" t="str">
        <f t="shared" si="0"/>
        <v>Tue</v>
      </c>
      <c r="L3" s="1" t="str">
        <f t="shared" si="0"/>
        <v>Wed</v>
      </c>
      <c r="M3" s="1" t="str">
        <f t="shared" si="0"/>
        <v>Thu</v>
      </c>
      <c r="N3" s="1" t="str">
        <f t="shared" si="0"/>
        <v>Fri</v>
      </c>
      <c r="O3" s="1" t="str">
        <f t="shared" si="0"/>
        <v>Sat</v>
      </c>
      <c r="P3" s="1" t="str">
        <f t="shared" si="0"/>
        <v>Sun</v>
      </c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</sheetData>
  <conditionalFormatting sqref="B1:AE18">
    <cfRule type="expression" dxfId="11" priority="1">
      <formula>WEEKDAY(B$1,2)&gt;5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G16"/>
  <sheetViews>
    <sheetView zoomScale="140" zoomScaleNormal="140" workbookViewId="0">
      <selection activeCell="C3" sqref="C3:C16"/>
    </sheetView>
  </sheetViews>
  <sheetFormatPr defaultRowHeight="15" x14ac:dyDescent="0.25"/>
  <sheetData>
    <row r="1" spans="3:7" x14ac:dyDescent="0.25">
      <c r="F1" t="b">
        <v>1</v>
      </c>
      <c r="G1" t="b">
        <v>1</v>
      </c>
    </row>
    <row r="3" spans="3:7" x14ac:dyDescent="0.25">
      <c r="C3" s="1" t="s">
        <v>59</v>
      </c>
      <c r="D3" t="b">
        <f>AND(COUNTIF($C$3:$C$16,$C$3:$C$16)=1,$F$1)</f>
        <v>0</v>
      </c>
      <c r="E3" t="b">
        <f>AND(COUNTIF($C$3:$C$16,$C$3:$C$16)&gt;1,$G$1)</f>
        <v>1</v>
      </c>
    </row>
    <row r="4" spans="3:7" x14ac:dyDescent="0.25">
      <c r="C4" s="1" t="s">
        <v>60</v>
      </c>
      <c r="D4" t="b">
        <f t="shared" ref="D4:D16" si="0">AND(COUNTIF($C$3:$C$16,$C$3:$C$16)=1,$F$1)</f>
        <v>0</v>
      </c>
      <c r="E4" t="b">
        <f t="shared" ref="E4:E16" si="1">AND(COUNTIF($C$3:$C$16,$C$3:$C$16)&gt;1,$G$1)</f>
        <v>1</v>
      </c>
    </row>
    <row r="5" spans="3:7" x14ac:dyDescent="0.25">
      <c r="C5" s="1" t="s">
        <v>61</v>
      </c>
      <c r="D5" t="b">
        <f t="shared" si="0"/>
        <v>0</v>
      </c>
      <c r="E5" t="b">
        <f t="shared" si="1"/>
        <v>1</v>
      </c>
    </row>
    <row r="6" spans="3:7" x14ac:dyDescent="0.25">
      <c r="C6" s="1" t="s">
        <v>62</v>
      </c>
      <c r="D6" t="b">
        <f t="shared" si="0"/>
        <v>1</v>
      </c>
      <c r="E6" t="b">
        <f t="shared" si="1"/>
        <v>0</v>
      </c>
    </row>
    <row r="7" spans="3:7" x14ac:dyDescent="0.25">
      <c r="C7" s="1" t="s">
        <v>59</v>
      </c>
      <c r="D7" t="b">
        <f t="shared" si="0"/>
        <v>0</v>
      </c>
      <c r="E7" t="b">
        <f t="shared" si="1"/>
        <v>1</v>
      </c>
    </row>
    <row r="8" spans="3:7" x14ac:dyDescent="0.25">
      <c r="C8" s="1" t="s">
        <v>59</v>
      </c>
      <c r="D8" t="b">
        <f t="shared" si="0"/>
        <v>0</v>
      </c>
      <c r="E8" t="b">
        <f t="shared" si="1"/>
        <v>1</v>
      </c>
    </row>
    <row r="9" spans="3:7" x14ac:dyDescent="0.25">
      <c r="C9" s="1" t="s">
        <v>60</v>
      </c>
      <c r="D9" t="b">
        <f t="shared" si="0"/>
        <v>0</v>
      </c>
      <c r="E9" t="b">
        <f t="shared" si="1"/>
        <v>1</v>
      </c>
    </row>
    <row r="10" spans="3:7" x14ac:dyDescent="0.25">
      <c r="C10" s="1" t="s">
        <v>63</v>
      </c>
      <c r="D10" t="b">
        <f t="shared" si="0"/>
        <v>1</v>
      </c>
      <c r="E10" t="b">
        <f t="shared" si="1"/>
        <v>0</v>
      </c>
    </row>
    <row r="11" spans="3:7" x14ac:dyDescent="0.25">
      <c r="C11" s="1" t="s">
        <v>64</v>
      </c>
      <c r="D11" t="b">
        <f t="shared" si="0"/>
        <v>1</v>
      </c>
      <c r="E11" t="b">
        <f t="shared" si="1"/>
        <v>0</v>
      </c>
    </row>
    <row r="12" spans="3:7" x14ac:dyDescent="0.25">
      <c r="C12" s="1" t="s">
        <v>65</v>
      </c>
      <c r="D12" t="b">
        <f t="shared" si="0"/>
        <v>1</v>
      </c>
      <c r="E12" t="b">
        <f t="shared" si="1"/>
        <v>0</v>
      </c>
    </row>
    <row r="13" spans="3:7" x14ac:dyDescent="0.25">
      <c r="C13" s="1" t="s">
        <v>61</v>
      </c>
      <c r="D13" t="b">
        <f t="shared" si="0"/>
        <v>0</v>
      </c>
      <c r="E13" t="b">
        <f t="shared" si="1"/>
        <v>1</v>
      </c>
    </row>
    <row r="14" spans="3:7" x14ac:dyDescent="0.25">
      <c r="C14" s="1" t="s">
        <v>66</v>
      </c>
      <c r="D14" t="b">
        <f t="shared" si="0"/>
        <v>1</v>
      </c>
      <c r="E14" t="b">
        <f t="shared" si="1"/>
        <v>0</v>
      </c>
    </row>
    <row r="15" spans="3:7" x14ac:dyDescent="0.25">
      <c r="C15" s="1" t="s">
        <v>67</v>
      </c>
      <c r="D15" t="b">
        <f t="shared" si="0"/>
        <v>0</v>
      </c>
      <c r="E15" t="b">
        <f t="shared" si="1"/>
        <v>1</v>
      </c>
    </row>
    <row r="16" spans="3:7" x14ac:dyDescent="0.25">
      <c r="C16" s="1" t="s">
        <v>67</v>
      </c>
      <c r="D16" t="b">
        <f t="shared" si="0"/>
        <v>0</v>
      </c>
      <c r="E16" t="b">
        <f t="shared" si="1"/>
        <v>1</v>
      </c>
    </row>
  </sheetData>
  <conditionalFormatting sqref="C3:C16">
    <cfRule type="expression" dxfId="7" priority="1">
      <formula>AND(COUNTIF($C$3:$C$16,$C$3:$C$16)=1,$F$1)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Group Box 1">
              <controlPr defaultSize="0" autoFill="0" autoPict="0">
                <anchor moveWithCells="1">
                  <from>
                    <xdr:col>8</xdr:col>
                    <xdr:colOff>219075</xdr:colOff>
                    <xdr:row>5</xdr:row>
                    <xdr:rowOff>66675</xdr:rowOff>
                  </from>
                  <to>
                    <xdr:col>11</xdr:col>
                    <xdr:colOff>85725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8</xdr:col>
                    <xdr:colOff>552450</xdr:colOff>
                    <xdr:row>5</xdr:row>
                    <xdr:rowOff>171450</xdr:rowOff>
                  </from>
                  <to>
                    <xdr:col>10</xdr:col>
                    <xdr:colOff>371475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Check Box 3">
              <controlPr defaultSize="0" autoFill="0" autoLine="0" autoPict="0">
                <anchor moveWithCells="1">
                  <from>
                    <xdr:col>8</xdr:col>
                    <xdr:colOff>552450</xdr:colOff>
                    <xdr:row>8</xdr:row>
                    <xdr:rowOff>171450</xdr:rowOff>
                  </from>
                  <to>
                    <xdr:col>10</xdr:col>
                    <xdr:colOff>371475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00"/>
  <sheetViews>
    <sheetView tabSelected="1" zoomScale="160" zoomScaleNormal="160" workbookViewId="0">
      <selection activeCell="E8" sqref="E8:F10"/>
    </sheetView>
  </sheetViews>
  <sheetFormatPr defaultRowHeight="15" x14ac:dyDescent="0.25"/>
  <cols>
    <col min="5" max="5" width="14.28515625" bestFit="1" customWidth="1"/>
  </cols>
  <sheetData>
    <row r="1" spans="1:6" x14ac:dyDescent="0.25">
      <c r="A1" s="2" t="s">
        <v>42</v>
      </c>
    </row>
    <row r="2" spans="1:6" x14ac:dyDescent="0.25">
      <c r="A2" s="2">
        <v>65</v>
      </c>
      <c r="B2" t="b">
        <f>AND(A2&gt;=33,A2&lt;45)</f>
        <v>0</v>
      </c>
    </row>
    <row r="3" spans="1:6" x14ac:dyDescent="0.25">
      <c r="A3" s="2">
        <v>22</v>
      </c>
    </row>
    <row r="4" spans="1:6" x14ac:dyDescent="0.25">
      <c r="A4" s="2">
        <v>6</v>
      </c>
    </row>
    <row r="5" spans="1:6" x14ac:dyDescent="0.25">
      <c r="A5" s="2">
        <v>74</v>
      </c>
    </row>
    <row r="6" spans="1:6" x14ac:dyDescent="0.25">
      <c r="A6" s="2">
        <v>30</v>
      </c>
      <c r="E6" t="s">
        <v>56</v>
      </c>
      <c r="F6" t="s">
        <v>43</v>
      </c>
    </row>
    <row r="7" spans="1:6" x14ac:dyDescent="0.25">
      <c r="A7" s="2">
        <v>43</v>
      </c>
      <c r="E7" t="s">
        <v>44</v>
      </c>
      <c r="F7" t="s">
        <v>45</v>
      </c>
    </row>
    <row r="8" spans="1:6" x14ac:dyDescent="0.25">
      <c r="A8" s="2">
        <v>89</v>
      </c>
      <c r="E8" s="8" t="s">
        <v>46</v>
      </c>
      <c r="F8" s="8" t="s">
        <v>47</v>
      </c>
    </row>
    <row r="9" spans="1:6" x14ac:dyDescent="0.25">
      <c r="A9" s="2">
        <v>27</v>
      </c>
      <c r="E9" s="8" t="s">
        <v>48</v>
      </c>
      <c r="F9" s="8" t="s">
        <v>49</v>
      </c>
    </row>
    <row r="10" spans="1:6" x14ac:dyDescent="0.25">
      <c r="A10" s="2">
        <v>47</v>
      </c>
      <c r="E10" s="8" t="s">
        <v>50</v>
      </c>
      <c r="F10" s="8" t="s">
        <v>51</v>
      </c>
    </row>
    <row r="11" spans="1:6" x14ac:dyDescent="0.25">
      <c r="A11" s="2">
        <v>10</v>
      </c>
    </row>
    <row r="12" spans="1:6" x14ac:dyDescent="0.25">
      <c r="A12" s="2">
        <v>3</v>
      </c>
    </row>
    <row r="13" spans="1:6" x14ac:dyDescent="0.25">
      <c r="A13" s="2">
        <v>39</v>
      </c>
    </row>
    <row r="14" spans="1:6" x14ac:dyDescent="0.25">
      <c r="A14" s="2">
        <v>73</v>
      </c>
    </row>
    <row r="15" spans="1:6" x14ac:dyDescent="0.25">
      <c r="A15" s="2">
        <v>90</v>
      </c>
    </row>
    <row r="16" spans="1:6" x14ac:dyDescent="0.25">
      <c r="A16" s="2">
        <v>43</v>
      </c>
    </row>
    <row r="17" spans="1:1" x14ac:dyDescent="0.25">
      <c r="A17" s="2">
        <v>62</v>
      </c>
    </row>
    <row r="18" spans="1:1" x14ac:dyDescent="0.25">
      <c r="A18" s="2">
        <v>36</v>
      </c>
    </row>
    <row r="19" spans="1:1" x14ac:dyDescent="0.25">
      <c r="A19" s="2">
        <v>36</v>
      </c>
    </row>
    <row r="20" spans="1:1" x14ac:dyDescent="0.25">
      <c r="A20" s="2">
        <v>99</v>
      </c>
    </row>
    <row r="21" spans="1:1" x14ac:dyDescent="0.25">
      <c r="A21" s="2">
        <v>88</v>
      </c>
    </row>
    <row r="22" spans="1:1" x14ac:dyDescent="0.25">
      <c r="A22" s="2">
        <v>15</v>
      </c>
    </row>
    <row r="23" spans="1:1" x14ac:dyDescent="0.25">
      <c r="A23" s="2">
        <v>28</v>
      </c>
    </row>
    <row r="24" spans="1:1" x14ac:dyDescent="0.25">
      <c r="A24" s="2">
        <v>20</v>
      </c>
    </row>
    <row r="25" spans="1:1" x14ac:dyDescent="0.25">
      <c r="A25" s="2">
        <v>87</v>
      </c>
    </row>
    <row r="26" spans="1:1" x14ac:dyDescent="0.25">
      <c r="A26" s="2">
        <v>91</v>
      </c>
    </row>
    <row r="27" spans="1:1" x14ac:dyDescent="0.25">
      <c r="A27" s="2">
        <v>41</v>
      </c>
    </row>
    <row r="28" spans="1:1" x14ac:dyDescent="0.25">
      <c r="A28" s="2">
        <v>72</v>
      </c>
    </row>
    <row r="29" spans="1:1" x14ac:dyDescent="0.25">
      <c r="A29" s="2">
        <v>15</v>
      </c>
    </row>
    <row r="30" spans="1:1" x14ac:dyDescent="0.25">
      <c r="A30" s="2">
        <v>82</v>
      </c>
    </row>
    <row r="31" spans="1:1" x14ac:dyDescent="0.25">
      <c r="A31" s="2">
        <v>57</v>
      </c>
    </row>
    <row r="32" spans="1:1" x14ac:dyDescent="0.25">
      <c r="A32" s="2">
        <v>47</v>
      </c>
    </row>
    <row r="33" spans="1:1" x14ac:dyDescent="0.25">
      <c r="A33" s="2">
        <v>73</v>
      </c>
    </row>
    <row r="34" spans="1:1" x14ac:dyDescent="0.25">
      <c r="A34" s="2">
        <v>58</v>
      </c>
    </row>
    <row r="35" spans="1:1" x14ac:dyDescent="0.25">
      <c r="A35" s="2">
        <v>7</v>
      </c>
    </row>
    <row r="36" spans="1:1" x14ac:dyDescent="0.25">
      <c r="A36" s="2">
        <v>94</v>
      </c>
    </row>
    <row r="37" spans="1:1" x14ac:dyDescent="0.25">
      <c r="A37" s="2">
        <v>97</v>
      </c>
    </row>
    <row r="38" spans="1:1" x14ac:dyDescent="0.25">
      <c r="A38" s="2">
        <v>66</v>
      </c>
    </row>
    <row r="39" spans="1:1" x14ac:dyDescent="0.25">
      <c r="A39" s="2">
        <v>49</v>
      </c>
    </row>
    <row r="40" spans="1:1" x14ac:dyDescent="0.25">
      <c r="A40" s="2">
        <v>41</v>
      </c>
    </row>
    <row r="41" spans="1:1" x14ac:dyDescent="0.25">
      <c r="A41" s="2">
        <v>54</v>
      </c>
    </row>
    <row r="42" spans="1:1" x14ac:dyDescent="0.25">
      <c r="A42" s="2">
        <v>36</v>
      </c>
    </row>
    <row r="43" spans="1:1" x14ac:dyDescent="0.25">
      <c r="A43" s="2">
        <v>89</v>
      </c>
    </row>
    <row r="44" spans="1:1" x14ac:dyDescent="0.25">
      <c r="A44" s="2">
        <v>42</v>
      </c>
    </row>
    <row r="45" spans="1:1" x14ac:dyDescent="0.25">
      <c r="A45" s="2">
        <v>45</v>
      </c>
    </row>
    <row r="46" spans="1:1" x14ac:dyDescent="0.25">
      <c r="A46" s="2">
        <v>23</v>
      </c>
    </row>
    <row r="47" spans="1:1" x14ac:dyDescent="0.25">
      <c r="A47" s="2">
        <v>94</v>
      </c>
    </row>
    <row r="48" spans="1:1" x14ac:dyDescent="0.25">
      <c r="A48" s="2">
        <v>41</v>
      </c>
    </row>
    <row r="49" spans="1:1" x14ac:dyDescent="0.25">
      <c r="A49" s="2">
        <v>34</v>
      </c>
    </row>
    <row r="50" spans="1:1" x14ac:dyDescent="0.25">
      <c r="A50" s="2">
        <v>22</v>
      </c>
    </row>
    <row r="51" spans="1:1" x14ac:dyDescent="0.25">
      <c r="A51" s="2">
        <v>13</v>
      </c>
    </row>
    <row r="52" spans="1:1" x14ac:dyDescent="0.25">
      <c r="A52" s="2">
        <v>35</v>
      </c>
    </row>
    <row r="53" spans="1:1" x14ac:dyDescent="0.25">
      <c r="A53" s="2">
        <v>14</v>
      </c>
    </row>
    <row r="54" spans="1:1" x14ac:dyDescent="0.25">
      <c r="A54" s="2">
        <v>64</v>
      </c>
    </row>
    <row r="55" spans="1:1" x14ac:dyDescent="0.25">
      <c r="A55" s="2">
        <v>31</v>
      </c>
    </row>
    <row r="56" spans="1:1" x14ac:dyDescent="0.25">
      <c r="A56" s="2">
        <v>38</v>
      </c>
    </row>
    <row r="57" spans="1:1" x14ac:dyDescent="0.25">
      <c r="A57" s="2">
        <v>82</v>
      </c>
    </row>
    <row r="58" spans="1:1" x14ac:dyDescent="0.25">
      <c r="A58" s="2">
        <v>89</v>
      </c>
    </row>
    <row r="59" spans="1:1" x14ac:dyDescent="0.25">
      <c r="A59" s="2">
        <v>37</v>
      </c>
    </row>
    <row r="60" spans="1:1" x14ac:dyDescent="0.25">
      <c r="A60" s="2">
        <v>100</v>
      </c>
    </row>
    <row r="61" spans="1:1" x14ac:dyDescent="0.25">
      <c r="A61" s="2">
        <v>35</v>
      </c>
    </row>
    <row r="62" spans="1:1" x14ac:dyDescent="0.25">
      <c r="A62" s="2">
        <v>92</v>
      </c>
    </row>
    <row r="63" spans="1:1" x14ac:dyDescent="0.25">
      <c r="A63" s="2">
        <v>13</v>
      </c>
    </row>
    <row r="64" spans="1:1" x14ac:dyDescent="0.25">
      <c r="A64" s="2">
        <v>78</v>
      </c>
    </row>
    <row r="65" spans="1:1" x14ac:dyDescent="0.25">
      <c r="A65" s="2">
        <v>86</v>
      </c>
    </row>
    <row r="66" spans="1:1" x14ac:dyDescent="0.25">
      <c r="A66" s="2">
        <v>14</v>
      </c>
    </row>
    <row r="67" spans="1:1" x14ac:dyDescent="0.25">
      <c r="A67" s="2">
        <v>57</v>
      </c>
    </row>
    <row r="68" spans="1:1" x14ac:dyDescent="0.25">
      <c r="A68" s="2">
        <v>81</v>
      </c>
    </row>
    <row r="69" spans="1:1" x14ac:dyDescent="0.25">
      <c r="A69" s="2">
        <v>63</v>
      </c>
    </row>
    <row r="70" spans="1:1" x14ac:dyDescent="0.25">
      <c r="A70" s="2">
        <v>66</v>
      </c>
    </row>
    <row r="71" spans="1:1" x14ac:dyDescent="0.25">
      <c r="A71" s="2">
        <v>29</v>
      </c>
    </row>
    <row r="72" spans="1:1" x14ac:dyDescent="0.25">
      <c r="A72" s="2">
        <v>66</v>
      </c>
    </row>
    <row r="73" spans="1:1" x14ac:dyDescent="0.25">
      <c r="A73" s="2">
        <v>28</v>
      </c>
    </row>
    <row r="74" spans="1:1" x14ac:dyDescent="0.25">
      <c r="A74" s="2">
        <v>64</v>
      </c>
    </row>
    <row r="75" spans="1:1" x14ac:dyDescent="0.25">
      <c r="A75" s="2">
        <v>83</v>
      </c>
    </row>
    <row r="76" spans="1:1" x14ac:dyDescent="0.25">
      <c r="A76" s="2">
        <v>9</v>
      </c>
    </row>
    <row r="77" spans="1:1" x14ac:dyDescent="0.25">
      <c r="A77" s="2">
        <v>52</v>
      </c>
    </row>
    <row r="78" spans="1:1" x14ac:dyDescent="0.25">
      <c r="A78" s="2">
        <v>65</v>
      </c>
    </row>
    <row r="79" spans="1:1" x14ac:dyDescent="0.25">
      <c r="A79" s="2">
        <v>7</v>
      </c>
    </row>
    <row r="80" spans="1:1" x14ac:dyDescent="0.25">
      <c r="A80" s="2">
        <v>82</v>
      </c>
    </row>
    <row r="81" spans="1:1" x14ac:dyDescent="0.25">
      <c r="A81" s="2">
        <v>31</v>
      </c>
    </row>
    <row r="82" spans="1:1" x14ac:dyDescent="0.25">
      <c r="A82" s="2">
        <v>11</v>
      </c>
    </row>
    <row r="83" spans="1:1" x14ac:dyDescent="0.25">
      <c r="A83" s="2">
        <v>95</v>
      </c>
    </row>
    <row r="84" spans="1:1" x14ac:dyDescent="0.25">
      <c r="A84" s="2">
        <v>58</v>
      </c>
    </row>
    <row r="85" spans="1:1" x14ac:dyDescent="0.25">
      <c r="A85" s="2">
        <v>74</v>
      </c>
    </row>
    <row r="86" spans="1:1" x14ac:dyDescent="0.25">
      <c r="A86" s="2">
        <v>2</v>
      </c>
    </row>
    <row r="87" spans="1:1" x14ac:dyDescent="0.25">
      <c r="A87" s="2">
        <v>4</v>
      </c>
    </row>
    <row r="88" spans="1:1" x14ac:dyDescent="0.25">
      <c r="A88" s="2">
        <v>71</v>
      </c>
    </row>
    <row r="89" spans="1:1" x14ac:dyDescent="0.25">
      <c r="A89" s="2">
        <v>97</v>
      </c>
    </row>
    <row r="90" spans="1:1" x14ac:dyDescent="0.25">
      <c r="A90" s="2">
        <v>64</v>
      </c>
    </row>
    <row r="91" spans="1:1" x14ac:dyDescent="0.25">
      <c r="A91" s="2">
        <v>96</v>
      </c>
    </row>
    <row r="92" spans="1:1" x14ac:dyDescent="0.25">
      <c r="A92" s="2">
        <v>58</v>
      </c>
    </row>
    <row r="93" spans="1:1" x14ac:dyDescent="0.25">
      <c r="A93" s="2">
        <v>33</v>
      </c>
    </row>
    <row r="94" spans="1:1" x14ac:dyDescent="0.25">
      <c r="A94" s="2">
        <v>32</v>
      </c>
    </row>
    <row r="95" spans="1:1" x14ac:dyDescent="0.25">
      <c r="A95" s="2">
        <v>89</v>
      </c>
    </row>
    <row r="96" spans="1:1" x14ac:dyDescent="0.25">
      <c r="A96" s="2">
        <v>79</v>
      </c>
    </row>
    <row r="97" spans="1:1" x14ac:dyDescent="0.25">
      <c r="A97" s="2">
        <v>47</v>
      </c>
    </row>
    <row r="98" spans="1:1" x14ac:dyDescent="0.25">
      <c r="A98" s="2">
        <v>42</v>
      </c>
    </row>
    <row r="99" spans="1:1" x14ac:dyDescent="0.25">
      <c r="A99" s="2">
        <v>12</v>
      </c>
    </row>
    <row r="100" spans="1:1" x14ac:dyDescent="0.25">
      <c r="A100" s="2">
        <v>78</v>
      </c>
    </row>
  </sheetData>
  <conditionalFormatting sqref="A2:A100">
    <cfRule type="expression" dxfId="2" priority="2">
      <formula>AND(A2&gt;0,A2&lt;33)</formula>
    </cfRule>
    <cfRule type="expression" dxfId="1" priority="1">
      <formula>AND(A2&gt;=33,A2&lt;45)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CF-1</vt:lpstr>
      <vt:lpstr>CF-2</vt:lpstr>
      <vt:lpstr>CF-3</vt:lpstr>
      <vt:lpstr>CF-5</vt:lpstr>
      <vt:lpstr>CF-7</vt:lpstr>
      <vt:lpstr>CF-8</vt:lpstr>
      <vt:lpstr>CF-9</vt:lpstr>
      <vt:lpstr>CF-10</vt:lpstr>
      <vt:lpstr>Sheet1</vt:lpstr>
      <vt:lpstr>Sheet2</vt:lpstr>
      <vt:lpstr>HOME TASK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2019-08-31T03:37:59Z</dcterms:modified>
</cp:coreProperties>
</file>