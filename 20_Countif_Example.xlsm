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1.xml" ContentType="application/vnd.openxmlformats-officedocument.spreadsheetml.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embeddings/oleObject1.bin" ContentType="application/vnd.openxmlformats-officedocument.oleObject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75" windowWidth="12120" windowHeight="7680" tabRatio="1000" activeTab="7"/>
  </bookViews>
  <sheets>
    <sheet name="Main " sheetId="16" r:id="rId1"/>
    <sheet name="Countif" sheetId="1" state="veryHidden" r:id="rId2"/>
    <sheet name="Naming Countif" sheetId="14" state="veryHidden" r:id="rId3"/>
    <sheet name="Countif With wild Card" sheetId="2" state="veryHidden" r:id="rId4"/>
    <sheet name="Count Only Number" sheetId="17" state="veryHidden" r:id="rId5"/>
    <sheet name="Arrange in Alphabetical Order" sheetId="5" state="veryHidden" r:id="rId6"/>
    <sheet name="Count only Text" sheetId="3" state="veryHidden" r:id="rId7"/>
    <sheet name="Count Only Unique" sheetId="4" r:id="rId8"/>
    <sheet name="Count Only Error" sheetId="6" state="veryHidden" r:id="rId9"/>
    <sheet name="Count Only Non-Blank Cell" sheetId="7" state="veryHidden" r:id="rId10"/>
    <sheet name="Count Only Blank Cell" sheetId="8" state="veryHidden" r:id="rId11"/>
    <sheet name="Count Greater then Avg" sheetId="9" state="veryHidden" r:id="rId12"/>
    <sheet name="Count Only Date" sheetId="10" state="veryHidden" r:id="rId13"/>
    <sheet name="Color Counting" sheetId="11" state="veryHidden" r:id="rId14"/>
    <sheet name="Count Formula Cell" sheetId="13" state="veryHidden" r:id="rId15"/>
    <sheet name="Count bold Cell" sheetId="15" state="veryHidden" r:id="rId16"/>
    <sheet name="Count Only Italic Cell" sheetId="19" state="veryHidden" r:id="rId17"/>
    <sheet name="Count Only Underline Cell" sheetId="20" state="veryHidden" r:id="rId18"/>
    <sheet name="Count Multiple Criteria" sheetId="18" state="veryHidden" r:id="rId19"/>
    <sheet name="Count Fix Criteria" sheetId="21" state="veryHidden" r:id="rId20"/>
    <sheet name="Countif in VBA" sheetId="12" state="veryHidden" r:id="rId21"/>
  </sheets>
  <definedNames>
    <definedName name="ColorIndex">GET.CELL(63,'Color Counting'!$F1)</definedName>
    <definedName name="IsArray">GET.CELL(49,INDIRECT("RC[-1]",))</definedName>
    <definedName name="IsBold">GET.CELL(20,INDIRECT("RC[-1]",))</definedName>
    <definedName name="IsFormula">GET.CELL(48,INDIRECT("RC[-1]",))</definedName>
    <definedName name="IsItalic">GET.CELL(21,INDIRECT("RC[-1]",))</definedName>
    <definedName name="IsUnderline">GET.CELL(22,INDIRECT("RC[-1]",))</definedName>
    <definedName name="noorain">GET.CELL(48,OFFSET(INDIRECT("RC",FALSE),0,1))</definedName>
    <definedName name="SheetName">Countif!$C$2:$G$13</definedName>
    <definedName name="Sheetsname">Countif!$1:$1048576</definedName>
  </definedNames>
  <calcPr calcId="144525"/>
</workbook>
</file>

<file path=xl/calcChain.xml><?xml version="1.0" encoding="utf-8"?>
<calcChain xmlns="http://schemas.openxmlformats.org/spreadsheetml/2006/main">
  <c r="H19" i="6" l="1"/>
  <c r="J7" i="11" l="1"/>
  <c r="J6" i="11"/>
  <c r="F18" i="17"/>
  <c r="G13" i="1"/>
  <c r="J13" i="21"/>
  <c r="J18" i="18" a="1"/>
  <c r="J18" i="18" s="1"/>
  <c r="F7" i="13"/>
  <c r="I7" i="13"/>
  <c r="I10" i="13" s="1" a="1"/>
  <c r="I10" i="13" s="1"/>
  <c r="I12" i="13" s="1"/>
  <c r="F12" i="13"/>
  <c r="F16" i="13"/>
  <c r="H19" i="10"/>
  <c r="H16" i="9"/>
  <c r="H19" i="8"/>
  <c r="H20" i="7"/>
  <c r="H18" i="6"/>
  <c r="H5" i="5"/>
  <c r="H6" i="5"/>
  <c r="H7" i="5"/>
  <c r="H8" i="5"/>
  <c r="H9" i="5"/>
  <c r="H10" i="5"/>
  <c r="H11" i="5"/>
  <c r="H12" i="5"/>
  <c r="H13" i="5"/>
  <c r="H14" i="5"/>
  <c r="H15" i="5"/>
  <c r="E2" i="4"/>
  <c r="E3" i="4"/>
  <c r="E4" i="4"/>
  <c r="E5" i="4"/>
  <c r="E6" i="4"/>
  <c r="E7" i="4"/>
  <c r="E8" i="4"/>
  <c r="E9" i="4"/>
  <c r="E10" i="4"/>
  <c r="E11" i="4"/>
  <c r="E12" i="4"/>
  <c r="E15" i="4" a="1"/>
  <c r="E15" i="4" s="1"/>
  <c r="D16" i="3"/>
  <c r="F17" i="17" a="1"/>
  <c r="F17" i="17" s="1"/>
  <c r="B11" i="2"/>
  <c r="D13" i="1"/>
  <c r="F6" i="14" s="1"/>
  <c r="G10" i="11"/>
  <c r="G17" i="11"/>
  <c r="G7" i="11"/>
  <c r="G12" i="11"/>
  <c r="G16" i="11"/>
  <c r="G9" i="11"/>
  <c r="G18" i="11"/>
  <c r="G8" i="11"/>
  <c r="G6" i="11"/>
  <c r="G15" i="11"/>
  <c r="G11" i="11"/>
  <c r="G13" i="11"/>
  <c r="G14" i="11"/>
  <c r="H7" i="10"/>
  <c r="J15" i="13"/>
  <c r="G14" i="13"/>
  <c r="J11" i="13"/>
  <c r="G9" i="13"/>
  <c r="K14" i="15"/>
  <c r="K11" i="19"/>
  <c r="G10" i="13"/>
  <c r="K4" i="15"/>
  <c r="J5" i="20"/>
  <c r="J9" i="13"/>
  <c r="J11" i="20"/>
  <c r="J9" i="20"/>
  <c r="K13" i="15"/>
  <c r="J6" i="20"/>
  <c r="G8" i="13"/>
  <c r="J5" i="13"/>
  <c r="K6" i="19"/>
  <c r="K11" i="15"/>
  <c r="K8" i="15"/>
  <c r="K12" i="15"/>
  <c r="K9" i="19"/>
  <c r="J7" i="20"/>
  <c r="H14" i="10"/>
  <c r="J16" i="13"/>
  <c r="J6" i="13"/>
  <c r="G6" i="13"/>
  <c r="K5" i="15"/>
  <c r="K14" i="19"/>
  <c r="J14" i="13"/>
  <c r="H12" i="10"/>
  <c r="K5" i="19"/>
  <c r="J7" i="13"/>
  <c r="J8" i="13"/>
  <c r="K7" i="15"/>
  <c r="J13" i="13"/>
  <c r="H8" i="10"/>
  <c r="K13" i="19"/>
  <c r="K9" i="15"/>
  <c r="J4" i="20"/>
  <c r="G5" i="13"/>
  <c r="J13" i="20"/>
  <c r="H10" i="10"/>
  <c r="K10" i="19"/>
  <c r="G11" i="13"/>
  <c r="K10" i="15"/>
  <c r="K7" i="19"/>
  <c r="H5" i="10"/>
  <c r="H11" i="10"/>
  <c r="G7" i="13"/>
  <c r="G15" i="13"/>
  <c r="K12" i="19"/>
  <c r="J4" i="13"/>
  <c r="G12" i="13"/>
  <c r="J10" i="20"/>
  <c r="G4" i="13"/>
  <c r="K6" i="15"/>
  <c r="H6" i="10"/>
  <c r="J10" i="13"/>
  <c r="J14" i="20"/>
  <c r="G16" i="13"/>
  <c r="K8" i="19"/>
  <c r="H9" i="10"/>
  <c r="H13" i="10"/>
  <c r="J8" i="20"/>
  <c r="K4" i="19"/>
  <c r="J12" i="13"/>
  <c r="G13" i="13"/>
  <c r="J12" i="20"/>
  <c r="E14" i="4" l="1"/>
  <c r="I14" i="13" a="1"/>
  <c r="I14" i="13" s="1"/>
  <c r="I16" i="13" s="1"/>
  <c r="H17" i="10"/>
  <c r="J16" i="20"/>
  <c r="F20" i="13"/>
  <c r="K16" i="19"/>
  <c r="K16" i="15"/>
  <c r="I20" i="13"/>
  <c r="G21" i="11"/>
</calcChain>
</file>

<file path=xl/comments1.xml><?xml version="1.0" encoding="utf-8"?>
<comments xmlns="http://schemas.openxmlformats.org/spreadsheetml/2006/main">
  <authors>
    <author>Noorain Ansari</author>
  </authors>
  <commentList>
    <comment ref="H20" authorId="0">
      <text>
        <r>
          <rPr>
            <b/>
            <sz val="8"/>
            <color indexed="81"/>
            <rFont val="Tahoma"/>
            <family val="2"/>
          </rPr>
          <t>Noorain Ansari:</t>
        </r>
        <r>
          <rPr>
            <sz val="8"/>
            <color indexed="81"/>
            <rFont val="Tahoma"/>
            <family val="2"/>
          </rPr>
          <t xml:space="preserve">
     </t>
        </r>
      </text>
    </comment>
  </commentList>
</comments>
</file>

<file path=xl/sharedStrings.xml><?xml version="1.0" encoding="utf-8"?>
<sst xmlns="http://schemas.openxmlformats.org/spreadsheetml/2006/main" count="234" uniqueCount="99">
  <si>
    <t>A</t>
  </si>
  <si>
    <t>B</t>
  </si>
  <si>
    <t>C</t>
  </si>
  <si>
    <t>D</t>
  </si>
  <si>
    <t>E</t>
  </si>
  <si>
    <t>F</t>
  </si>
  <si>
    <t>G</t>
  </si>
  <si>
    <t>H</t>
  </si>
  <si>
    <t>Total A</t>
  </si>
  <si>
    <t>Example 1</t>
  </si>
  <si>
    <t>Example 2</t>
  </si>
  <si>
    <t>Total</t>
  </si>
  <si>
    <t>&gt;=33</t>
  </si>
  <si>
    <t>a</t>
  </si>
  <si>
    <t>d</t>
  </si>
  <si>
    <t>r</t>
  </si>
  <si>
    <t>s</t>
  </si>
  <si>
    <t>g</t>
  </si>
  <si>
    <t>Example</t>
  </si>
  <si>
    <t>Count Only Text</t>
  </si>
  <si>
    <t>Unique Count</t>
  </si>
  <si>
    <t>Helping Column</t>
  </si>
  <si>
    <t>Z</t>
  </si>
  <si>
    <t>X</t>
  </si>
  <si>
    <t>T</t>
  </si>
  <si>
    <t>Y</t>
  </si>
  <si>
    <t>S</t>
  </si>
  <si>
    <t>R</t>
  </si>
  <si>
    <t>K</t>
  </si>
  <si>
    <t>Output</t>
  </si>
  <si>
    <t xml:space="preserve">Example </t>
  </si>
  <si>
    <t>Total Error</t>
  </si>
  <si>
    <t>Total A in Sheet 1</t>
  </si>
  <si>
    <t>Name</t>
  </si>
  <si>
    <t>we</t>
  </si>
  <si>
    <t>Count Non-blank Cell</t>
  </si>
  <si>
    <t>Total Salarid Greater then Avg</t>
  </si>
  <si>
    <t>Salary</t>
  </si>
  <si>
    <t>Emp Name</t>
  </si>
  <si>
    <t>I</t>
  </si>
  <si>
    <t>J</t>
  </si>
  <si>
    <t>df</t>
  </si>
  <si>
    <t>Color</t>
  </si>
  <si>
    <t>No.</t>
  </si>
  <si>
    <t>Total Date</t>
  </si>
  <si>
    <t>With Helping Column</t>
  </si>
  <si>
    <t>Without Helping Column</t>
  </si>
  <si>
    <t>Mukesh</t>
  </si>
  <si>
    <t>Deepak</t>
  </si>
  <si>
    <t>Narender</t>
  </si>
  <si>
    <t>Raju</t>
  </si>
  <si>
    <t>Neeraj</t>
  </si>
  <si>
    <t>Ritesh</t>
  </si>
  <si>
    <t>Total Name Started from "N"</t>
  </si>
  <si>
    <t>Count Normal Formula</t>
  </si>
  <si>
    <t>Count Array Formula</t>
  </si>
  <si>
    <t>Count Formula Range</t>
  </si>
  <si>
    <t>Count Array Formula Range</t>
  </si>
  <si>
    <t>Data1</t>
  </si>
  <si>
    <t>Data 2</t>
  </si>
  <si>
    <t>Count Only Number</t>
  </si>
  <si>
    <t xml:space="preserve">    </t>
  </si>
  <si>
    <t>Total Bold</t>
  </si>
  <si>
    <t>Total A &amp; B</t>
  </si>
  <si>
    <t>Rajan</t>
  </si>
  <si>
    <t>SAM</t>
  </si>
  <si>
    <t>Ashish</t>
  </si>
  <si>
    <t>Dilip</t>
  </si>
  <si>
    <t>Ayush</t>
  </si>
  <si>
    <t>DON</t>
  </si>
  <si>
    <t>Total Name of 3 Character</t>
  </si>
  <si>
    <t>DAVE</t>
  </si>
  <si>
    <t>Countif</t>
  </si>
  <si>
    <t>Naming Countif</t>
  </si>
  <si>
    <t>Countif With wild Card</t>
  </si>
  <si>
    <t>Count only Text</t>
  </si>
  <si>
    <t>Count Only Unique</t>
  </si>
  <si>
    <t>Count Only Error</t>
  </si>
  <si>
    <t>Count Only Blank Cell</t>
  </si>
  <si>
    <t>Count Greater then Avg</t>
  </si>
  <si>
    <t>Count Only Date</t>
  </si>
  <si>
    <t>Color Counting</t>
  </si>
  <si>
    <t>Count Formula Cell</t>
  </si>
  <si>
    <t>Count bold Cell</t>
  </si>
  <si>
    <t>Count Only Italic Cell</t>
  </si>
  <si>
    <t>Count Only Underline Cell</t>
  </si>
  <si>
    <t>Count Multiple Criteria</t>
  </si>
  <si>
    <t>Count Fix Criteria</t>
  </si>
  <si>
    <t>Countif in VBA</t>
  </si>
  <si>
    <t>Private Sub Worksheet_SelectionChange(ByVal Target As Range)</t>
  </si>
  <si>
    <t>If Target.Column = 3 Or Target.Column = 2 Then</t>
  </si>
  <si>
    <t>Sheet13.Cells(12, "C").Value = Application.WorksheetFunction.CountIf(Sheet13.Range("C2:C13"), Sheet13.Cells(12, "B").Value)</t>
  </si>
  <si>
    <t>End If</t>
  </si>
  <si>
    <t>End Sub</t>
  </si>
  <si>
    <t>Arrange in Alphabetical Order</t>
  </si>
  <si>
    <t>Count Only Non-Blank Cell</t>
  </si>
  <si>
    <t>Ascii</t>
  </si>
  <si>
    <t>Nilesh</t>
  </si>
  <si>
    <t>Countif Example 20 Types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</si>
</sst>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2"/>
      <color theme="3"/>
      <name val="Calibri"/>
      <family val="2"/>
      <scheme val="minor"/>
    </font>
    <font>
      <sz val="8"/>
      <color rgb="FF333333"/>
      <name val="Courier New"/>
      <family val="3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sz val="11"/>
      <name val="Calibri"/>
      <family val="2"/>
      <scheme val="minor"/>
    </font>
    <font>
      <b/>
      <sz val="11"/>
      <color rgb="FF7030A0"/>
      <name val="Arial"/>
      <family val="2"/>
    </font>
    <font>
      <b/>
      <sz val="18"/>
      <color theme="3"/>
      <name val="Cambria"/>
      <family val="1"/>
      <scheme val="major"/>
    </font>
  </fonts>
  <fills count="2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gradientFill type="path">
        <stop position="0">
          <color theme="9" tint="0.40000610370189521"/>
        </stop>
        <stop position="1">
          <color rgb="FFFFC000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medium">
        <color indexed="64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31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8" fillId="12" borderId="30" applyNumberFormat="0" applyAlignment="0" applyProtection="0"/>
    <xf numFmtId="0" fontId="9" fillId="0" borderId="32" applyNumberFormat="0" applyFill="0" applyAlignment="0" applyProtection="0"/>
    <xf numFmtId="0" fontId="4" fillId="13" borderId="33" applyNumberFormat="0" applyFont="0" applyAlignment="0" applyProtection="0"/>
    <xf numFmtId="0" fontId="10" fillId="0" borderId="34" applyNumberFormat="0" applyFill="0" applyAlignment="0" applyProtection="0"/>
    <xf numFmtId="0" fontId="16" fillId="0" borderId="0" applyNumberFormat="0" applyFill="0" applyBorder="0" applyAlignment="0" applyProtection="0"/>
  </cellStyleXfs>
  <cellXfs count="10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5" fillId="7" borderId="0" xfId="4"/>
    <xf numFmtId="0" fontId="10" fillId="0" borderId="34" xfId="13"/>
    <xf numFmtId="0" fontId="5" fillId="6" borderId="1" xfId="3" applyBorder="1"/>
    <xf numFmtId="0" fontId="8" fillId="12" borderId="35" xfId="10" applyBorder="1"/>
    <xf numFmtId="0" fontId="5" fillId="6" borderId="1" xfId="3" applyBorder="1" applyAlignment="1">
      <alignment horizontal="center"/>
    </xf>
    <xf numFmtId="0" fontId="4" fillId="4" borderId="1" xfId="1" applyBorder="1"/>
    <xf numFmtId="0" fontId="9" fillId="0" borderId="32" xfId="11"/>
    <xf numFmtId="0" fontId="5" fillId="6" borderId="0" xfId="3"/>
    <xf numFmtId="0" fontId="5" fillId="6" borderId="0" xfId="3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12" fillId="0" borderId="6" xfId="11" applyFont="1" applyBorder="1" applyAlignment="1">
      <alignment horizontal="center"/>
    </xf>
    <xf numFmtId="0" fontId="12" fillId="0" borderId="7" xfId="11" applyFont="1" applyBorder="1" applyAlignment="1">
      <alignment horizontal="center"/>
    </xf>
    <xf numFmtId="0" fontId="1" fillId="2" borderId="8" xfId="0" applyFont="1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6" fillId="11" borderId="36" xfId="8" applyBorder="1"/>
    <xf numFmtId="0" fontId="6" fillId="11" borderId="37" xfId="8" applyBorder="1"/>
    <xf numFmtId="0" fontId="0" fillId="0" borderId="12" xfId="0" applyBorder="1" applyAlignment="1">
      <alignment horizontal="center"/>
    </xf>
    <xf numFmtId="0" fontId="5" fillId="7" borderId="13" xfId="4" applyBorder="1"/>
    <xf numFmtId="0" fontId="5" fillId="7" borderId="14" xfId="4" applyBorder="1"/>
    <xf numFmtId="14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6" borderId="8" xfId="3" applyBorder="1"/>
    <xf numFmtId="0" fontId="5" fillId="6" borderId="8" xfId="3" applyBorder="1" applyAlignment="1">
      <alignment horizontal="center"/>
    </xf>
    <xf numFmtId="0" fontId="13" fillId="0" borderId="0" xfId="0" applyFont="1" applyAlignment="1">
      <alignment horizontal="center"/>
    </xf>
    <xf numFmtId="0" fontId="0" fillId="0" borderId="8" xfId="0" applyBorder="1" applyAlignment="1">
      <alignment horizontal="center"/>
    </xf>
    <xf numFmtId="0" fontId="9" fillId="0" borderId="1" xfId="11" applyBorder="1"/>
    <xf numFmtId="0" fontId="5" fillId="6" borderId="17" xfId="3" applyBorder="1"/>
    <xf numFmtId="0" fontId="5" fillId="6" borderId="18" xfId="3" applyBorder="1"/>
    <xf numFmtId="0" fontId="5" fillId="6" borderId="14" xfId="3" applyBorder="1"/>
    <xf numFmtId="0" fontId="10" fillId="15" borderId="8" xfId="0" applyFont="1" applyFill="1" applyBorder="1" applyAlignment="1">
      <alignment horizontal="center"/>
    </xf>
    <xf numFmtId="0" fontId="0" fillId="14" borderId="19" xfId="0" applyFill="1" applyBorder="1" applyAlignment="1">
      <alignment horizontal="center"/>
    </xf>
    <xf numFmtId="0" fontId="0" fillId="14" borderId="20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5" fillId="7" borderId="8" xfId="4" applyBorder="1"/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16" borderId="24" xfId="0" applyFill="1" applyBorder="1" applyAlignment="1">
      <alignment horizontal="center"/>
    </xf>
    <xf numFmtId="0" fontId="0" fillId="16" borderId="25" xfId="0" applyFill="1" applyBorder="1" applyAlignment="1">
      <alignment horizontal="center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5" xfId="0" applyBorder="1" applyAlignment="1">
      <alignment horizontal="center"/>
    </xf>
    <xf numFmtId="0" fontId="5" fillId="10" borderId="24" xfId="7" applyBorder="1" applyAlignment="1">
      <alignment horizontal="center"/>
    </xf>
    <xf numFmtId="0" fontId="5" fillId="7" borderId="8" xfId="4" applyBorder="1" applyAlignment="1">
      <alignment horizontal="center"/>
    </xf>
    <xf numFmtId="0" fontId="1" fillId="2" borderId="23" xfId="0" applyFont="1" applyFill="1" applyBorder="1"/>
    <xf numFmtId="0" fontId="1" fillId="3" borderId="24" xfId="0" applyFont="1" applyFill="1" applyBorder="1"/>
    <xf numFmtId="0" fontId="1" fillId="2" borderId="24" xfId="0" applyFont="1" applyFill="1" applyBorder="1"/>
    <xf numFmtId="0" fontId="1" fillId="15" borderId="24" xfId="0" applyFont="1" applyFill="1" applyBorder="1"/>
    <xf numFmtId="0" fontId="1" fillId="17" borderId="24" xfId="0" applyFont="1" applyFill="1" applyBorder="1"/>
    <xf numFmtId="0" fontId="1" fillId="16" borderId="24" xfId="0" applyFont="1" applyFill="1" applyBorder="1"/>
    <xf numFmtId="0" fontId="1" fillId="18" borderId="24" xfId="0" applyFont="1" applyFill="1" applyBorder="1"/>
    <xf numFmtId="0" fontId="1" fillId="19" borderId="24" xfId="0" applyFont="1" applyFill="1" applyBorder="1"/>
    <xf numFmtId="0" fontId="1" fillId="2" borderId="25" xfId="0" applyFont="1" applyFill="1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5" fillId="8" borderId="1" xfId="5" applyBorder="1"/>
    <xf numFmtId="0" fontId="10" fillId="0" borderId="1" xfId="0" applyFont="1" applyBorder="1" applyAlignment="1">
      <alignment horizontal="center"/>
    </xf>
    <xf numFmtId="0" fontId="5" fillId="9" borderId="0" xfId="6" applyBorder="1" applyAlignment="1">
      <alignment horizontal="center"/>
    </xf>
    <xf numFmtId="0" fontId="5" fillId="9" borderId="0" xfId="6" applyAlignment="1">
      <alignment horizontal="center"/>
    </xf>
    <xf numFmtId="0" fontId="0" fillId="0" borderId="1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5" fillId="0" borderId="1" xfId="0" applyFont="1" applyBorder="1" applyAlignment="1">
      <alignment horizontal="center"/>
    </xf>
    <xf numFmtId="0" fontId="4" fillId="5" borderId="1" xfId="2" applyBorder="1"/>
    <xf numFmtId="0" fontId="4" fillId="5" borderId="1" xfId="2" applyBorder="1" applyAlignment="1">
      <alignment horizontal="center"/>
    </xf>
    <xf numFmtId="0" fontId="11" fillId="0" borderId="0" xfId="0" applyFont="1"/>
    <xf numFmtId="0" fontId="10" fillId="0" borderId="34" xfId="13" applyAlignment="1">
      <alignment horizontal="center"/>
    </xf>
    <xf numFmtId="0" fontId="0" fillId="16" borderId="0" xfId="0" applyFill="1" applyAlignment="1">
      <alignment horizontal="center"/>
    </xf>
    <xf numFmtId="0" fontId="18" fillId="0" borderId="0" xfId="0" applyFont="1" applyFill="1"/>
    <xf numFmtId="0" fontId="18" fillId="0" borderId="0" xfId="0" applyFont="1"/>
    <xf numFmtId="0" fontId="18" fillId="0" borderId="0" xfId="9" applyFont="1" applyBorder="1" applyAlignment="1" applyProtection="1"/>
    <xf numFmtId="0" fontId="18" fillId="0" borderId="1" xfId="9" applyFont="1" applyBorder="1" applyAlignment="1" applyProtection="1"/>
    <xf numFmtId="0" fontId="0" fillId="22" borderId="1" xfId="0" applyFill="1" applyBorder="1" applyAlignment="1">
      <alignment horizontal="center"/>
    </xf>
    <xf numFmtId="0" fontId="6" fillId="22" borderId="1" xfId="4" applyFont="1" applyFill="1" applyBorder="1"/>
    <xf numFmtId="0" fontId="6" fillId="22" borderId="1" xfId="3" applyFont="1" applyFill="1" applyBorder="1"/>
    <xf numFmtId="0" fontId="6" fillId="22" borderId="1" xfId="3" applyFont="1" applyFill="1" applyBorder="1" applyAlignment="1">
      <alignment horizontal="center"/>
    </xf>
    <xf numFmtId="0" fontId="17" fillId="21" borderId="1" xfId="6" applyFont="1" applyFill="1" applyBorder="1" applyAlignment="1">
      <alignment horizontal="center"/>
    </xf>
    <xf numFmtId="0" fontId="17" fillId="21" borderId="1" xfId="0" applyFont="1" applyFill="1" applyBorder="1" applyAlignment="1">
      <alignment horizontal="center"/>
    </xf>
    <xf numFmtId="0" fontId="17" fillId="21" borderId="1" xfId="4" applyFont="1" applyFill="1" applyBorder="1" applyAlignment="1">
      <alignment horizontal="center"/>
    </xf>
    <xf numFmtId="0" fontId="19" fillId="20" borderId="1" xfId="14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4" fillId="13" borderId="38" xfId="12" applyFont="1" applyBorder="1" applyAlignment="1">
      <alignment horizontal="center"/>
    </xf>
    <xf numFmtId="0" fontId="4" fillId="13" borderId="39" xfId="12" applyFont="1" applyBorder="1" applyAlignment="1">
      <alignment horizontal="center"/>
    </xf>
    <xf numFmtId="0" fontId="5" fillId="6" borderId="26" xfId="3" applyBorder="1" applyAlignment="1">
      <alignment horizontal="center"/>
    </xf>
    <xf numFmtId="0" fontId="5" fillId="6" borderId="28" xfId="3" applyBorder="1" applyAlignment="1">
      <alignment horizontal="center"/>
    </xf>
    <xf numFmtId="0" fontId="0" fillId="0" borderId="29" xfId="0" applyBorder="1" applyAlignment="1">
      <alignment horizontal="center"/>
    </xf>
    <xf numFmtId="0" fontId="5" fillId="6" borderId="1" xfId="3" applyBorder="1" applyAlignment="1">
      <alignment horizontal="center"/>
    </xf>
    <xf numFmtId="0" fontId="5" fillId="6" borderId="5" xfId="3" applyBorder="1" applyAlignment="1">
      <alignment horizontal="center"/>
    </xf>
  </cellXfs>
  <cellStyles count="15">
    <cellStyle name="40% - Accent1" xfId="1" builtinId="31"/>
    <cellStyle name="40% - Accent6" xfId="2" builtinId="51"/>
    <cellStyle name="Accent1" xfId="3" builtinId="29"/>
    <cellStyle name="Accent2" xfId="4" builtinId="33"/>
    <cellStyle name="Accent3" xfId="5" builtinId="37"/>
    <cellStyle name="Accent4" xfId="6" builtinId="41"/>
    <cellStyle name="Accent5" xfId="7" builtinId="45"/>
    <cellStyle name="Check Cell" xfId="8" builtinId="23"/>
    <cellStyle name="Hyperlink" xfId="9" builtinId="8"/>
    <cellStyle name="Input" xfId="10" builtinId="20"/>
    <cellStyle name="Linked Cell" xfId="11" builtinId="24"/>
    <cellStyle name="Normal" xfId="0" builtinId="0"/>
    <cellStyle name="Note" xfId="12" builtinId="10"/>
    <cellStyle name="Title" xfId="14" builtinId="15"/>
    <cellStyle name="Total" xfId="13" builtinId="25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Main 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Main 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'Main 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hyperlink" Target="#'Main '!A1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0</xdr:row>
      <xdr:rowOff>152400</xdr:rowOff>
    </xdr:from>
    <xdr:to>
      <xdr:col>6</xdr:col>
      <xdr:colOff>76200</xdr:colOff>
      <xdr:row>17</xdr:row>
      <xdr:rowOff>47625</xdr:rowOff>
    </xdr:to>
    <xdr:sp macro="" textlink="">
      <xdr:nvSpPr>
        <xdr:cNvPr id="2" name="Frame 1"/>
        <xdr:cNvSpPr/>
      </xdr:nvSpPr>
      <xdr:spPr>
        <a:xfrm>
          <a:off x="381000" y="152400"/>
          <a:ext cx="4791075" cy="3133725"/>
        </a:xfrm>
        <a:prstGeom prst="frame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12</xdr:col>
      <xdr:colOff>142875</xdr:colOff>
      <xdr:row>2</xdr:row>
      <xdr:rowOff>152400</xdr:rowOff>
    </xdr:to>
    <xdr:sp macro="" textlink="">
      <xdr:nvSpPr>
        <xdr:cNvPr id="4" name="AutoShape 2">
          <a:hlinkClick xmlns:r="http://schemas.openxmlformats.org/officeDocument/2006/relationships" r:id="rId1" tooltip="Created By Noorain"/>
        </xdr:cNvPr>
        <xdr:cNvSpPr>
          <a:spLocks noChangeArrowheads="1"/>
        </xdr:cNvSpPr>
      </xdr:nvSpPr>
      <xdr:spPr bwMode="auto">
        <a:xfrm>
          <a:off x="5600700" y="190500"/>
          <a:ext cx="1971675" cy="342900"/>
        </a:xfrm>
        <a:prstGeom prst="roundRect">
          <a:avLst>
            <a:gd name="adj" fmla="val 16667"/>
          </a:avLst>
        </a:prstGeom>
        <a:ln>
          <a:headEnd/>
          <a:tailEnd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wrap="square" lIns="27432" tIns="22860" rIns="27432" bIns="22860" anchor="ctr" upright="1"/>
        <a:lstStyle/>
        <a:p>
          <a:pPr algn="ctr" rtl="1">
            <a:defRPr sz="1000"/>
          </a:pPr>
          <a:r>
            <a:rPr lang="en-US" sz="1000" b="1" i="0" strike="noStrike">
              <a:solidFill>
                <a:srgbClr val="800000"/>
              </a:solidFill>
              <a:latin typeface="Arial"/>
              <a:cs typeface="Arial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542925</xdr:colOff>
      <xdr:row>0</xdr:row>
      <xdr:rowOff>0</xdr:rowOff>
    </xdr:from>
    <xdr:to>
      <xdr:col>6</xdr:col>
      <xdr:colOff>247650</xdr:colOff>
      <xdr:row>2</xdr:row>
      <xdr:rowOff>19050</xdr:rowOff>
    </xdr:to>
    <xdr:pic>
      <xdr:nvPicPr>
        <xdr:cNvPr id="6164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371725" y="0"/>
          <a:ext cx="20193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10</xdr:col>
      <xdr:colOff>190500</xdr:colOff>
      <xdr:row>2</xdr:row>
      <xdr:rowOff>0</xdr:rowOff>
    </xdr:to>
    <xdr:pic>
      <xdr:nvPicPr>
        <xdr:cNvPr id="5140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333875" y="0"/>
          <a:ext cx="2019300" cy="400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600075</xdr:colOff>
      <xdr:row>0</xdr:row>
      <xdr:rowOff>0</xdr:rowOff>
    </xdr:from>
    <xdr:to>
      <xdr:col>7</xdr:col>
      <xdr:colOff>142875</xdr:colOff>
      <xdr:row>2</xdr:row>
      <xdr:rowOff>9525</xdr:rowOff>
    </xdr:to>
    <xdr:pic>
      <xdr:nvPicPr>
        <xdr:cNvPr id="7188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038475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1</xdr:row>
      <xdr:rowOff>0</xdr:rowOff>
    </xdr:from>
    <xdr:to>
      <xdr:col>13</xdr:col>
      <xdr:colOff>190500</xdr:colOff>
      <xdr:row>3</xdr:row>
      <xdr:rowOff>9525</xdr:rowOff>
    </xdr:to>
    <xdr:pic>
      <xdr:nvPicPr>
        <xdr:cNvPr id="8212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972175" y="19050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295275</xdr:colOff>
      <xdr:row>0</xdr:row>
      <xdr:rowOff>9525</xdr:rowOff>
    </xdr:from>
    <xdr:to>
      <xdr:col>8</xdr:col>
      <xdr:colOff>485775</xdr:colOff>
      <xdr:row>2</xdr:row>
      <xdr:rowOff>19050</xdr:rowOff>
    </xdr:to>
    <xdr:pic>
      <xdr:nvPicPr>
        <xdr:cNvPr id="9236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714750" y="9525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10</xdr:col>
      <xdr:colOff>190500</xdr:colOff>
      <xdr:row>2</xdr:row>
      <xdr:rowOff>9525</xdr:rowOff>
    </xdr:to>
    <xdr:pic>
      <xdr:nvPicPr>
        <xdr:cNvPr id="10260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895975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590550</xdr:colOff>
      <xdr:row>0</xdr:row>
      <xdr:rowOff>114300</xdr:rowOff>
    </xdr:from>
    <xdr:to>
      <xdr:col>13</xdr:col>
      <xdr:colOff>171450</xdr:colOff>
      <xdr:row>2</xdr:row>
      <xdr:rowOff>123825</xdr:rowOff>
    </xdr:to>
    <xdr:pic>
      <xdr:nvPicPr>
        <xdr:cNvPr id="11284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267450" y="11430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590550</xdr:colOff>
      <xdr:row>0</xdr:row>
      <xdr:rowOff>0</xdr:rowOff>
    </xdr:from>
    <xdr:to>
      <xdr:col>9</xdr:col>
      <xdr:colOff>47625</xdr:colOff>
      <xdr:row>2</xdr:row>
      <xdr:rowOff>9525</xdr:rowOff>
    </xdr:to>
    <xdr:pic>
      <xdr:nvPicPr>
        <xdr:cNvPr id="4116" name="Picture 1">
          <a:hlinkClick xmlns:r="http://schemas.openxmlformats.org/officeDocument/2006/relationships" r:id="rId1" tooltip="Created By Noorain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24815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8</xdr:col>
      <xdr:colOff>104775</xdr:colOff>
      <xdr:row>2</xdr:row>
      <xdr:rowOff>9525</xdr:rowOff>
    </xdr:to>
    <xdr:pic>
      <xdr:nvPicPr>
        <xdr:cNvPr id="12308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65760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247650</xdr:colOff>
      <xdr:row>0</xdr:row>
      <xdr:rowOff>0</xdr:rowOff>
    </xdr:from>
    <xdr:to>
      <xdr:col>7</xdr:col>
      <xdr:colOff>409575</xdr:colOff>
      <xdr:row>2</xdr:row>
      <xdr:rowOff>9525</xdr:rowOff>
    </xdr:to>
    <xdr:pic>
      <xdr:nvPicPr>
        <xdr:cNvPr id="13332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800475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0</xdr:row>
      <xdr:rowOff>0</xdr:rowOff>
    </xdr:from>
    <xdr:to>
      <xdr:col>8</xdr:col>
      <xdr:colOff>209550</xdr:colOff>
      <xdr:row>2</xdr:row>
      <xdr:rowOff>9525</xdr:rowOff>
    </xdr:to>
    <xdr:pic>
      <xdr:nvPicPr>
        <xdr:cNvPr id="14356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356235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438150</xdr:colOff>
      <xdr:row>0</xdr:row>
      <xdr:rowOff>0</xdr:rowOff>
    </xdr:from>
    <xdr:to>
      <xdr:col>7</xdr:col>
      <xdr:colOff>190500</xdr:colOff>
      <xdr:row>2</xdr:row>
      <xdr:rowOff>9525</xdr:rowOff>
    </xdr:to>
    <xdr:pic>
      <xdr:nvPicPr>
        <xdr:cNvPr id="15380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87655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190500</xdr:colOff>
          <xdr:row>31</xdr:row>
          <xdr:rowOff>28575</xdr:rowOff>
        </xdr:from>
        <xdr:to>
          <xdr:col>20</xdr:col>
          <xdr:colOff>38100</xdr:colOff>
          <xdr:row>74</xdr:row>
          <xdr:rowOff>9525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600075</xdr:colOff>
      <xdr:row>0</xdr:row>
      <xdr:rowOff>47625</xdr:rowOff>
    </xdr:from>
    <xdr:to>
      <xdr:col>14</xdr:col>
      <xdr:colOff>180975</xdr:colOff>
      <xdr:row>2</xdr:row>
      <xdr:rowOff>38100</xdr:rowOff>
    </xdr:to>
    <xdr:pic>
      <xdr:nvPicPr>
        <xdr:cNvPr id="16404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686675" y="47625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10</xdr:col>
      <xdr:colOff>981075</xdr:colOff>
      <xdr:row>2</xdr:row>
      <xdr:rowOff>9525</xdr:rowOff>
    </xdr:to>
    <xdr:pic>
      <xdr:nvPicPr>
        <xdr:cNvPr id="1058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86400" y="0"/>
          <a:ext cx="1638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9</xdr:col>
      <xdr:colOff>219075</xdr:colOff>
      <xdr:row>6</xdr:row>
      <xdr:rowOff>104775</xdr:rowOff>
    </xdr:from>
    <xdr:to>
      <xdr:col>10</xdr:col>
      <xdr:colOff>457200</xdr:colOff>
      <xdr:row>15</xdr:row>
      <xdr:rowOff>133350</xdr:rowOff>
    </xdr:to>
    <xdr:cxnSp macro="">
      <xdr:nvCxnSpPr>
        <xdr:cNvPr id="4" name="Straight Arrow Connector 3"/>
        <xdr:cNvCxnSpPr/>
      </xdr:nvCxnSpPr>
      <xdr:spPr>
        <a:xfrm>
          <a:off x="5705475" y="1247775"/>
          <a:ext cx="895350" cy="17430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11</xdr:col>
      <xdr:colOff>28575</xdr:colOff>
      <xdr:row>2</xdr:row>
      <xdr:rowOff>9525</xdr:rowOff>
    </xdr:to>
    <xdr:pic>
      <xdr:nvPicPr>
        <xdr:cNvPr id="17428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486400" y="0"/>
          <a:ext cx="165735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609600</xdr:colOff>
      <xdr:row>0</xdr:row>
      <xdr:rowOff>0</xdr:rowOff>
    </xdr:from>
    <xdr:to>
      <xdr:col>9</xdr:col>
      <xdr:colOff>1019175</xdr:colOff>
      <xdr:row>2</xdr:row>
      <xdr:rowOff>9525</xdr:rowOff>
    </xdr:to>
    <xdr:pic>
      <xdr:nvPicPr>
        <xdr:cNvPr id="18452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76800" y="0"/>
          <a:ext cx="1628775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0</xdr:row>
      <xdr:rowOff>0</xdr:rowOff>
    </xdr:from>
    <xdr:to>
      <xdr:col>11</xdr:col>
      <xdr:colOff>95250</xdr:colOff>
      <xdr:row>2</xdr:row>
      <xdr:rowOff>9525</xdr:rowOff>
    </xdr:to>
    <xdr:pic>
      <xdr:nvPicPr>
        <xdr:cNvPr id="19476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487680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438150</xdr:colOff>
      <xdr:row>0</xdr:row>
      <xdr:rowOff>0</xdr:rowOff>
    </xdr:from>
    <xdr:to>
      <xdr:col>11</xdr:col>
      <xdr:colOff>38100</xdr:colOff>
      <xdr:row>2</xdr:row>
      <xdr:rowOff>9525</xdr:rowOff>
    </xdr:to>
    <xdr:pic>
      <xdr:nvPicPr>
        <xdr:cNvPr id="20500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31495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571500</xdr:colOff>
      <xdr:row>0</xdr:row>
      <xdr:rowOff>0</xdr:rowOff>
    </xdr:from>
    <xdr:to>
      <xdr:col>7</xdr:col>
      <xdr:colOff>152400</xdr:colOff>
      <xdr:row>2</xdr:row>
      <xdr:rowOff>0</xdr:rowOff>
    </xdr:to>
    <xdr:pic>
      <xdr:nvPicPr>
        <xdr:cNvPr id="21524" name="Picture 1">
          <a:hlinkClick xmlns:r="http://schemas.openxmlformats.org/officeDocument/2006/relationships" r:id="rId1" tooltip="Created By Noorain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457450" y="0"/>
          <a:ext cx="2019300" cy="3905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" name="Table1" displayName="Table1" ref="G4:H16" totalsRowShown="0" headerRowDxfId="5" dataDxfId="3" headerRowBorderDxfId="4" tableBorderDxfId="2">
  <tableColumns count="2">
    <tableColumn id="1" name="Emp Name" dataDxfId="1"/>
    <tableColumn id="2" name="Salary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1:J34"/>
  <sheetViews>
    <sheetView showGridLines="0" workbookViewId="0">
      <selection activeCell="C12" sqref="C12"/>
    </sheetView>
  </sheetViews>
  <sheetFormatPr defaultRowHeight="15" x14ac:dyDescent="0.25"/>
  <cols>
    <col min="1" max="1" width="9.140625" style="82"/>
    <col min="2" max="2" width="2.85546875" style="82" customWidth="1"/>
    <col min="3" max="3" width="31.5703125" style="82" bestFit="1" customWidth="1"/>
    <col min="4" max="4" width="28" style="82" bestFit="1" customWidth="1"/>
    <col min="5" max="5" width="1.85546875" style="82" customWidth="1"/>
    <col min="6" max="6" width="3" style="82" customWidth="1"/>
    <col min="7" max="16384" width="9.140625" style="82"/>
  </cols>
  <sheetData>
    <row r="1" spans="2:10" x14ac:dyDescent="0.25">
      <c r="H1" s="81"/>
      <c r="I1" s="81"/>
      <c r="J1" s="81"/>
    </row>
    <row r="2" spans="2:10" x14ac:dyDescent="0.25">
      <c r="H2" s="81"/>
      <c r="I2" s="81"/>
      <c r="J2" s="81"/>
    </row>
    <row r="3" spans="2:10" x14ac:dyDescent="0.25">
      <c r="H3" s="81"/>
      <c r="I3" s="81"/>
      <c r="J3" s="81"/>
    </row>
    <row r="4" spans="2:10" x14ac:dyDescent="0.25">
      <c r="C4" s="92" t="s">
        <v>98</v>
      </c>
      <c r="D4" s="92"/>
      <c r="H4" s="81"/>
      <c r="I4" s="81"/>
      <c r="J4" s="81"/>
    </row>
    <row r="5" spans="2:10" x14ac:dyDescent="0.25">
      <c r="B5" s="81"/>
      <c r="C5" s="92"/>
      <c r="D5" s="92"/>
      <c r="E5" s="81"/>
      <c r="F5" s="81"/>
      <c r="H5" s="81"/>
      <c r="I5" s="81"/>
      <c r="J5" s="81"/>
    </row>
    <row r="6" spans="2:10" x14ac:dyDescent="0.25">
      <c r="B6" s="81"/>
      <c r="C6" s="84" t="s">
        <v>72</v>
      </c>
      <c r="D6" s="84" t="s">
        <v>79</v>
      </c>
      <c r="E6" s="83"/>
      <c r="F6" s="81"/>
      <c r="H6" s="81"/>
      <c r="I6" s="81"/>
      <c r="J6" s="81"/>
    </row>
    <row r="7" spans="2:10" x14ac:dyDescent="0.25">
      <c r="B7" s="81"/>
      <c r="C7" s="84" t="s">
        <v>73</v>
      </c>
      <c r="D7" s="84" t="s">
        <v>80</v>
      </c>
      <c r="E7" s="83"/>
      <c r="F7" s="81"/>
      <c r="H7" s="81"/>
      <c r="I7" s="81"/>
      <c r="J7" s="81"/>
    </row>
    <row r="8" spans="2:10" x14ac:dyDescent="0.25">
      <c r="B8" s="81"/>
      <c r="C8" s="84" t="s">
        <v>74</v>
      </c>
      <c r="D8" s="84" t="s">
        <v>81</v>
      </c>
      <c r="E8" s="83"/>
      <c r="F8" s="81"/>
      <c r="H8" s="81"/>
      <c r="I8" s="81"/>
      <c r="J8" s="81"/>
    </row>
    <row r="9" spans="2:10" x14ac:dyDescent="0.25">
      <c r="B9" s="81"/>
      <c r="C9" s="84" t="s">
        <v>60</v>
      </c>
      <c r="D9" s="84" t="s">
        <v>82</v>
      </c>
      <c r="E9" s="83"/>
      <c r="F9" s="81"/>
      <c r="H9" s="81"/>
      <c r="I9" s="81"/>
      <c r="J9" s="81"/>
    </row>
    <row r="10" spans="2:10" x14ac:dyDescent="0.25">
      <c r="B10" s="81"/>
      <c r="C10" s="84" t="s">
        <v>94</v>
      </c>
      <c r="D10" s="84" t="s">
        <v>83</v>
      </c>
      <c r="E10" s="83"/>
      <c r="F10" s="81"/>
      <c r="H10" s="81"/>
      <c r="I10" s="81"/>
      <c r="J10" s="81"/>
    </row>
    <row r="11" spans="2:10" x14ac:dyDescent="0.25">
      <c r="B11" s="81"/>
      <c r="C11" s="84" t="s">
        <v>75</v>
      </c>
      <c r="D11" s="84" t="s">
        <v>84</v>
      </c>
      <c r="E11" s="83"/>
      <c r="F11" s="81"/>
      <c r="H11" s="81"/>
      <c r="I11" s="81"/>
      <c r="J11" s="81"/>
    </row>
    <row r="12" spans="2:10" x14ac:dyDescent="0.25">
      <c r="B12" s="81"/>
      <c r="C12" s="84" t="s">
        <v>76</v>
      </c>
      <c r="D12" s="84" t="s">
        <v>85</v>
      </c>
      <c r="E12" s="83"/>
      <c r="F12" s="81"/>
      <c r="H12" s="81"/>
      <c r="I12" s="81"/>
      <c r="J12" s="81"/>
    </row>
    <row r="13" spans="2:10" x14ac:dyDescent="0.25">
      <c r="B13" s="81"/>
      <c r="C13" s="84" t="s">
        <v>77</v>
      </c>
      <c r="D13" s="84" t="s">
        <v>86</v>
      </c>
      <c r="E13" s="83"/>
      <c r="F13" s="81"/>
      <c r="H13" s="81"/>
      <c r="I13" s="81"/>
      <c r="J13" s="81"/>
    </row>
    <row r="14" spans="2:10" x14ac:dyDescent="0.25">
      <c r="B14" s="81"/>
      <c r="C14" s="84" t="s">
        <v>95</v>
      </c>
      <c r="D14" s="84" t="s">
        <v>87</v>
      </c>
      <c r="E14" s="83"/>
      <c r="F14" s="81"/>
      <c r="H14" s="81"/>
      <c r="I14" s="81"/>
      <c r="J14" s="81"/>
    </row>
    <row r="15" spans="2:10" x14ac:dyDescent="0.25">
      <c r="B15" s="81"/>
      <c r="C15" s="84" t="s">
        <v>78</v>
      </c>
      <c r="D15" s="84" t="s">
        <v>88</v>
      </c>
      <c r="E15" s="83"/>
      <c r="F15" s="81"/>
      <c r="H15" s="81"/>
      <c r="I15" s="81"/>
      <c r="J15" s="81"/>
    </row>
    <row r="16" spans="2:10" x14ac:dyDescent="0.25">
      <c r="B16" s="81"/>
      <c r="F16" s="81"/>
      <c r="H16" s="81"/>
      <c r="I16" s="81"/>
      <c r="J16" s="81"/>
    </row>
    <row r="17" spans="2:10" x14ac:dyDescent="0.25">
      <c r="B17" s="81"/>
      <c r="C17" s="81"/>
      <c r="D17" s="81"/>
      <c r="E17" s="81"/>
      <c r="F17" s="81"/>
      <c r="H17" s="81"/>
      <c r="I17" s="81"/>
      <c r="J17" s="81"/>
    </row>
    <row r="18" spans="2:10" x14ac:dyDescent="0.25">
      <c r="B18" s="81"/>
      <c r="F18" s="81"/>
      <c r="H18" s="81"/>
      <c r="I18" s="81"/>
      <c r="J18" s="81"/>
    </row>
    <row r="19" spans="2:10" x14ac:dyDescent="0.25">
      <c r="B19" s="81"/>
      <c r="H19" s="81"/>
      <c r="I19" s="81"/>
      <c r="J19" s="81"/>
    </row>
    <row r="20" spans="2:10" x14ac:dyDescent="0.25">
      <c r="H20" s="81"/>
      <c r="I20" s="81"/>
      <c r="J20" s="81"/>
    </row>
    <row r="21" spans="2:10" x14ac:dyDescent="0.25">
      <c r="H21" s="81"/>
      <c r="I21" s="81"/>
      <c r="J21" s="81"/>
    </row>
    <row r="22" spans="2:10" x14ac:dyDescent="0.25">
      <c r="H22" s="81"/>
      <c r="I22" s="81"/>
      <c r="J22" s="81"/>
    </row>
    <row r="23" spans="2:10" x14ac:dyDescent="0.25">
      <c r="H23" s="81"/>
      <c r="I23" s="81"/>
      <c r="J23" s="81"/>
    </row>
    <row r="24" spans="2:10" x14ac:dyDescent="0.25">
      <c r="H24" s="81"/>
      <c r="I24" s="81"/>
      <c r="J24" s="81"/>
    </row>
    <row r="25" spans="2:10" x14ac:dyDescent="0.25">
      <c r="H25" s="81"/>
      <c r="I25" s="81"/>
      <c r="J25" s="81"/>
    </row>
    <row r="26" spans="2:10" x14ac:dyDescent="0.25">
      <c r="H26" s="81"/>
      <c r="I26" s="81"/>
      <c r="J26" s="81"/>
    </row>
    <row r="27" spans="2:10" x14ac:dyDescent="0.25">
      <c r="H27" s="81"/>
      <c r="I27" s="81"/>
      <c r="J27" s="81"/>
    </row>
    <row r="28" spans="2:10" x14ac:dyDescent="0.25">
      <c r="H28" s="81"/>
      <c r="I28" s="81"/>
      <c r="J28" s="81"/>
    </row>
    <row r="29" spans="2:10" s="81" customFormat="1" x14ac:dyDescent="0.25"/>
    <row r="30" spans="2:10" s="81" customFormat="1" x14ac:dyDescent="0.25"/>
    <row r="31" spans="2:10" s="81" customFormat="1" x14ac:dyDescent="0.25"/>
    <row r="32" spans="2:10" s="81" customFormat="1" x14ac:dyDescent="0.25"/>
    <row r="33" s="81" customFormat="1" x14ac:dyDescent="0.25"/>
    <row r="34" s="81" customFormat="1" x14ac:dyDescent="0.25"/>
  </sheetData>
  <mergeCells count="1">
    <mergeCell ref="C4:D5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G13"/>
  <sheetViews>
    <sheetView workbookViewId="0">
      <selection activeCell="G13" sqref="G13"/>
    </sheetView>
  </sheetViews>
  <sheetFormatPr defaultRowHeight="15" x14ac:dyDescent="0.25"/>
  <cols>
    <col min="4" max="4" width="10" bestFit="1" customWidth="1"/>
    <col min="7" max="7" width="10" bestFit="1" customWidth="1"/>
  </cols>
  <sheetData>
    <row r="2" spans="3:7" x14ac:dyDescent="0.25">
      <c r="D2" s="86" t="s">
        <v>9</v>
      </c>
      <c r="G2" s="91" t="s">
        <v>10</v>
      </c>
    </row>
    <row r="3" spans="3:7" x14ac:dyDescent="0.25">
      <c r="D3" s="85" t="s">
        <v>0</v>
      </c>
      <c r="G3" s="90">
        <v>43</v>
      </c>
    </row>
    <row r="4" spans="3:7" x14ac:dyDescent="0.25">
      <c r="D4" s="85" t="s">
        <v>1</v>
      </c>
      <c r="G4" s="90">
        <v>64</v>
      </c>
    </row>
    <row r="5" spans="3:7" x14ac:dyDescent="0.25">
      <c r="D5" s="85" t="s">
        <v>2</v>
      </c>
      <c r="G5" s="90">
        <v>23</v>
      </c>
    </row>
    <row r="6" spans="3:7" x14ac:dyDescent="0.25">
      <c r="D6" s="85" t="s">
        <v>3</v>
      </c>
      <c r="G6" s="90">
        <v>45</v>
      </c>
    </row>
    <row r="7" spans="3:7" x14ac:dyDescent="0.25">
      <c r="D7" s="85" t="s">
        <v>4</v>
      </c>
      <c r="G7" s="90">
        <v>24</v>
      </c>
    </row>
    <row r="8" spans="3:7" x14ac:dyDescent="0.25">
      <c r="D8" s="85" t="s">
        <v>0</v>
      </c>
      <c r="G8" s="90">
        <v>56</v>
      </c>
    </row>
    <row r="9" spans="3:7" x14ac:dyDescent="0.25">
      <c r="D9" s="85" t="s">
        <v>6</v>
      </c>
      <c r="G9" s="90">
        <v>34</v>
      </c>
    </row>
    <row r="10" spans="3:7" x14ac:dyDescent="0.25">
      <c r="D10" s="85" t="s">
        <v>7</v>
      </c>
      <c r="G10" s="90">
        <v>33</v>
      </c>
    </row>
    <row r="11" spans="3:7" x14ac:dyDescent="0.25">
      <c r="D11" s="85" t="s">
        <v>0</v>
      </c>
      <c r="G11" s="90">
        <v>42</v>
      </c>
    </row>
    <row r="12" spans="3:7" x14ac:dyDescent="0.25">
      <c r="D12" s="1"/>
      <c r="G12" s="1"/>
    </row>
    <row r="13" spans="3:7" x14ac:dyDescent="0.25">
      <c r="C13" s="87" t="s">
        <v>8</v>
      </c>
      <c r="D13" s="88">
        <f>COUNTIF(D3:D11,"A")</f>
        <v>3</v>
      </c>
      <c r="E13" s="89" t="s">
        <v>11</v>
      </c>
      <c r="F13" s="89" t="s">
        <v>12</v>
      </c>
      <c r="G13" s="89">
        <f>COUNTIF(G3:G11,"&gt;="&amp;33)</f>
        <v>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6:F6"/>
  <sheetViews>
    <sheetView workbookViewId="0">
      <selection activeCell="F6" sqref="F6"/>
    </sheetView>
  </sheetViews>
  <sheetFormatPr defaultRowHeight="15" x14ac:dyDescent="0.25"/>
  <cols>
    <col min="5" max="5" width="16.42578125" bestFit="1" customWidth="1"/>
  </cols>
  <sheetData>
    <row r="6" spans="5:6" x14ac:dyDescent="0.25">
      <c r="E6" s="8" t="s">
        <v>32</v>
      </c>
      <c r="F6" s="8">
        <f>COUNTIF(Sheetsname,"A")</f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11"/>
  <sheetViews>
    <sheetView workbookViewId="0">
      <selection activeCell="B11" sqref="B11:D11"/>
    </sheetView>
  </sheetViews>
  <sheetFormatPr defaultRowHeight="15" x14ac:dyDescent="0.25"/>
  <cols>
    <col min="1" max="1" width="10" customWidth="1"/>
    <col min="2" max="2" width="9.28515625" customWidth="1"/>
  </cols>
  <sheetData>
    <row r="1" spans="1:4" ht="15.75" thickBot="1" x14ac:dyDescent="0.3">
      <c r="A1" s="37" t="s">
        <v>33</v>
      </c>
      <c r="B1" s="9"/>
      <c r="C1" s="9"/>
      <c r="D1" s="9"/>
    </row>
    <row r="2" spans="1:4" ht="15.75" thickTop="1" x14ac:dyDescent="0.25">
      <c r="A2" s="1" t="s">
        <v>47</v>
      </c>
    </row>
    <row r="3" spans="1:4" x14ac:dyDescent="0.25">
      <c r="A3" s="1" t="s">
        <v>48</v>
      </c>
    </row>
    <row r="4" spans="1:4" x14ac:dyDescent="0.25">
      <c r="A4" s="1" t="s">
        <v>49</v>
      </c>
    </row>
    <row r="5" spans="1:4" x14ac:dyDescent="0.25">
      <c r="A5" s="1" t="s">
        <v>97</v>
      </c>
    </row>
    <row r="6" spans="1:4" x14ac:dyDescent="0.25">
      <c r="A6" s="1" t="s">
        <v>50</v>
      </c>
    </row>
    <row r="7" spans="1:4" x14ac:dyDescent="0.25">
      <c r="A7" s="1" t="s">
        <v>51</v>
      </c>
    </row>
    <row r="8" spans="1:4" x14ac:dyDescent="0.25">
      <c r="A8" s="1" t="s">
        <v>52</v>
      </c>
    </row>
    <row r="9" spans="1:4" ht="15.75" thickBot="1" x14ac:dyDescent="0.3"/>
    <row r="10" spans="1:4" ht="15.75" thickBot="1" x14ac:dyDescent="0.3">
      <c r="B10" s="38" t="s">
        <v>53</v>
      </c>
      <c r="C10" s="39"/>
      <c r="D10" s="40"/>
    </row>
    <row r="11" spans="1:4" ht="15.75" thickBot="1" x14ac:dyDescent="0.3">
      <c r="B11" s="93">
        <f>COUNTIF(A2:A8,"N*")</f>
        <v>3</v>
      </c>
      <c r="C11" s="94"/>
      <c r="D11" s="95"/>
    </row>
  </sheetData>
  <mergeCells count="1">
    <mergeCell ref="B11:D11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E5:F18"/>
  <sheetViews>
    <sheetView workbookViewId="0">
      <selection activeCell="F5" sqref="F5:F15"/>
    </sheetView>
  </sheetViews>
  <sheetFormatPr defaultRowHeight="15" x14ac:dyDescent="0.25"/>
  <cols>
    <col min="5" max="5" width="18.85546875" bestFit="1" customWidth="1"/>
  </cols>
  <sheetData>
    <row r="5" spans="6:6" x14ac:dyDescent="0.25">
      <c r="F5" s="3" t="s">
        <v>18</v>
      </c>
    </row>
    <row r="6" spans="6:6" x14ac:dyDescent="0.25">
      <c r="F6" s="2" t="s">
        <v>13</v>
      </c>
    </row>
    <row r="7" spans="6:6" x14ac:dyDescent="0.25">
      <c r="F7" s="2">
        <v>2</v>
      </c>
    </row>
    <row r="8" spans="6:6" x14ac:dyDescent="0.25">
      <c r="F8" s="2">
        <v>4</v>
      </c>
    </row>
    <row r="9" spans="6:6" x14ac:dyDescent="0.25">
      <c r="F9" s="2" t="s">
        <v>14</v>
      </c>
    </row>
    <row r="10" spans="6:6" x14ac:dyDescent="0.25">
      <c r="F10" s="2" t="s">
        <v>15</v>
      </c>
    </row>
    <row r="11" spans="6:6" x14ac:dyDescent="0.25">
      <c r="F11" s="2">
        <v>4</v>
      </c>
    </row>
    <row r="12" spans="6:6" x14ac:dyDescent="0.25">
      <c r="F12" s="2" t="s">
        <v>16</v>
      </c>
    </row>
    <row r="13" spans="6:6" x14ac:dyDescent="0.25">
      <c r="F13" s="2">
        <v>5</v>
      </c>
    </row>
    <row r="14" spans="6:6" x14ac:dyDescent="0.25">
      <c r="F14" s="2" t="s">
        <v>14</v>
      </c>
    </row>
    <row r="15" spans="6:6" x14ac:dyDescent="0.25">
      <c r="F15" s="2" t="s">
        <v>17</v>
      </c>
    </row>
    <row r="17" spans="5:6" ht="15.75" thickBot="1" x14ac:dyDescent="0.3">
      <c r="E17" s="4" t="s">
        <v>60</v>
      </c>
      <c r="F17" s="4">
        <f t="array" ref="F17">COUNT(IF(ISNUMBER(F6:F15),F6:F15,""))</f>
        <v>4</v>
      </c>
    </row>
    <row r="18" spans="5:6" ht="15.75" thickTop="1" x14ac:dyDescent="0.25">
      <c r="F18">
        <f>COUNTIF(F6:F15,"&lt;9E300")</f>
        <v>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G4:H15"/>
  <sheetViews>
    <sheetView workbookViewId="0">
      <selection activeCell="G4" sqref="G4:G15"/>
    </sheetView>
  </sheetViews>
  <sheetFormatPr defaultRowHeight="15" x14ac:dyDescent="0.25"/>
  <cols>
    <col min="8" max="8" width="7.28515625" bestFit="1" customWidth="1"/>
  </cols>
  <sheetData>
    <row r="4" spans="7:8" x14ac:dyDescent="0.25">
      <c r="G4" s="3" t="s">
        <v>18</v>
      </c>
      <c r="H4" s="3" t="s">
        <v>29</v>
      </c>
    </row>
    <row r="5" spans="7:8" x14ac:dyDescent="0.25">
      <c r="G5" s="1" t="s">
        <v>22</v>
      </c>
      <c r="H5" s="1">
        <f>COUNTIF($G$5:$G$15,"&lt;="&amp;G5)</f>
        <v>11</v>
      </c>
    </row>
    <row r="6" spans="7:8" x14ac:dyDescent="0.25">
      <c r="G6" s="1" t="s">
        <v>0</v>
      </c>
      <c r="H6" s="1">
        <f t="shared" ref="H6:H15" si="0">COUNTIF($G$5:$G$15,"&lt;="&amp;G6)</f>
        <v>1</v>
      </c>
    </row>
    <row r="7" spans="7:8" x14ac:dyDescent="0.25">
      <c r="G7" s="1" t="s">
        <v>23</v>
      </c>
      <c r="H7" s="1">
        <f t="shared" si="0"/>
        <v>9</v>
      </c>
    </row>
    <row r="8" spans="7:8" x14ac:dyDescent="0.25">
      <c r="G8" s="1" t="s">
        <v>3</v>
      </c>
      <c r="H8" s="1">
        <f t="shared" si="0"/>
        <v>2</v>
      </c>
    </row>
    <row r="9" spans="7:8" x14ac:dyDescent="0.25">
      <c r="G9" s="1" t="s">
        <v>24</v>
      </c>
      <c r="H9" s="1">
        <f t="shared" si="0"/>
        <v>8</v>
      </c>
    </row>
    <row r="10" spans="7:8" x14ac:dyDescent="0.25">
      <c r="G10" s="1" t="s">
        <v>4</v>
      </c>
      <c r="H10" s="1">
        <f t="shared" si="0"/>
        <v>3</v>
      </c>
    </row>
    <row r="11" spans="7:8" x14ac:dyDescent="0.25">
      <c r="G11" s="1" t="s">
        <v>7</v>
      </c>
      <c r="H11" s="1">
        <f t="shared" si="0"/>
        <v>4</v>
      </c>
    </row>
    <row r="12" spans="7:8" x14ac:dyDescent="0.25">
      <c r="G12" s="1" t="s">
        <v>25</v>
      </c>
      <c r="H12" s="1">
        <f t="shared" si="0"/>
        <v>10</v>
      </c>
    </row>
    <row r="13" spans="7:8" x14ac:dyDescent="0.25">
      <c r="G13" s="1" t="s">
        <v>26</v>
      </c>
      <c r="H13" s="1">
        <f t="shared" si="0"/>
        <v>7</v>
      </c>
    </row>
    <row r="14" spans="7:8" x14ac:dyDescent="0.25">
      <c r="G14" s="1" t="s">
        <v>27</v>
      </c>
      <c r="H14" s="1">
        <f t="shared" si="0"/>
        <v>6</v>
      </c>
    </row>
    <row r="15" spans="7:8" x14ac:dyDescent="0.25">
      <c r="G15" s="1" t="s">
        <v>28</v>
      </c>
      <c r="H15" s="1">
        <f t="shared" si="0"/>
        <v>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4:D17"/>
  <sheetViews>
    <sheetView workbookViewId="0">
      <selection activeCell="G7" sqref="G7"/>
    </sheetView>
  </sheetViews>
  <sheetFormatPr defaultRowHeight="15" x14ac:dyDescent="0.25"/>
  <cols>
    <col min="3" max="3" width="15.28515625" bestFit="1" customWidth="1"/>
    <col min="4" max="4" width="8.5703125" bestFit="1" customWidth="1"/>
  </cols>
  <sheetData>
    <row r="4" spans="3:4" x14ac:dyDescent="0.25">
      <c r="D4" s="3" t="s">
        <v>18</v>
      </c>
    </row>
    <row r="5" spans="3:4" x14ac:dyDescent="0.25">
      <c r="D5" s="2" t="s">
        <v>13</v>
      </c>
    </row>
    <row r="6" spans="3:4" x14ac:dyDescent="0.25">
      <c r="D6" s="2">
        <v>2</v>
      </c>
    </row>
    <row r="7" spans="3:4" x14ac:dyDescent="0.25">
      <c r="D7" s="2">
        <v>4</v>
      </c>
    </row>
    <row r="8" spans="3:4" x14ac:dyDescent="0.25">
      <c r="D8" s="2" t="s">
        <v>14</v>
      </c>
    </row>
    <row r="9" spans="3:4" x14ac:dyDescent="0.25">
      <c r="D9" s="2" t="s">
        <v>15</v>
      </c>
    </row>
    <row r="10" spans="3:4" x14ac:dyDescent="0.25">
      <c r="D10" s="2">
        <v>4</v>
      </c>
    </row>
    <row r="11" spans="3:4" x14ac:dyDescent="0.25">
      <c r="D11" s="2" t="s">
        <v>16</v>
      </c>
    </row>
    <row r="12" spans="3:4" x14ac:dyDescent="0.25">
      <c r="D12" s="2">
        <v>5</v>
      </c>
    </row>
    <row r="13" spans="3:4" x14ac:dyDescent="0.25">
      <c r="D13" s="2" t="s">
        <v>14</v>
      </c>
    </row>
    <row r="14" spans="3:4" x14ac:dyDescent="0.25">
      <c r="D14" s="2" t="s">
        <v>17</v>
      </c>
    </row>
    <row r="16" spans="3:4" ht="15.75" thickBot="1" x14ac:dyDescent="0.3">
      <c r="C16" s="4" t="s">
        <v>19</v>
      </c>
      <c r="D16" s="79">
        <f>COUNTIF(D5:D14,"*")</f>
        <v>6</v>
      </c>
    </row>
    <row r="17" ht="15.75" thickTop="1" x14ac:dyDescent="0.25"/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D1:F15"/>
  <sheetViews>
    <sheetView tabSelected="1" workbookViewId="0">
      <selection activeCell="E15" sqref="E15"/>
    </sheetView>
  </sheetViews>
  <sheetFormatPr defaultRowHeight="15" x14ac:dyDescent="0.25"/>
  <cols>
    <col min="4" max="4" width="13.28515625" bestFit="1" customWidth="1"/>
    <col min="5" max="5" width="15.28515625" bestFit="1" customWidth="1"/>
    <col min="6" max="6" width="23.28515625" bestFit="1" customWidth="1"/>
  </cols>
  <sheetData>
    <row r="1" spans="4:6" x14ac:dyDescent="0.25">
      <c r="D1" s="3" t="s">
        <v>18</v>
      </c>
      <c r="E1" s="3" t="s">
        <v>21</v>
      </c>
    </row>
    <row r="2" spans="4:6" x14ac:dyDescent="0.25">
      <c r="D2" s="1" t="s">
        <v>0</v>
      </c>
      <c r="E2" s="2">
        <f>COUNTIF($D$2:D2,D2)</f>
        <v>1</v>
      </c>
    </row>
    <row r="3" spans="4:6" x14ac:dyDescent="0.25">
      <c r="D3" s="1" t="s">
        <v>1</v>
      </c>
      <c r="E3" s="2">
        <f>COUNTIF($D$2:D3,D3)</f>
        <v>1</v>
      </c>
    </row>
    <row r="4" spans="4:6" x14ac:dyDescent="0.25">
      <c r="D4" s="1" t="s">
        <v>2</v>
      </c>
      <c r="E4" s="2">
        <f>COUNTIF($D$2:D4,D4)</f>
        <v>1</v>
      </c>
    </row>
    <row r="5" spans="4:6" x14ac:dyDescent="0.25">
      <c r="D5" s="1" t="s">
        <v>3</v>
      </c>
      <c r="E5" s="2">
        <f>COUNTIF($D$2:D5,D5)</f>
        <v>1</v>
      </c>
    </row>
    <row r="6" spans="4:6" x14ac:dyDescent="0.25">
      <c r="D6" s="1" t="s">
        <v>4</v>
      </c>
      <c r="E6" s="2">
        <f>COUNTIF($D$2:D6,D6)</f>
        <v>1</v>
      </c>
    </row>
    <row r="7" spans="4:6" x14ac:dyDescent="0.25">
      <c r="D7" s="1" t="s">
        <v>5</v>
      </c>
      <c r="E7" s="2">
        <f>COUNTIF($D$2:D7,D7)</f>
        <v>1</v>
      </c>
    </row>
    <row r="8" spans="4:6" x14ac:dyDescent="0.25">
      <c r="D8" s="1" t="s">
        <v>0</v>
      </c>
      <c r="E8" s="2">
        <f>COUNTIF($D$2:D8,D8)</f>
        <v>2</v>
      </c>
    </row>
    <row r="9" spans="4:6" x14ac:dyDescent="0.25">
      <c r="D9" s="1" t="s">
        <v>3</v>
      </c>
      <c r="E9" s="2">
        <f>COUNTIF($D$2:D9,D9)</f>
        <v>2</v>
      </c>
    </row>
    <row r="10" spans="4:6" x14ac:dyDescent="0.25">
      <c r="D10" s="1" t="s">
        <v>5</v>
      </c>
      <c r="E10" s="2">
        <f>COUNTIF($D$2:D10,D10)</f>
        <v>2</v>
      </c>
    </row>
    <row r="11" spans="4:6" x14ac:dyDescent="0.25">
      <c r="D11" s="1" t="s">
        <v>6</v>
      </c>
      <c r="E11" s="2">
        <f>COUNTIF($D$2:D11,D11)</f>
        <v>1</v>
      </c>
    </row>
    <row r="12" spans="4:6" x14ac:dyDescent="0.25">
      <c r="D12" s="1" t="s">
        <v>1</v>
      </c>
      <c r="E12" s="2">
        <f>COUNTIF($D$2:D12,D12)</f>
        <v>2</v>
      </c>
    </row>
    <row r="14" spans="4:6" x14ac:dyDescent="0.25">
      <c r="D14" s="5" t="s">
        <v>20</v>
      </c>
      <c r="E14" s="7">
        <f>COUNTIF(E2:E12,1)</f>
        <v>7</v>
      </c>
      <c r="F14" s="1" t="s">
        <v>45</v>
      </c>
    </row>
    <row r="15" spans="4:6" x14ac:dyDescent="0.25">
      <c r="D15" s="5" t="s">
        <v>20</v>
      </c>
      <c r="E15" s="7">
        <f t="array" ref="E15">SUM(1/COUNTIF(D2:D12,D2:D12))</f>
        <v>7</v>
      </c>
      <c r="F15" s="1" t="s">
        <v>46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G3:H19"/>
  <sheetViews>
    <sheetView workbookViewId="0">
      <selection activeCell="H20" sqref="H20"/>
    </sheetView>
  </sheetViews>
  <sheetFormatPr defaultRowHeight="15" x14ac:dyDescent="0.25"/>
  <cols>
    <col min="7" max="7" width="10.140625" bestFit="1" customWidth="1"/>
    <col min="8" max="8" width="11" customWidth="1"/>
  </cols>
  <sheetData>
    <row r="3" spans="8:8" x14ac:dyDescent="0.25">
      <c r="H3" s="6" t="s">
        <v>30</v>
      </c>
    </row>
    <row r="4" spans="8:8" x14ac:dyDescent="0.25">
      <c r="H4" s="2" t="s">
        <v>0</v>
      </c>
    </row>
    <row r="5" spans="8:8" x14ac:dyDescent="0.25">
      <c r="H5" s="2" t="s">
        <v>1</v>
      </c>
    </row>
    <row r="6" spans="8:8" x14ac:dyDescent="0.25">
      <c r="H6" s="2" t="s">
        <v>2</v>
      </c>
    </row>
    <row r="7" spans="8:8" x14ac:dyDescent="0.25">
      <c r="H7" s="2" t="e">
        <v>#N/A</v>
      </c>
    </row>
    <row r="8" spans="8:8" x14ac:dyDescent="0.25">
      <c r="H8" s="2" t="s">
        <v>23</v>
      </c>
    </row>
    <row r="9" spans="8:8" x14ac:dyDescent="0.25">
      <c r="H9" s="2">
        <v>-15</v>
      </c>
    </row>
    <row r="10" spans="8:8" x14ac:dyDescent="0.25">
      <c r="H10" s="2" t="s">
        <v>22</v>
      </c>
    </row>
    <row r="11" spans="8:8" x14ac:dyDescent="0.25">
      <c r="H11" s="2" t="e">
        <v>#NAME?</v>
      </c>
    </row>
    <row r="12" spans="8:8" x14ac:dyDescent="0.25">
      <c r="H12" s="2">
        <v>23</v>
      </c>
    </row>
    <row r="13" spans="8:8" x14ac:dyDescent="0.25">
      <c r="H13" s="2">
        <v>52</v>
      </c>
    </row>
    <row r="14" spans="8:8" x14ac:dyDescent="0.25">
      <c r="H14" s="2" t="e">
        <v>#REF!</v>
      </c>
    </row>
    <row r="15" spans="8:8" x14ac:dyDescent="0.25">
      <c r="H15" s="2">
        <v>-12</v>
      </c>
    </row>
    <row r="16" spans="8:8" x14ac:dyDescent="0.25">
      <c r="H16" s="2">
        <v>23</v>
      </c>
    </row>
    <row r="18" spans="7:8" x14ac:dyDescent="0.25">
      <c r="G18" s="5" t="s">
        <v>31</v>
      </c>
      <c r="H18" s="7">
        <f>COUNTIF(H4:H16,"&gt;0")</f>
        <v>3</v>
      </c>
    </row>
    <row r="19" spans="7:8" x14ac:dyDescent="0.25">
      <c r="H19" s="80">
        <f>SUM(COUNTIF(H4:H16, {"#N/A","#VALUE!","#REF!","#DIV/0!","#NUM!","#NAME?","#NULL!"}))</f>
        <v>3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G6:H21"/>
  <sheetViews>
    <sheetView workbookViewId="0">
      <selection activeCell="H7" sqref="H7"/>
    </sheetView>
  </sheetViews>
  <sheetFormatPr defaultRowHeight="15" x14ac:dyDescent="0.25"/>
  <cols>
    <col min="7" max="7" width="20.140625" bestFit="1" customWidth="1"/>
  </cols>
  <sheetData>
    <row r="6" spans="8:8" x14ac:dyDescent="0.25">
      <c r="H6" s="3" t="s">
        <v>18</v>
      </c>
    </row>
    <row r="7" spans="8:8" x14ac:dyDescent="0.25">
      <c r="H7" s="2" t="s">
        <v>22</v>
      </c>
    </row>
    <row r="8" spans="8:8" x14ac:dyDescent="0.25">
      <c r="H8" s="2" t="s">
        <v>0</v>
      </c>
    </row>
    <row r="9" spans="8:8" x14ac:dyDescent="0.25">
      <c r="H9" s="2" t="s">
        <v>23</v>
      </c>
    </row>
    <row r="10" spans="8:8" x14ac:dyDescent="0.25">
      <c r="H10" s="2"/>
    </row>
    <row r="11" spans="8:8" x14ac:dyDescent="0.25">
      <c r="H11" s="2" t="s">
        <v>24</v>
      </c>
    </row>
    <row r="12" spans="8:8" x14ac:dyDescent="0.25">
      <c r="H12" s="2" t="s">
        <v>4</v>
      </c>
    </row>
    <row r="13" spans="8:8" x14ac:dyDescent="0.25">
      <c r="H13" s="2"/>
    </row>
    <row r="14" spans="8:8" x14ac:dyDescent="0.25">
      <c r="H14" s="2" t="s">
        <v>25</v>
      </c>
    </row>
    <row r="15" spans="8:8" x14ac:dyDescent="0.25">
      <c r="H15" s="2" t="s">
        <v>26</v>
      </c>
    </row>
    <row r="16" spans="8:8" x14ac:dyDescent="0.25">
      <c r="H16" s="2"/>
    </row>
    <row r="17" spans="7:8" x14ac:dyDescent="0.25">
      <c r="H17" s="2" t="s">
        <v>28</v>
      </c>
    </row>
    <row r="20" spans="7:8" x14ac:dyDescent="0.25">
      <c r="G20" s="10" t="s">
        <v>35</v>
      </c>
      <c r="H20" s="11">
        <f>COUNTIF(H7:H17,"&lt;&gt;"&amp;"")</f>
        <v>8</v>
      </c>
    </row>
    <row r="21" spans="7:8" x14ac:dyDescent="0.25">
      <c r="G21" t="s">
        <v>61</v>
      </c>
    </row>
  </sheetData>
  <pageMargins left="0.7" right="0.7" top="0.75" bottom="0.75" header="0.3" footer="0.3"/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G4:H19"/>
  <sheetViews>
    <sheetView topLeftCell="B1" workbookViewId="0">
      <selection activeCell="G5" sqref="G5:H16"/>
    </sheetView>
  </sheetViews>
  <sheetFormatPr defaultRowHeight="15" x14ac:dyDescent="0.25"/>
  <cols>
    <col min="7" max="7" width="20.140625" bestFit="1" customWidth="1"/>
    <col min="8" max="8" width="8.5703125" bestFit="1" customWidth="1"/>
  </cols>
  <sheetData>
    <row r="4" spans="7:8" ht="15.75" thickBot="1" x14ac:dyDescent="0.3"/>
    <row r="5" spans="7:8" ht="15.75" thickBot="1" x14ac:dyDescent="0.3">
      <c r="G5" s="56" t="s">
        <v>58</v>
      </c>
      <c r="H5" s="56" t="s">
        <v>59</v>
      </c>
    </row>
    <row r="6" spans="7:8" x14ac:dyDescent="0.25">
      <c r="G6" s="46">
        <v>454</v>
      </c>
      <c r="H6" s="22" t="s">
        <v>22</v>
      </c>
    </row>
    <row r="7" spans="7:8" x14ac:dyDescent="0.25">
      <c r="G7" s="31">
        <v>456</v>
      </c>
      <c r="H7" s="23" t="s">
        <v>0</v>
      </c>
    </row>
    <row r="8" spans="7:8" x14ac:dyDescent="0.25">
      <c r="G8" s="31"/>
      <c r="H8" s="23" t="s">
        <v>23</v>
      </c>
    </row>
    <row r="9" spans="7:8" x14ac:dyDescent="0.25">
      <c r="G9" s="31">
        <v>567</v>
      </c>
      <c r="H9" s="23"/>
    </row>
    <row r="10" spans="7:8" x14ac:dyDescent="0.25">
      <c r="G10" s="31">
        <v>65</v>
      </c>
      <c r="H10" s="23" t="s">
        <v>24</v>
      </c>
    </row>
    <row r="11" spans="7:8" x14ac:dyDescent="0.25">
      <c r="G11" s="31"/>
      <c r="H11" s="23" t="s">
        <v>4</v>
      </c>
    </row>
    <row r="12" spans="7:8" x14ac:dyDescent="0.25">
      <c r="G12" s="31">
        <v>789</v>
      </c>
      <c r="H12" s="23"/>
    </row>
    <row r="13" spans="7:8" x14ac:dyDescent="0.25">
      <c r="G13" s="31">
        <v>876</v>
      </c>
      <c r="H13" s="23" t="s">
        <v>25</v>
      </c>
    </row>
    <row r="14" spans="7:8" x14ac:dyDescent="0.25">
      <c r="G14" s="31">
        <v>432</v>
      </c>
      <c r="H14" s="23" t="s">
        <v>26</v>
      </c>
    </row>
    <row r="15" spans="7:8" x14ac:dyDescent="0.25">
      <c r="G15" s="31">
        <v>567</v>
      </c>
      <c r="H15" s="23"/>
    </row>
    <row r="16" spans="7:8" ht="15.75" thickBot="1" x14ac:dyDescent="0.3">
      <c r="G16" s="32">
        <v>654</v>
      </c>
      <c r="H16" s="24" t="s">
        <v>28</v>
      </c>
    </row>
    <row r="19" spans="7:8" x14ac:dyDescent="0.25">
      <c r="G19" s="10" t="s">
        <v>35</v>
      </c>
      <c r="H19" s="11">
        <f>COUNTIF(G6:H16,"="&amp;"")</f>
        <v>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G4:H16"/>
  <sheetViews>
    <sheetView topLeftCell="B1" workbookViewId="0">
      <selection activeCell="F16" sqref="F16"/>
    </sheetView>
  </sheetViews>
  <sheetFormatPr defaultRowHeight="15" x14ac:dyDescent="0.25"/>
  <cols>
    <col min="1" max="1" width="7.5703125" customWidth="1"/>
    <col min="7" max="7" width="27.85546875" bestFit="1" customWidth="1"/>
  </cols>
  <sheetData>
    <row r="4" spans="7:8" x14ac:dyDescent="0.25">
      <c r="G4" s="12" t="s">
        <v>38</v>
      </c>
      <c r="H4" s="13" t="s">
        <v>37</v>
      </c>
    </row>
    <row r="5" spans="7:8" x14ac:dyDescent="0.25">
      <c r="G5" s="14" t="s">
        <v>0</v>
      </c>
      <c r="H5" s="15">
        <v>45325</v>
      </c>
    </row>
    <row r="6" spans="7:8" x14ac:dyDescent="0.25">
      <c r="G6" s="14" t="s">
        <v>1</v>
      </c>
      <c r="H6" s="15">
        <v>4346</v>
      </c>
    </row>
    <row r="7" spans="7:8" x14ac:dyDescent="0.25">
      <c r="G7" s="14" t="s">
        <v>2</v>
      </c>
      <c r="H7" s="15">
        <v>3446</v>
      </c>
    </row>
    <row r="8" spans="7:8" x14ac:dyDescent="0.25">
      <c r="G8" s="14" t="s">
        <v>3</v>
      </c>
      <c r="H8" s="15">
        <v>34677</v>
      </c>
    </row>
    <row r="9" spans="7:8" x14ac:dyDescent="0.25">
      <c r="G9" s="14" t="s">
        <v>4</v>
      </c>
      <c r="H9" s="15">
        <v>33454</v>
      </c>
    </row>
    <row r="10" spans="7:8" x14ac:dyDescent="0.25">
      <c r="G10" s="14" t="s">
        <v>5</v>
      </c>
      <c r="H10" s="15">
        <v>4233</v>
      </c>
    </row>
    <row r="11" spans="7:8" x14ac:dyDescent="0.25">
      <c r="G11" s="14" t="s">
        <v>6</v>
      </c>
      <c r="H11" s="15">
        <v>5327</v>
      </c>
    </row>
    <row r="12" spans="7:8" x14ac:dyDescent="0.25">
      <c r="G12" s="14" t="s">
        <v>7</v>
      </c>
      <c r="H12" s="15">
        <v>8645</v>
      </c>
    </row>
    <row r="13" spans="7:8" x14ac:dyDescent="0.25">
      <c r="G13" s="14" t="s">
        <v>39</v>
      </c>
      <c r="H13" s="15">
        <v>8759</v>
      </c>
    </row>
    <row r="14" spans="7:8" x14ac:dyDescent="0.25">
      <c r="G14" s="14" t="s">
        <v>40</v>
      </c>
      <c r="H14" s="15">
        <v>4324</v>
      </c>
    </row>
    <row r="15" spans="7:8" ht="15.75" thickBot="1" x14ac:dyDescent="0.3">
      <c r="G15" s="16"/>
      <c r="H15" s="16"/>
    </row>
    <row r="16" spans="7:8" ht="15.75" thickBot="1" x14ac:dyDescent="0.3">
      <c r="G16" s="36" t="s">
        <v>36</v>
      </c>
      <c r="H16" s="16">
        <f>COUNTIF(H5:H14,"&gt;"&amp;AVERAGE(H5:H14))</f>
        <v>3</v>
      </c>
    </row>
  </sheetData>
  <pageMargins left="0.7" right="0.7" top="0.75" bottom="0.75" header="0.3" footer="0.3"/>
  <pageSetup orientation="portrait" verticalDpi="0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G3:H19"/>
  <sheetViews>
    <sheetView workbookViewId="0">
      <selection activeCell="G4" sqref="G4:H17"/>
    </sheetView>
  </sheetViews>
  <sheetFormatPr defaultRowHeight="15" x14ac:dyDescent="0.25"/>
  <cols>
    <col min="6" max="6" width="10" bestFit="1" customWidth="1"/>
    <col min="7" max="7" width="10.7109375" bestFit="1" customWidth="1"/>
    <col min="8" max="8" width="14.140625" customWidth="1"/>
  </cols>
  <sheetData>
    <row r="3" spans="7:8" ht="15.75" thickBot="1" x14ac:dyDescent="0.3"/>
    <row r="4" spans="7:8" x14ac:dyDescent="0.25">
      <c r="G4" s="28" t="s">
        <v>18</v>
      </c>
      <c r="H4" s="29" t="s">
        <v>21</v>
      </c>
    </row>
    <row r="5" spans="7:8" x14ac:dyDescent="0.25">
      <c r="G5" s="30">
        <v>40890</v>
      </c>
      <c r="H5" s="20" t="e">
        <f ca="1">isdate(G5)</f>
        <v>#NAME?</v>
      </c>
    </row>
    <row r="6" spans="7:8" x14ac:dyDescent="0.25">
      <c r="G6" s="31">
        <v>32</v>
      </c>
      <c r="H6" s="20" t="e">
        <f t="shared" ref="H6:H14" ca="1" si="0">isdate(G6)</f>
        <v>#NAME?</v>
      </c>
    </row>
    <row r="7" spans="7:8" x14ac:dyDescent="0.25">
      <c r="G7" s="31" t="s">
        <v>34</v>
      </c>
      <c r="H7" s="20" t="e">
        <f t="shared" ca="1" si="0"/>
        <v>#NAME?</v>
      </c>
    </row>
    <row r="8" spans="7:8" x14ac:dyDescent="0.25">
      <c r="G8" s="31">
        <v>34</v>
      </c>
      <c r="H8" s="20" t="e">
        <f t="shared" ca="1" si="0"/>
        <v>#NAME?</v>
      </c>
    </row>
    <row r="9" spans="7:8" x14ac:dyDescent="0.25">
      <c r="G9" s="30">
        <v>40889</v>
      </c>
      <c r="H9" s="20" t="e">
        <f t="shared" ca="1" si="0"/>
        <v>#NAME?</v>
      </c>
    </row>
    <row r="10" spans="7:8" x14ac:dyDescent="0.25">
      <c r="G10" s="31">
        <v>343</v>
      </c>
      <c r="H10" s="20" t="e">
        <f t="shared" ca="1" si="0"/>
        <v>#NAME?</v>
      </c>
    </row>
    <row r="11" spans="7:8" x14ac:dyDescent="0.25">
      <c r="G11" s="31" t="s">
        <v>41</v>
      </c>
      <c r="H11" s="20" t="e">
        <f t="shared" ca="1" si="0"/>
        <v>#NAME?</v>
      </c>
    </row>
    <row r="12" spans="7:8" x14ac:dyDescent="0.25">
      <c r="G12" s="31">
        <v>343</v>
      </c>
      <c r="H12" s="20" t="e">
        <f t="shared" ca="1" si="0"/>
        <v>#NAME?</v>
      </c>
    </row>
    <row r="13" spans="7:8" x14ac:dyDescent="0.25">
      <c r="G13" s="30">
        <v>40877</v>
      </c>
      <c r="H13" s="20" t="e">
        <f t="shared" ca="1" si="0"/>
        <v>#NAME?</v>
      </c>
    </row>
    <row r="14" spans="7:8" ht="15.75" thickBot="1" x14ac:dyDescent="0.3">
      <c r="G14" s="32">
        <v>3434</v>
      </c>
      <c r="H14" s="21" t="e">
        <f t="shared" ca="1" si="0"/>
        <v>#NAME?</v>
      </c>
    </row>
    <row r="16" spans="7:8" ht="15.75" thickBot="1" x14ac:dyDescent="0.3"/>
    <row r="17" spans="7:8" ht="15.75" thickBot="1" x14ac:dyDescent="0.3">
      <c r="G17" s="33" t="s">
        <v>44</v>
      </c>
      <c r="H17" s="34">
        <f ca="1">COUNTIF(H5:H14,TRUE)</f>
        <v>0</v>
      </c>
    </row>
    <row r="19" spans="7:8" x14ac:dyDescent="0.25">
      <c r="H19" s="35">
        <f>COUNTIF(G5:G14,"&gt;="&amp;DATE(YEAR(2011),12,1))</f>
        <v>4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F4:J21"/>
  <sheetViews>
    <sheetView workbookViewId="0"/>
  </sheetViews>
  <sheetFormatPr defaultRowHeight="15" x14ac:dyDescent="0.25"/>
  <cols>
    <col min="7" max="7" width="15.7109375" customWidth="1"/>
  </cols>
  <sheetData>
    <row r="4" spans="6:10" ht="15.75" thickBot="1" x14ac:dyDescent="0.3"/>
    <row r="5" spans="6:10" ht="15.75" thickBot="1" x14ac:dyDescent="0.3">
      <c r="F5" s="25" t="s">
        <v>42</v>
      </c>
      <c r="G5" s="26" t="s">
        <v>21</v>
      </c>
      <c r="J5" t="s">
        <v>96</v>
      </c>
    </row>
    <row r="6" spans="6:10" ht="15.75" x14ac:dyDescent="0.25">
      <c r="F6" s="57"/>
      <c r="G6" s="66">
        <f>ColorIndex</f>
        <v>35</v>
      </c>
      <c r="I6" t="s">
        <v>0</v>
      </c>
      <c r="J6">
        <f>CODE(I6)</f>
        <v>65</v>
      </c>
    </row>
    <row r="7" spans="6:10" ht="15.75" x14ac:dyDescent="0.25">
      <c r="F7" s="58"/>
      <c r="G7" s="67">
        <f>ColorIndex</f>
        <v>3</v>
      </c>
      <c r="I7">
        <v>63</v>
      </c>
      <c r="J7" t="str">
        <f>CHAR(I7)</f>
        <v>?</v>
      </c>
    </row>
    <row r="8" spans="6:10" ht="15.75" x14ac:dyDescent="0.25">
      <c r="F8" s="59"/>
      <c r="G8" s="67">
        <f>ColorIndex</f>
        <v>35</v>
      </c>
    </row>
    <row r="9" spans="6:10" ht="15.75" x14ac:dyDescent="0.25">
      <c r="F9" s="58"/>
      <c r="G9" s="67">
        <f>ColorIndex</f>
        <v>3</v>
      </c>
    </row>
    <row r="10" spans="6:10" ht="15.75" x14ac:dyDescent="0.25">
      <c r="F10" s="58"/>
      <c r="G10" s="67">
        <f>ColorIndex</f>
        <v>3</v>
      </c>
    </row>
    <row r="11" spans="6:10" ht="15.75" x14ac:dyDescent="0.25">
      <c r="F11" s="60"/>
      <c r="G11" s="67">
        <f>ColorIndex</f>
        <v>33</v>
      </c>
    </row>
    <row r="12" spans="6:10" ht="15.75" x14ac:dyDescent="0.25">
      <c r="F12" s="61"/>
      <c r="G12" s="67">
        <f>ColorIndex</f>
        <v>29</v>
      </c>
    </row>
    <row r="13" spans="6:10" ht="15.75" x14ac:dyDescent="0.25">
      <c r="F13" s="59"/>
      <c r="G13" s="67">
        <f>ColorIndex</f>
        <v>35</v>
      </c>
    </row>
    <row r="14" spans="6:10" ht="15.75" x14ac:dyDescent="0.25">
      <c r="F14" s="62"/>
      <c r="G14" s="67">
        <f>ColorIndex</f>
        <v>6</v>
      </c>
    </row>
    <row r="15" spans="6:10" ht="15.75" x14ac:dyDescent="0.25">
      <c r="F15" s="63"/>
      <c r="G15" s="67">
        <f>ColorIndex</f>
        <v>10</v>
      </c>
    </row>
    <row r="16" spans="6:10" ht="15.75" x14ac:dyDescent="0.25">
      <c r="F16" s="59"/>
      <c r="G16" s="67">
        <f>ColorIndex</f>
        <v>35</v>
      </c>
    </row>
    <row r="17" spans="6:7" ht="15.75" x14ac:dyDescent="0.25">
      <c r="F17" s="64"/>
      <c r="G17" s="67">
        <f>ColorIndex</f>
        <v>43</v>
      </c>
    </row>
    <row r="18" spans="6:7" ht="16.5" thickBot="1" x14ac:dyDescent="0.3">
      <c r="F18" s="65"/>
      <c r="G18" s="68">
        <f>ColorIndex</f>
        <v>35</v>
      </c>
    </row>
    <row r="19" spans="6:7" ht="15.75" thickBot="1" x14ac:dyDescent="0.3"/>
    <row r="20" spans="6:7" ht="16.5" thickBot="1" x14ac:dyDescent="0.3">
      <c r="F20" s="17" t="s">
        <v>42</v>
      </c>
      <c r="G20" s="18" t="s">
        <v>43</v>
      </c>
    </row>
    <row r="21" spans="6:7" ht="16.5" thickBot="1" x14ac:dyDescent="0.3">
      <c r="F21" s="19"/>
      <c r="G21" s="27">
        <f>COUNTIF(G6:G18,ColorIndex)</f>
        <v>5</v>
      </c>
    </row>
  </sheetData>
  <pageMargins left="0.7" right="0.7" top="0.75" bottom="0.75" header="0.3" footer="0.3"/>
  <pageSetup orientation="portrait" verticalDpi="0" r:id="rId1"/>
  <drawing r:id="rId2"/>
  <legacyDrawing r:id="rId3"/>
  <oleObjects>
    <mc:AlternateContent xmlns:mc="http://schemas.openxmlformats.org/markup-compatibility/2006">
      <mc:Choice Requires="x14">
        <oleObject progId="Document" shapeId="5124" r:id="rId4">
          <objectPr defaultSize="0" r:id="rId5">
            <anchor moveWithCells="1">
              <from>
                <xdr:col>10</xdr:col>
                <xdr:colOff>190500</xdr:colOff>
                <xdr:row>31</xdr:row>
                <xdr:rowOff>28575</xdr:rowOff>
              </from>
              <to>
                <xdr:col>20</xdr:col>
                <xdr:colOff>38100</xdr:colOff>
                <xdr:row>74</xdr:row>
                <xdr:rowOff>9525</xdr:rowOff>
              </to>
            </anchor>
          </objectPr>
        </oleObject>
      </mc:Choice>
      <mc:Fallback>
        <oleObject progId="Document" shapeId="5124" r:id="rId4"/>
      </mc:Fallback>
    </mc:AlternateContent>
  </oleObjec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F1:J20"/>
  <sheetViews>
    <sheetView workbookViewId="0">
      <selection activeCell="L9" sqref="L9"/>
    </sheetView>
  </sheetViews>
  <sheetFormatPr defaultRowHeight="15" x14ac:dyDescent="0.25"/>
  <cols>
    <col min="7" max="7" width="15.28515625" bestFit="1" customWidth="1"/>
    <col min="10" max="10" width="17.85546875" customWidth="1"/>
  </cols>
  <sheetData>
    <row r="1" spans="6:10" ht="15.75" thickBot="1" x14ac:dyDescent="0.3">
      <c r="F1" s="96" t="s">
        <v>54</v>
      </c>
      <c r="G1" s="97"/>
      <c r="I1" s="96" t="s">
        <v>55</v>
      </c>
      <c r="J1" s="97"/>
    </row>
    <row r="2" spans="6:10" ht="15.75" thickBot="1" x14ac:dyDescent="0.3"/>
    <row r="3" spans="6:10" ht="15.75" thickBot="1" x14ac:dyDescent="0.3">
      <c r="F3" s="45" t="s">
        <v>18</v>
      </c>
      <c r="G3" s="29" t="s">
        <v>21</v>
      </c>
      <c r="I3" s="45" t="s">
        <v>18</v>
      </c>
      <c r="J3" s="29" t="s">
        <v>21</v>
      </c>
    </row>
    <row r="4" spans="6:10" x14ac:dyDescent="0.25">
      <c r="F4" s="47">
        <v>452</v>
      </c>
      <c r="G4" s="51" t="b">
        <f ca="1">IsFormula</f>
        <v>0</v>
      </c>
      <c r="I4" s="47">
        <v>452</v>
      </c>
      <c r="J4" s="51" t="b">
        <f ca="1">IsArray</f>
        <v>0</v>
      </c>
    </row>
    <row r="5" spans="6:10" x14ac:dyDescent="0.25">
      <c r="F5" s="48">
        <v>535</v>
      </c>
      <c r="G5" s="52" t="b">
        <f ca="1">IsFormula</f>
        <v>0</v>
      </c>
      <c r="I5" s="48">
        <v>535</v>
      </c>
      <c r="J5" s="52" t="b">
        <f ca="1">IsArray</f>
        <v>0</v>
      </c>
    </row>
    <row r="6" spans="6:10" x14ac:dyDescent="0.25">
      <c r="F6" s="48">
        <v>335</v>
      </c>
      <c r="G6" s="52" t="b">
        <f ca="1">IsFormula</f>
        <v>0</v>
      </c>
      <c r="I6" s="48">
        <v>335</v>
      </c>
      <c r="J6" s="52" t="b">
        <f ca="1">IsArray</f>
        <v>0</v>
      </c>
    </row>
    <row r="7" spans="6:10" x14ac:dyDescent="0.25">
      <c r="F7" s="49">
        <f>SUM(F5:F6)</f>
        <v>870</v>
      </c>
      <c r="G7" s="52" t="b">
        <f ca="1">IsFormula</f>
        <v>1</v>
      </c>
      <c r="I7" s="48">
        <f>SUM(I5:I6)</f>
        <v>870</v>
      </c>
      <c r="J7" s="52" t="b">
        <f ca="1">IsArray</f>
        <v>0</v>
      </c>
    </row>
    <row r="8" spans="6:10" x14ac:dyDescent="0.25">
      <c r="F8" s="48">
        <v>35</v>
      </c>
      <c r="G8" s="52" t="b">
        <f ca="1">IsFormula</f>
        <v>0</v>
      </c>
      <c r="I8" s="48">
        <v>35</v>
      </c>
      <c r="J8" s="52" t="b">
        <f ca="1">IsArray</f>
        <v>0</v>
      </c>
    </row>
    <row r="9" spans="6:10" x14ac:dyDescent="0.25">
      <c r="F9" s="48">
        <v>325</v>
      </c>
      <c r="G9" s="52" t="b">
        <f ca="1">IsFormula</f>
        <v>0</v>
      </c>
      <c r="I9" s="48">
        <v>325</v>
      </c>
      <c r="J9" s="52" t="b">
        <f ca="1">IsArray</f>
        <v>0</v>
      </c>
    </row>
    <row r="10" spans="6:10" x14ac:dyDescent="0.25">
      <c r="F10" s="48">
        <v>34</v>
      </c>
      <c r="G10" s="52" t="b">
        <f ca="1">IsFormula</f>
        <v>0</v>
      </c>
      <c r="I10" s="55">
        <f t="array" ref="I10">SUM(I4:I9)</f>
        <v>2552</v>
      </c>
      <c r="J10" s="52" t="b">
        <f ca="1">IsArray</f>
        <v>1</v>
      </c>
    </row>
    <row r="11" spans="6:10" x14ac:dyDescent="0.25">
      <c r="F11" s="48">
        <v>543</v>
      </c>
      <c r="G11" s="52" t="b">
        <f ca="1">IsFormula</f>
        <v>0</v>
      </c>
      <c r="I11" s="48">
        <v>543</v>
      </c>
      <c r="J11" s="52" t="b">
        <f ca="1">IsArray</f>
        <v>0</v>
      </c>
    </row>
    <row r="12" spans="6:10" x14ac:dyDescent="0.25">
      <c r="F12" s="49">
        <f>SUM(F8:F11)</f>
        <v>937</v>
      </c>
      <c r="G12" s="52" t="b">
        <f ca="1">IsFormula</f>
        <v>1</v>
      </c>
      <c r="I12" s="48">
        <f>SUM(I8:I11)</f>
        <v>3455</v>
      </c>
      <c r="J12" s="52" t="b">
        <f ca="1">IsArray</f>
        <v>0</v>
      </c>
    </row>
    <row r="13" spans="6:10" x14ac:dyDescent="0.25">
      <c r="F13" s="48">
        <v>545</v>
      </c>
      <c r="G13" s="52" t="b">
        <f ca="1">IsFormula</f>
        <v>0</v>
      </c>
      <c r="I13" s="48">
        <v>545</v>
      </c>
      <c r="J13" s="52" t="b">
        <f ca="1">IsArray</f>
        <v>0</v>
      </c>
    </row>
    <row r="14" spans="6:10" x14ac:dyDescent="0.25">
      <c r="F14" s="48">
        <v>35</v>
      </c>
      <c r="G14" s="52" t="b">
        <f ca="1">IsFormula</f>
        <v>0</v>
      </c>
      <c r="I14" s="55">
        <f t="array" ref="I14">SUM(I10:I13)</f>
        <v>7095</v>
      </c>
      <c r="J14" s="52" t="b">
        <f ca="1">IsArray</f>
        <v>1</v>
      </c>
    </row>
    <row r="15" spans="6:10" x14ac:dyDescent="0.25">
      <c r="F15" s="48">
        <v>343</v>
      </c>
      <c r="G15" s="52" t="b">
        <f ca="1">IsFormula</f>
        <v>0</v>
      </c>
      <c r="I15" s="48">
        <v>343</v>
      </c>
      <c r="J15" s="52" t="b">
        <f ca="1">IsArray</f>
        <v>0</v>
      </c>
    </row>
    <row r="16" spans="6:10" ht="15.75" thickBot="1" x14ac:dyDescent="0.3">
      <c r="F16" s="50">
        <f>SUM(F14:F15)</f>
        <v>378</v>
      </c>
      <c r="G16" s="53" t="b">
        <f ca="1">IsFormula</f>
        <v>1</v>
      </c>
      <c r="I16" s="54">
        <f>SUM(I14:I15)</f>
        <v>7438</v>
      </c>
      <c r="J16" s="53" t="b">
        <f ca="1">IsArray</f>
        <v>0</v>
      </c>
    </row>
    <row r="18" spans="6:10" ht="15.75" thickBot="1" x14ac:dyDescent="0.3"/>
    <row r="19" spans="6:10" ht="15.75" thickBot="1" x14ac:dyDescent="0.3">
      <c r="F19" s="98" t="s">
        <v>56</v>
      </c>
      <c r="G19" s="99"/>
      <c r="I19" s="98" t="s">
        <v>57</v>
      </c>
      <c r="J19" s="99"/>
    </row>
    <row r="20" spans="6:10" ht="15.75" thickBot="1" x14ac:dyDescent="0.3">
      <c r="F20" s="100">
        <f ca="1">COUNTIF(G4:G16,TRUE)</f>
        <v>3</v>
      </c>
      <c r="G20" s="100"/>
      <c r="I20" s="93">
        <f ca="1">COUNTIF(J4:J16,TRUE)</f>
        <v>2</v>
      </c>
      <c r="J20" s="95"/>
    </row>
  </sheetData>
  <mergeCells count="6">
    <mergeCell ref="F1:G1"/>
    <mergeCell ref="I1:J1"/>
    <mergeCell ref="F19:G19"/>
    <mergeCell ref="F20:G20"/>
    <mergeCell ref="I19:J19"/>
    <mergeCell ref="I20:J20"/>
  </mergeCells>
  <pageMargins left="0.7" right="0.7" top="0.75" bottom="0.75" header="0.3" footer="0.3"/>
  <pageSetup orientation="portrait" verticalDpi="0" r:id="rId1"/>
  <ignoredErrors>
    <ignoredError sqref="F7:F16 I7:I9 I11:I13 I15:I16" formulaRange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J3:K16"/>
  <sheetViews>
    <sheetView workbookViewId="0">
      <selection activeCell="K3" sqref="K3"/>
    </sheetView>
  </sheetViews>
  <sheetFormatPr defaultRowHeight="15" x14ac:dyDescent="0.25"/>
  <cols>
    <col min="10" max="10" width="9.85546875" bestFit="1" customWidth="1"/>
    <col min="11" max="11" width="15.28515625" bestFit="1" customWidth="1"/>
    <col min="12" max="12" width="15" customWidth="1"/>
  </cols>
  <sheetData>
    <row r="3" spans="10:11" x14ac:dyDescent="0.25">
      <c r="J3" s="69" t="s">
        <v>18</v>
      </c>
      <c r="K3" s="69" t="s">
        <v>21</v>
      </c>
    </row>
    <row r="4" spans="10:11" x14ac:dyDescent="0.25">
      <c r="J4" s="2" t="s">
        <v>0</v>
      </c>
      <c r="K4" s="1" t="b">
        <f ca="1">IsBold</f>
        <v>0</v>
      </c>
    </row>
    <row r="5" spans="10:11" x14ac:dyDescent="0.25">
      <c r="J5" s="70" t="s">
        <v>1</v>
      </c>
      <c r="K5" s="1" t="b">
        <f ca="1">IsBold</f>
        <v>1</v>
      </c>
    </row>
    <row r="6" spans="10:11" x14ac:dyDescent="0.25">
      <c r="J6" s="2" t="s">
        <v>2</v>
      </c>
      <c r="K6" s="1" t="b">
        <f ca="1">IsBold</f>
        <v>0</v>
      </c>
    </row>
    <row r="7" spans="10:11" x14ac:dyDescent="0.25">
      <c r="J7" s="70" t="s">
        <v>3</v>
      </c>
      <c r="K7" s="1" t="b">
        <f ca="1">IsBold</f>
        <v>1</v>
      </c>
    </row>
    <row r="8" spans="10:11" x14ac:dyDescent="0.25">
      <c r="J8" s="70" t="s">
        <v>4</v>
      </c>
      <c r="K8" s="1" t="b">
        <f ca="1">IsBold</f>
        <v>1</v>
      </c>
    </row>
    <row r="9" spans="10:11" x14ac:dyDescent="0.25">
      <c r="J9" s="2" t="s">
        <v>5</v>
      </c>
      <c r="K9" s="1" t="b">
        <f ca="1">IsBold</f>
        <v>0</v>
      </c>
    </row>
    <row r="10" spans="10:11" x14ac:dyDescent="0.25">
      <c r="J10" s="2" t="s">
        <v>0</v>
      </c>
      <c r="K10" s="1" t="b">
        <f ca="1">IsBold</f>
        <v>0</v>
      </c>
    </row>
    <row r="11" spans="10:11" x14ac:dyDescent="0.25">
      <c r="J11" s="70" t="s">
        <v>3</v>
      </c>
      <c r="K11" s="1" t="b">
        <f ca="1">IsBold</f>
        <v>1</v>
      </c>
    </row>
    <row r="12" spans="10:11" x14ac:dyDescent="0.25">
      <c r="J12" s="2" t="s">
        <v>5</v>
      </c>
      <c r="K12" s="1" t="b">
        <f ca="1">IsBold</f>
        <v>0</v>
      </c>
    </row>
    <row r="13" spans="10:11" x14ac:dyDescent="0.25">
      <c r="J13" s="2" t="s">
        <v>6</v>
      </c>
      <c r="K13" s="1" t="b">
        <f ca="1">IsBold</f>
        <v>0</v>
      </c>
    </row>
    <row r="14" spans="10:11" x14ac:dyDescent="0.25">
      <c r="J14" s="2" t="s">
        <v>1</v>
      </c>
      <c r="K14" s="1" t="b">
        <f ca="1">IsBold</f>
        <v>0</v>
      </c>
    </row>
    <row r="16" spans="10:11" x14ac:dyDescent="0.25">
      <c r="J16" s="71" t="s">
        <v>62</v>
      </c>
      <c r="K16" s="72">
        <f ca="1">COUNTIF(K4:K14,TRUE)</f>
        <v>4</v>
      </c>
    </row>
  </sheetData>
  <pageMargins left="0.7" right="0.7" top="0.75" bottom="0.75" header="0.3" footer="0.3"/>
  <pageSetup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J3:Q26"/>
  <sheetViews>
    <sheetView workbookViewId="0">
      <selection activeCell="M6" sqref="M6"/>
    </sheetView>
  </sheetViews>
  <sheetFormatPr defaultRowHeight="15" x14ac:dyDescent="0.25"/>
  <cols>
    <col min="11" max="11" width="15.28515625" bestFit="1" customWidth="1"/>
  </cols>
  <sheetData>
    <row r="3" spans="10:11" x14ac:dyDescent="0.25">
      <c r="J3" s="69" t="s">
        <v>18</v>
      </c>
      <c r="K3" s="69" t="s">
        <v>21</v>
      </c>
    </row>
    <row r="4" spans="10:11" x14ac:dyDescent="0.25">
      <c r="J4" s="2" t="s">
        <v>0</v>
      </c>
      <c r="K4" s="1" t="b">
        <f ca="1">IsItalic</f>
        <v>0</v>
      </c>
    </row>
    <row r="5" spans="10:11" x14ac:dyDescent="0.25">
      <c r="J5" s="74" t="s">
        <v>1</v>
      </c>
      <c r="K5" s="1" t="b">
        <f ca="1">IsItalic</f>
        <v>1</v>
      </c>
    </row>
    <row r="6" spans="10:11" x14ac:dyDescent="0.25">
      <c r="J6" s="2" t="s">
        <v>2</v>
      </c>
      <c r="K6" s="1" t="b">
        <f ca="1">IsItalic</f>
        <v>0</v>
      </c>
    </row>
    <row r="7" spans="10:11" x14ac:dyDescent="0.25">
      <c r="J7" s="2" t="s">
        <v>3</v>
      </c>
      <c r="K7" s="1" t="b">
        <f ca="1">IsItalic</f>
        <v>0</v>
      </c>
    </row>
    <row r="8" spans="10:11" x14ac:dyDescent="0.25">
      <c r="J8" s="74" t="s">
        <v>4</v>
      </c>
      <c r="K8" s="1" t="b">
        <f ca="1">IsItalic</f>
        <v>1</v>
      </c>
    </row>
    <row r="9" spans="10:11" x14ac:dyDescent="0.25">
      <c r="J9" s="2" t="s">
        <v>5</v>
      </c>
      <c r="K9" s="1" t="b">
        <f ca="1">IsItalic</f>
        <v>0</v>
      </c>
    </row>
    <row r="10" spans="10:11" x14ac:dyDescent="0.25">
      <c r="J10" s="2" t="s">
        <v>0</v>
      </c>
      <c r="K10" s="1" t="b">
        <f ca="1">IsItalic</f>
        <v>0</v>
      </c>
    </row>
    <row r="11" spans="10:11" x14ac:dyDescent="0.25">
      <c r="J11" s="74" t="s">
        <v>3</v>
      </c>
      <c r="K11" s="1" t="b">
        <f ca="1">IsItalic</f>
        <v>1</v>
      </c>
    </row>
    <row r="12" spans="10:11" x14ac:dyDescent="0.25">
      <c r="J12" s="2" t="s">
        <v>5</v>
      </c>
      <c r="K12" s="1" t="b">
        <f ca="1">IsItalic</f>
        <v>0</v>
      </c>
    </row>
    <row r="13" spans="10:11" x14ac:dyDescent="0.25">
      <c r="J13" s="2" t="s">
        <v>6</v>
      </c>
      <c r="K13" s="1" t="b">
        <f ca="1">IsItalic</f>
        <v>0</v>
      </c>
    </row>
    <row r="14" spans="10:11" x14ac:dyDescent="0.25">
      <c r="J14" s="74" t="s">
        <v>1</v>
      </c>
      <c r="K14" s="1" t="b">
        <f ca="1">IsItalic</f>
        <v>1</v>
      </c>
    </row>
    <row r="16" spans="10:11" x14ac:dyDescent="0.25">
      <c r="J16" s="71" t="s">
        <v>62</v>
      </c>
      <c r="K16" s="72">
        <f ca="1">COUNTIF(K4:K14,TRUE)</f>
        <v>4</v>
      </c>
    </row>
    <row r="26" spans="17:17" x14ac:dyDescent="0.25">
      <c r="Q26" t="s">
        <v>2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I3:J16"/>
  <sheetViews>
    <sheetView workbookViewId="0">
      <selection activeCell="H15" sqref="H15"/>
    </sheetView>
  </sheetViews>
  <sheetFormatPr defaultRowHeight="15" x14ac:dyDescent="0.25"/>
  <cols>
    <col min="10" max="10" width="15.28515625" bestFit="1" customWidth="1"/>
  </cols>
  <sheetData>
    <row r="3" spans="9:10" x14ac:dyDescent="0.25">
      <c r="I3" s="69" t="s">
        <v>18</v>
      </c>
      <c r="J3" s="69" t="s">
        <v>21</v>
      </c>
    </row>
    <row r="4" spans="9:10" x14ac:dyDescent="0.25">
      <c r="I4" s="73" t="s">
        <v>0</v>
      </c>
      <c r="J4" s="1" t="b">
        <f ca="1">IsUnderline</f>
        <v>0</v>
      </c>
    </row>
    <row r="5" spans="9:10" x14ac:dyDescent="0.25">
      <c r="I5" s="75" t="s">
        <v>1</v>
      </c>
      <c r="J5" s="1" t="b">
        <f ca="1">IsUnderline</f>
        <v>1</v>
      </c>
    </row>
    <row r="6" spans="9:10" x14ac:dyDescent="0.25">
      <c r="I6" s="73" t="s">
        <v>2</v>
      </c>
      <c r="J6" s="1" t="b">
        <f ca="1">IsUnderline</f>
        <v>0</v>
      </c>
    </row>
    <row r="7" spans="9:10" x14ac:dyDescent="0.25">
      <c r="I7" s="75" t="s">
        <v>3</v>
      </c>
      <c r="J7" s="1" t="b">
        <f ca="1">IsUnderline</f>
        <v>1</v>
      </c>
    </row>
    <row r="8" spans="9:10" x14ac:dyDescent="0.25">
      <c r="I8" s="73" t="s">
        <v>4</v>
      </c>
      <c r="J8" s="1" t="b">
        <f ca="1">IsUnderline</f>
        <v>0</v>
      </c>
    </row>
    <row r="9" spans="9:10" x14ac:dyDescent="0.25">
      <c r="I9" s="75" t="s">
        <v>5</v>
      </c>
      <c r="J9" s="1" t="b">
        <f ca="1">IsUnderline</f>
        <v>1</v>
      </c>
    </row>
    <row r="10" spans="9:10" x14ac:dyDescent="0.25">
      <c r="I10" s="73" t="s">
        <v>0</v>
      </c>
      <c r="J10" s="1" t="b">
        <f ca="1">IsUnderline</f>
        <v>0</v>
      </c>
    </row>
    <row r="11" spans="9:10" x14ac:dyDescent="0.25">
      <c r="I11" s="75" t="s">
        <v>3</v>
      </c>
      <c r="J11" s="1" t="b">
        <f ca="1">IsUnderline</f>
        <v>1</v>
      </c>
    </row>
    <row r="12" spans="9:10" x14ac:dyDescent="0.25">
      <c r="I12" s="73" t="s">
        <v>5</v>
      </c>
      <c r="J12" s="1" t="b">
        <f ca="1">IsUnderline</f>
        <v>0</v>
      </c>
    </row>
    <row r="13" spans="9:10" x14ac:dyDescent="0.25">
      <c r="I13" s="75" t="s">
        <v>6</v>
      </c>
      <c r="J13" s="1" t="b">
        <f ca="1">IsUnderline</f>
        <v>1</v>
      </c>
    </row>
    <row r="14" spans="9:10" x14ac:dyDescent="0.25">
      <c r="I14" s="73" t="s">
        <v>1</v>
      </c>
      <c r="J14" s="1" t="b">
        <f ca="1">IsUnderline</f>
        <v>0</v>
      </c>
    </row>
    <row r="16" spans="9:10" x14ac:dyDescent="0.25">
      <c r="I16" s="71" t="s">
        <v>62</v>
      </c>
      <c r="J16" s="72">
        <f ca="1">COUNTIF(J4:J14,TRUE)</f>
        <v>5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I4:J18"/>
  <sheetViews>
    <sheetView workbookViewId="0"/>
  </sheetViews>
  <sheetFormatPr defaultRowHeight="15" x14ac:dyDescent="0.25"/>
  <cols>
    <col min="9" max="9" width="10.5703125" bestFit="1" customWidth="1"/>
  </cols>
  <sheetData>
    <row r="4" spans="10:10" x14ac:dyDescent="0.25">
      <c r="J4" s="69" t="s">
        <v>18</v>
      </c>
    </row>
    <row r="5" spans="10:10" x14ac:dyDescent="0.25">
      <c r="J5" s="73" t="s">
        <v>0</v>
      </c>
    </row>
    <row r="6" spans="10:10" x14ac:dyDescent="0.25">
      <c r="J6" s="73" t="s">
        <v>1</v>
      </c>
    </row>
    <row r="7" spans="10:10" x14ac:dyDescent="0.25">
      <c r="J7" s="73" t="s">
        <v>2</v>
      </c>
    </row>
    <row r="8" spans="10:10" x14ac:dyDescent="0.25">
      <c r="J8" s="2" t="s">
        <v>1</v>
      </c>
    </row>
    <row r="9" spans="10:10" x14ac:dyDescent="0.25">
      <c r="J9" s="73" t="s">
        <v>4</v>
      </c>
    </row>
    <row r="10" spans="10:10" x14ac:dyDescent="0.25">
      <c r="J10" s="73" t="s">
        <v>5</v>
      </c>
    </row>
    <row r="11" spans="10:10" x14ac:dyDescent="0.25">
      <c r="J11" s="73" t="s">
        <v>0</v>
      </c>
    </row>
    <row r="12" spans="10:10" x14ac:dyDescent="0.25">
      <c r="J12" s="73" t="s">
        <v>3</v>
      </c>
    </row>
    <row r="13" spans="10:10" x14ac:dyDescent="0.25">
      <c r="J13" s="2" t="s">
        <v>1</v>
      </c>
    </row>
    <row r="14" spans="10:10" x14ac:dyDescent="0.25">
      <c r="J14" s="73" t="s">
        <v>6</v>
      </c>
    </row>
    <row r="15" spans="10:10" x14ac:dyDescent="0.25">
      <c r="J15" s="73" t="s">
        <v>1</v>
      </c>
    </row>
    <row r="18" spans="9:10" x14ac:dyDescent="0.25">
      <c r="I18" s="76" t="s">
        <v>63</v>
      </c>
      <c r="J18" s="77">
        <f t="array" ref="J18">SUM(COUNTIF(J5:J15,{"A","B"}))</f>
        <v>6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H3:J13"/>
  <sheetViews>
    <sheetView workbookViewId="0">
      <selection activeCell="H7" sqref="H7"/>
    </sheetView>
  </sheetViews>
  <sheetFormatPr defaultRowHeight="15" x14ac:dyDescent="0.25"/>
  <cols>
    <col min="9" max="9" width="18" customWidth="1"/>
  </cols>
  <sheetData>
    <row r="3" spans="8:10" x14ac:dyDescent="0.25">
      <c r="J3" s="11" t="s">
        <v>33</v>
      </c>
    </row>
    <row r="4" spans="8:10" x14ac:dyDescent="0.25">
      <c r="J4" s="1" t="s">
        <v>66</v>
      </c>
    </row>
    <row r="5" spans="8:10" x14ac:dyDescent="0.25">
      <c r="J5" s="1" t="s">
        <v>68</v>
      </c>
    </row>
    <row r="6" spans="8:10" x14ac:dyDescent="0.25">
      <c r="J6" s="1" t="s">
        <v>71</v>
      </c>
    </row>
    <row r="7" spans="8:10" x14ac:dyDescent="0.25">
      <c r="J7" s="1" t="s">
        <v>67</v>
      </c>
    </row>
    <row r="8" spans="8:10" x14ac:dyDescent="0.25">
      <c r="J8" s="1" t="s">
        <v>69</v>
      </c>
    </row>
    <row r="9" spans="8:10" x14ac:dyDescent="0.25">
      <c r="J9" s="1" t="s">
        <v>97</v>
      </c>
    </row>
    <row r="10" spans="8:10" x14ac:dyDescent="0.25">
      <c r="J10" s="1" t="s">
        <v>64</v>
      </c>
    </row>
    <row r="11" spans="8:10" x14ac:dyDescent="0.25">
      <c r="J11" s="1" t="s">
        <v>65</v>
      </c>
    </row>
    <row r="12" spans="8:10" ht="15.75" thickBot="1" x14ac:dyDescent="0.3"/>
    <row r="13" spans="8:10" ht="15.75" thickBot="1" x14ac:dyDescent="0.3">
      <c r="H13" s="101" t="s">
        <v>70</v>
      </c>
      <c r="I13" s="102"/>
      <c r="J13" s="36">
        <f>COUNTIF(J4:J11,"???")</f>
        <v>2</v>
      </c>
    </row>
  </sheetData>
  <mergeCells count="1">
    <mergeCell ref="H13:I13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E15"/>
  <sheetViews>
    <sheetView workbookViewId="0">
      <selection activeCell="I4" sqref="I4"/>
    </sheetView>
  </sheetViews>
  <sheetFormatPr defaultRowHeight="15" x14ac:dyDescent="0.25"/>
  <cols>
    <col min="3" max="3" width="10" bestFit="1" customWidth="1"/>
    <col min="8" max="8" width="12" bestFit="1" customWidth="1"/>
  </cols>
  <sheetData>
    <row r="1" spans="2:5" ht="15.75" thickBot="1" x14ac:dyDescent="0.3">
      <c r="C1" s="45" t="s">
        <v>9</v>
      </c>
    </row>
    <row r="2" spans="2:5" x14ac:dyDescent="0.25">
      <c r="C2" s="42" t="s">
        <v>0</v>
      </c>
    </row>
    <row r="3" spans="2:5" x14ac:dyDescent="0.25">
      <c r="C3" s="43" t="s">
        <v>1</v>
      </c>
    </row>
    <row r="4" spans="2:5" x14ac:dyDescent="0.25">
      <c r="C4" s="43" t="s">
        <v>2</v>
      </c>
    </row>
    <row r="5" spans="2:5" x14ac:dyDescent="0.25">
      <c r="C5" s="43" t="s">
        <v>3</v>
      </c>
    </row>
    <row r="6" spans="2:5" x14ac:dyDescent="0.25">
      <c r="C6" s="43" t="s">
        <v>4</v>
      </c>
    </row>
    <row r="7" spans="2:5" x14ac:dyDescent="0.25">
      <c r="C7" s="43" t="s">
        <v>0</v>
      </c>
    </row>
    <row r="8" spans="2:5" x14ac:dyDescent="0.25">
      <c r="C8" s="43" t="s">
        <v>6</v>
      </c>
    </row>
    <row r="9" spans="2:5" x14ac:dyDescent="0.25">
      <c r="C9" s="43" t="s">
        <v>7</v>
      </c>
    </row>
    <row r="10" spans="2:5" ht="15.75" thickBot="1" x14ac:dyDescent="0.3">
      <c r="C10" s="44" t="s">
        <v>0</v>
      </c>
    </row>
    <row r="11" spans="2:5" ht="15.75" thickBot="1" x14ac:dyDescent="0.3">
      <c r="E11" s="78" t="s">
        <v>89</v>
      </c>
    </row>
    <row r="12" spans="2:5" ht="15.75" thickBot="1" x14ac:dyDescent="0.3">
      <c r="B12" s="41" t="s">
        <v>0</v>
      </c>
      <c r="C12" s="41">
        <v>3</v>
      </c>
      <c r="E12" s="78" t="s">
        <v>90</v>
      </c>
    </row>
    <row r="13" spans="2:5" x14ac:dyDescent="0.25">
      <c r="E13" s="78" t="s">
        <v>91</v>
      </c>
    </row>
    <row r="14" spans="2:5" x14ac:dyDescent="0.25">
      <c r="E14" s="78" t="s">
        <v>92</v>
      </c>
    </row>
    <row r="15" spans="2:5" x14ac:dyDescent="0.25">
      <c r="E15" s="78" t="s">
        <v>93</v>
      </c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Main </vt:lpstr>
      <vt:lpstr>Count Only Unique</vt:lpstr>
      <vt:lpstr>SheetName</vt:lpstr>
      <vt:lpstr>Sheetsname</vt:lpstr>
    </vt:vector>
  </TitlesOfParts>
  <Company>GTPL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Nilesh Kumar</dc:creator>
  <cp:lastModifiedBy>Gunjan</cp:lastModifiedBy>
  <dcterms:created xsi:type="dcterms:W3CDTF">2011-12-01T03:05:40Z</dcterms:created>
  <dcterms:modified xsi:type="dcterms:W3CDTF">2021-12-16T10:22:42Z</dcterms:modified>
</cp:coreProperties>
</file>