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Advance Excel &amp; Mis\17_Offset\"/>
    </mc:Choice>
  </mc:AlternateContent>
  <xr:revisionPtr revIDLastSave="0" documentId="13_ncr:1_{F39BF6DC-1163-4B8D-831A-544436160336}" xr6:coauthVersionLast="47" xr6:coauthVersionMax="47" xr10:uidLastSave="{00000000-0000-0000-0000-000000000000}"/>
  <bookViews>
    <workbookView xWindow="-120" yWindow="-120" windowWidth="20730" windowHeight="11160" tabRatio="887" firstSheet="2" activeTab="14" xr2:uid="{00000000-000D-0000-FFFF-FFFF00000000}"/>
  </bookViews>
  <sheets>
    <sheet name="Summary_Sheet" sheetId="1" r:id="rId1"/>
    <sheet name="Offset-1" sheetId="2" r:id="rId2"/>
    <sheet name="Offset-2" sheetId="3" r:id="rId3"/>
    <sheet name="Offset-5" sheetId="6" r:id="rId4"/>
    <sheet name="Offset-6" sheetId="7" r:id="rId5"/>
    <sheet name="Images" sheetId="25" r:id="rId6"/>
    <sheet name="Offset-7" sheetId="8" r:id="rId7"/>
    <sheet name="Offset-8" sheetId="9" r:id="rId8"/>
    <sheet name="Offset-9" sheetId="12" r:id="rId9"/>
    <sheet name="Offset-11" sheetId="15" r:id="rId10"/>
    <sheet name="Offset-12" sheetId="16" r:id="rId11"/>
    <sheet name="Offset-15" sheetId="24" r:id="rId12"/>
    <sheet name="Offset-16" sheetId="28" r:id="rId13"/>
    <sheet name="Offset-17" sheetId="29" r:id="rId14"/>
    <sheet name="Offset-18" sheetId="26" r:id="rId15"/>
  </sheets>
  <definedNames>
    <definedName name="_xlnm._FilterDatabase" localSheetId="8" hidden="1">'Offset-9'!$K$1:$M$9405</definedName>
    <definedName name="Img">INDIRECT("Images!B"&amp;MATCH('Offset-7'!$I$4,Images!$A:$A,0))</definedName>
    <definedName name="Pic">INDIRECT("Images!B"&amp;MATCH('Offset-7'!$I$4,Images!$A:$A,0))</definedName>
  </definedNames>
  <calcPr calcId="181029"/>
</workbook>
</file>

<file path=xl/calcChain.xml><?xml version="1.0" encoding="utf-8"?>
<calcChain xmlns="http://schemas.openxmlformats.org/spreadsheetml/2006/main">
  <c r="E6" i="15" l="1" a="1"/>
  <c r="E6" i="15" s="1"/>
  <c r="E7" i="15" a="1"/>
  <c r="E7" i="15" s="1"/>
  <c r="E8" i="15" a="1"/>
  <c r="E8" i="15" s="1"/>
  <c r="E9" i="15" a="1"/>
  <c r="E9" i="15" s="1"/>
  <c r="E10" i="15" a="1"/>
  <c r="E10" i="15" s="1"/>
  <c r="E11" i="15" a="1"/>
  <c r="E11" i="15" s="1"/>
  <c r="E12" i="15" a="1"/>
  <c r="E12" i="15" s="1"/>
  <c r="E13" i="15" a="1"/>
  <c r="E13" i="15" s="1"/>
  <c r="E14" i="15" a="1"/>
  <c r="E14" i="15" s="1"/>
  <c r="E15" i="15" a="1"/>
  <c r="E15" i="15" s="1"/>
  <c r="E16" i="15" a="1"/>
  <c r="E16" i="15" s="1"/>
  <c r="E17" i="15" a="1"/>
  <c r="E17" i="15" s="1"/>
  <c r="E18" i="15" a="1"/>
  <c r="E18" i="15" s="1"/>
  <c r="E19" i="15" a="1"/>
  <c r="E19" i="15" s="1"/>
  <c r="E20" i="15" a="1"/>
  <c r="E20" i="15" s="1"/>
  <c r="E21" i="15" a="1"/>
  <c r="E21" i="15" s="1"/>
  <c r="E5" i="15" a="1"/>
  <c r="E5" i="15" s="1"/>
  <c r="D9" i="12"/>
  <c r="E9" i="12"/>
  <c r="D10" i="12"/>
  <c r="E10" i="12"/>
  <c r="D11" i="12"/>
  <c r="E11" i="12"/>
  <c r="D12" i="12"/>
  <c r="E12" i="12"/>
  <c r="D13" i="12"/>
  <c r="E13" i="12"/>
  <c r="D14" i="12"/>
  <c r="E14" i="12"/>
  <c r="D15" i="12"/>
  <c r="E15" i="12"/>
  <c r="D16" i="12"/>
  <c r="E16" i="12"/>
  <c r="D17" i="12"/>
  <c r="E17" i="12"/>
  <c r="C10" i="12"/>
  <c r="C11" i="12"/>
  <c r="C12" i="12"/>
  <c r="C13" i="12"/>
  <c r="C14" i="12"/>
  <c r="C15" i="12"/>
  <c r="C16" i="12"/>
  <c r="C17" i="12"/>
  <c r="C9" i="12"/>
  <c r="F5" i="9" a="1"/>
  <c r="F5" i="9" s="1"/>
  <c r="F6" i="9" a="1"/>
  <c r="F6" i="9" s="1"/>
  <c r="F4" i="9" a="1"/>
  <c r="F4" i="9" s="1"/>
  <c r="K4" i="8" a="1"/>
  <c r="K4" i="8" s="1"/>
  <c r="E16" i="7" a="1"/>
  <c r="E16" i="7" s="1"/>
  <c r="D16" i="7" a="1"/>
  <c r="D16" i="7" s="1"/>
  <c r="H8" i="6"/>
  <c r="C3" i="3" a="1"/>
  <c r="C3" i="3" s="1"/>
  <c r="C4" i="3" a="1"/>
  <c r="C4" i="3" s="1"/>
  <c r="C5" i="3" a="1"/>
  <c r="C5" i="3" s="1"/>
  <c r="C6" i="3" a="1"/>
  <c r="C6" i="3"/>
  <c r="C7" i="3" a="1"/>
  <c r="C7" i="3" s="1"/>
  <c r="C8" i="3" a="1"/>
  <c r="C8" i="3" s="1"/>
  <c r="C9" i="3" a="1"/>
  <c r="C9" i="3" s="1"/>
  <c r="C10" i="3" a="1"/>
  <c r="C10" i="3"/>
  <c r="C11" i="3" a="1"/>
  <c r="C11" i="3" s="1"/>
  <c r="C12" i="3" a="1"/>
  <c r="C12" i="3" s="1"/>
  <c r="C2" i="3" a="1"/>
  <c r="C2" i="3" s="1"/>
  <c r="B3" i="3"/>
  <c r="B4" i="3"/>
  <c r="B5" i="3"/>
  <c r="B6" i="3"/>
  <c r="B7" i="3"/>
  <c r="B8" i="3"/>
  <c r="B9" i="3"/>
  <c r="B10" i="3"/>
  <c r="B11" i="3"/>
  <c r="B12" i="3"/>
  <c r="B2" i="3"/>
  <c r="D2" i="2"/>
  <c r="E2" i="2"/>
  <c r="F2" i="2"/>
  <c r="G2" i="2"/>
  <c r="D3" i="2"/>
  <c r="E3" i="2"/>
  <c r="F3" i="2"/>
  <c r="G3" i="2"/>
  <c r="D4" i="2"/>
  <c r="E4" i="2"/>
  <c r="F4" i="2"/>
  <c r="G4" i="2"/>
  <c r="D5" i="2"/>
  <c r="E5" i="2"/>
  <c r="F5" i="2"/>
  <c r="G5" i="2"/>
  <c r="D6" i="2"/>
  <c r="E6" i="2"/>
  <c r="F6" i="2"/>
  <c r="G6" i="2"/>
  <c r="C3" i="2"/>
  <c r="C4" i="2"/>
  <c r="C5" i="2"/>
  <c r="C6" i="2"/>
  <c r="C2" i="2"/>
  <c r="O14" i="1"/>
  <c r="I8" i="8"/>
  <c r="N7" i="8" l="1"/>
  <c r="N6" i="8"/>
  <c r="N5" i="8"/>
  <c r="N4" i="8"/>
  <c r="M7" i="8"/>
  <c r="M6" i="8"/>
  <c r="M5" i="8"/>
  <c r="M4" i="8"/>
  <c r="L7" i="8"/>
  <c r="L6" i="8"/>
  <c r="L5" i="8"/>
  <c r="L4" i="8"/>
  <c r="K7" i="8"/>
  <c r="K6" i="8"/>
  <c r="K5" i="8"/>
  <c r="C5" i="29" a="1"/>
  <c r="C5" i="29" s="1"/>
  <c r="C6" i="29" s="1" a="1"/>
  <c r="C6" i="29" s="1"/>
  <c r="C7" i="29" s="1" a="1"/>
  <c r="C7" i="29" s="1"/>
  <c r="C8" i="29" s="1" a="1"/>
  <c r="C8" i="29" s="1"/>
  <c r="C9" i="29" s="1" a="1"/>
  <c r="C9" i="29" s="1"/>
  <c r="C10" i="29" s="1" a="1"/>
  <c r="C10" i="29" s="1"/>
  <c r="C11" i="29" s="1" a="1"/>
  <c r="C11" i="29" s="1"/>
  <c r="C12" i="29" s="1" a="1"/>
  <c r="C12" i="29" s="1"/>
  <c r="C13" i="29" s="1" a="1"/>
  <c r="C13" i="29" s="1"/>
  <c r="C14" i="29" s="1" a="1"/>
  <c r="C14" i="29" s="1"/>
  <c r="C15" i="29" s="1" a="1"/>
  <c r="C15" i="29" s="1"/>
  <c r="C16" i="29" s="1" a="1"/>
  <c r="C16" i="29" s="1"/>
  <c r="C17" i="29" s="1" a="1"/>
  <c r="C17" i="29" s="1"/>
  <c r="C18" i="29" s="1" a="1"/>
  <c r="C18" i="29" s="1"/>
  <c r="C19" i="29" s="1" a="1"/>
  <c r="C19" i="29" s="1"/>
  <c r="C20" i="29" s="1" a="1"/>
  <c r="C20" i="29" s="1"/>
  <c r="C21" i="29" s="1" a="1"/>
  <c r="C21" i="29" s="1"/>
  <c r="C22" i="29" s="1" a="1"/>
  <c r="C22" i="29" s="1"/>
  <c r="C23" i="29" s="1" a="1"/>
  <c r="C23" i="29" s="1"/>
  <c r="C24" i="29" s="1" a="1"/>
  <c r="C24" i="29" s="1"/>
  <c r="H10" i="28"/>
  <c r="H11" i="28"/>
  <c r="H12" i="28"/>
  <c r="H13" i="28"/>
  <c r="H14" i="28"/>
  <c r="H15" i="28"/>
  <c r="H16" i="28"/>
  <c r="H17" i="28"/>
  <c r="H18" i="28"/>
  <c r="H19" i="28"/>
  <c r="H20" i="28"/>
  <c r="H9" i="28"/>
  <c r="E9" i="28" a="1"/>
  <c r="E9" i="28" s="1"/>
  <c r="E10" i="28" a="1"/>
  <c r="E10" i="28" s="1"/>
  <c r="E11" i="28" a="1"/>
  <c r="E11" i="28" s="1"/>
  <c r="E12" i="28" a="1"/>
  <c r="E12" i="28" s="1"/>
  <c r="E13" i="28" a="1"/>
  <c r="E13" i="28" s="1"/>
  <c r="E14" i="28" a="1"/>
  <c r="E14" i="28" s="1"/>
  <c r="E15" i="28" a="1"/>
  <c r="E15" i="28" s="1"/>
  <c r="E16" i="28" a="1"/>
  <c r="E16" i="28" s="1"/>
  <c r="E17" i="28" a="1"/>
  <c r="E17" i="28" s="1"/>
  <c r="E18" i="28" a="1"/>
  <c r="E18" i="28" s="1"/>
  <c r="E19" i="28" a="1"/>
  <c r="E19" i="28" s="1"/>
  <c r="E20" i="28" a="1"/>
  <c r="E20" i="28" s="1"/>
  <c r="E8" i="28" a="1"/>
  <c r="E8" i="28" s="1"/>
  <c r="D15" i="24" a="1"/>
  <c r="D15" i="24" s="1"/>
  <c r="I2" i="16" a="1"/>
  <c r="I2" i="16" s="1"/>
  <c r="H2" i="16" a="1"/>
  <c r="H2" i="16" s="1"/>
  <c r="H3" i="16" s="1" a="1"/>
  <c r="H3" i="16" s="1"/>
  <c r="I4" i="16" l="1" a="1"/>
  <c r="I4" i="16" s="1"/>
  <c r="I3" i="16" a="1"/>
  <c r="I3" i="16" s="1"/>
  <c r="H4" i="16" a="1"/>
  <c r="H4" i="16" s="1"/>
  <c r="H5" i="16" s="1" a="1"/>
  <c r="H5" i="16" s="1"/>
  <c r="I6" i="16" l="1" a="1"/>
  <c r="I6" i="16" s="1"/>
  <c r="I5" i="16" a="1"/>
  <c r="I5" i="16" s="1"/>
  <c r="H6" i="16" a="1"/>
  <c r="H6" i="16" s="1"/>
  <c r="M2" i="7"/>
  <c r="M3" i="7"/>
  <c r="M4" i="7"/>
  <c r="M5" i="7"/>
  <c r="M6" i="7"/>
  <c r="M7" i="7"/>
  <c r="M8" i="7"/>
  <c r="M9" i="7"/>
  <c r="M10" i="7"/>
  <c r="M11" i="7"/>
  <c r="M12" i="7"/>
  <c r="I7" i="16" l="1" a="1"/>
  <c r="I7" i="16" s="1"/>
  <c r="H7" i="16" a="1"/>
  <c r="H7" i="16" s="1"/>
  <c r="H8" i="16" s="1" a="1"/>
  <c r="H8" i="16" s="1"/>
  <c r="I8" i="16" l="1" a="1"/>
  <c r="I8" i="16" s="1"/>
  <c r="I9" i="16" a="1"/>
  <c r="I9" i="16" s="1"/>
  <c r="H9" i="16" a="1"/>
  <c r="H9" i="16" s="1"/>
  <c r="H10" i="16" s="1" a="1"/>
  <c r="H10" i="16" s="1"/>
  <c r="I11" i="16" l="1" a="1"/>
  <c r="I11" i="16" s="1"/>
  <c r="I10" i="16" a="1"/>
  <c r="I10" i="16" s="1"/>
  <c r="H11" i="16" a="1"/>
  <c r="H11" i="16" s="1"/>
  <c r="I12" i="16" s="1" a="1"/>
  <c r="I12" i="16" s="1"/>
  <c r="H12" i="16" l="1" a="1"/>
  <c r="H12" i="16" s="1"/>
  <c r="H13" i="16" l="1" a="1"/>
  <c r="H13" i="16" s="1"/>
  <c r="I13" i="16" a="1"/>
  <c r="I13" i="16" s="1"/>
</calcChain>
</file>

<file path=xl/sharedStrings.xml><?xml version="1.0" encoding="utf-8"?>
<sst xmlns="http://schemas.openxmlformats.org/spreadsheetml/2006/main" count="19728" uniqueCount="162">
  <si>
    <t>OFFSET FUNCTION</t>
  </si>
  <si>
    <t>OFFSET</t>
  </si>
  <si>
    <t>Offset</t>
  </si>
  <si>
    <t>Offset is a pure dynamic Function</t>
  </si>
  <si>
    <t>Reference</t>
  </si>
  <si>
    <t>Row No.</t>
  </si>
  <si>
    <t>Column No.</t>
  </si>
  <si>
    <t>Height</t>
  </si>
  <si>
    <t>Width</t>
  </si>
  <si>
    <t>manadatory</t>
  </si>
  <si>
    <t>Optional part</t>
  </si>
  <si>
    <t>Vertical data</t>
  </si>
  <si>
    <t>Horizontal Data</t>
  </si>
  <si>
    <t>Data</t>
  </si>
  <si>
    <t>Name</t>
  </si>
  <si>
    <t>Emp ID</t>
  </si>
  <si>
    <t>Mobile no.</t>
  </si>
  <si>
    <t>CSC</t>
  </si>
  <si>
    <t>UHG</t>
  </si>
  <si>
    <t>HCL</t>
  </si>
  <si>
    <t>Metlife</t>
  </si>
  <si>
    <t>WNS</t>
  </si>
  <si>
    <t>KPMG</t>
  </si>
  <si>
    <t>PWC</t>
  </si>
  <si>
    <t>E&amp;Y</t>
  </si>
  <si>
    <t>reverse Order</t>
  </si>
  <si>
    <t>Date</t>
  </si>
  <si>
    <t>Productivity</t>
  </si>
  <si>
    <t>Players</t>
  </si>
  <si>
    <t>Aus</t>
  </si>
  <si>
    <t>Sa</t>
  </si>
  <si>
    <t>Eng</t>
  </si>
  <si>
    <t>pak</t>
  </si>
  <si>
    <t>Raina</t>
  </si>
  <si>
    <t>Fruit Name</t>
  </si>
  <si>
    <t>Price</t>
  </si>
  <si>
    <t>Mango</t>
  </si>
  <si>
    <t>Apple</t>
  </si>
  <si>
    <t>Orange</t>
  </si>
  <si>
    <t>Latest Price</t>
  </si>
  <si>
    <t>Particulars</t>
  </si>
  <si>
    <t>Camera</t>
  </si>
  <si>
    <t>Donjin</t>
  </si>
  <si>
    <t>HDD</t>
  </si>
  <si>
    <t>LAN Card</t>
  </si>
  <si>
    <t>Monitor</t>
  </si>
  <si>
    <t>MUX</t>
  </si>
  <si>
    <t>NMS Cable</t>
  </si>
  <si>
    <t>NMS Card</t>
  </si>
  <si>
    <t>PBC</t>
  </si>
  <si>
    <t>Power Strip</t>
  </si>
  <si>
    <t>Rack Kit</t>
  </si>
  <si>
    <t>RAM</t>
  </si>
  <si>
    <t>Septel</t>
  </si>
  <si>
    <t>Server</t>
  </si>
  <si>
    <t>Server Rack</t>
  </si>
  <si>
    <t>Server Tray</t>
  </si>
  <si>
    <t>Switch</t>
  </si>
  <si>
    <t>USB Dongle</t>
  </si>
  <si>
    <t>Region</t>
  </si>
  <si>
    <t xml:space="preserve">Product </t>
  </si>
  <si>
    <t>Grand_Total</t>
  </si>
  <si>
    <t>Agent</t>
  </si>
  <si>
    <t>Ashok Kumar</t>
  </si>
  <si>
    <t>Abhishek Kumar</t>
  </si>
  <si>
    <t>Praveen Kumar</t>
  </si>
  <si>
    <t>Rahul Kumar</t>
  </si>
  <si>
    <t>Pramod Kumar</t>
  </si>
  <si>
    <t>Varun Kumar</t>
  </si>
  <si>
    <t>Arun Kumar</t>
  </si>
  <si>
    <t xml:space="preserve">Sweta </t>
  </si>
  <si>
    <t>Kolkata</t>
  </si>
  <si>
    <t>Bangalore</t>
  </si>
  <si>
    <t>City</t>
  </si>
  <si>
    <t>Code</t>
  </si>
  <si>
    <t>Delhi</t>
  </si>
  <si>
    <t>Bombay</t>
  </si>
  <si>
    <t>Pune</t>
  </si>
  <si>
    <t>Tyep Code</t>
  </si>
  <si>
    <t>name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</si>
  <si>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</si>
  <si>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</si>
  <si>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</si>
  <si>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</si>
  <si>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</si>
  <si>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</si>
  <si>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</si>
  <si>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</si>
  <si>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</si>
  <si>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</si>
  <si>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</si>
  <si>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aveage of last six month</t>
  </si>
  <si>
    <t>shyam</t>
  </si>
  <si>
    <t>Lavanya</t>
  </si>
  <si>
    <t>Sumit</t>
  </si>
  <si>
    <t>Sushil</t>
  </si>
  <si>
    <t>Manju</t>
  </si>
  <si>
    <t>Average of first 3 month</t>
  </si>
  <si>
    <t>Average of last 3 month</t>
  </si>
  <si>
    <t xml:space="preserve"> =OFFSET($B$1,ROW($A1)*3-(3-COLUMN(A1)),0)</t>
  </si>
  <si>
    <t xml:space="preserve"> =OFFSET($A$1,COUNTA($A:$A)-ROW(A1),0)</t>
  </si>
  <si>
    <t xml:space="preserve"> =SUM(OFFSET($J$5,COUNTA($J$6:$J$21)-6,0,7,1))</t>
  </si>
  <si>
    <t xml:space="preserve"> =AVERAGE(OFFSET(INDEX($A$10:$A$20,MATCH($C$24,$A$10:$A$20,0)),0,COUNT(B10:L10)*0,1,4))</t>
  </si>
  <si>
    <t xml:space="preserve"> =AVERAGE(OFFSET(INDEX($A$10:$A$20,MATCH($C$24,$A$10:$A$20,0)),0,COUNT(B10:L10)-2,1,3))</t>
  </si>
  <si>
    <t xml:space="preserve"> =OFFSET(INDEX($B$5:$B$23,MATCH(J5,$B$5:$B$23,0)),0,2,4,4)</t>
  </si>
  <si>
    <t xml:space="preserve"> =OFFSET($D$1,LARGE(IF($C$2:$C$30=F4,ROW($D$2:$D$30),""),1)-1,0)</t>
  </si>
  <si>
    <t xml:space="preserve"> =IFERROR(OFFSET($A$4,IF(MOD(ROW(A2),2)=0,ROW(A2)/2,""),0),"")</t>
  </si>
  <si>
    <t xml:space="preserve"> =OFFSET($A$3,MATCH(0,COUNTIF($C$3:C3,$A$4:$A$725),0),0)</t>
  </si>
  <si>
    <t xml:space="preserve"> =OFFSET($B$4,SUMPRODUCT(($C$5:$H$9=$C$15)*(ROW($C$5:$H$9)-4)),0)</t>
  </si>
  <si>
    <t>North</t>
  </si>
  <si>
    <t>North Central</t>
  </si>
  <si>
    <t>South</t>
  </si>
  <si>
    <t>East</t>
  </si>
  <si>
    <t>West</t>
  </si>
  <si>
    <t>North East</t>
  </si>
  <si>
    <t>Car</t>
  </si>
  <si>
    <t>Motor</t>
  </si>
  <si>
    <t>Bus</t>
  </si>
  <si>
    <t>Bike</t>
  </si>
  <si>
    <t>Train</t>
  </si>
  <si>
    <t>Mohan</t>
  </si>
  <si>
    <t>Sohan</t>
  </si>
  <si>
    <t>Raja</t>
  </si>
  <si>
    <t>Ramesh</t>
  </si>
  <si>
    <t>Airtel</t>
  </si>
  <si>
    <t>Aircel</t>
  </si>
  <si>
    <t>GTPL</t>
  </si>
  <si>
    <t>Rajesh</t>
  </si>
  <si>
    <t>Victor</t>
  </si>
  <si>
    <t>Mohini</t>
  </si>
  <si>
    <t>Raju</t>
  </si>
  <si>
    <t>OM Singh</t>
  </si>
  <si>
    <t>Lub Kush</t>
  </si>
  <si>
    <t>Sehwag</t>
  </si>
  <si>
    <t>Dravid</t>
  </si>
  <si>
    <t>Mumbai</t>
  </si>
  <si>
    <t>Gujarat</t>
  </si>
  <si>
    <t>Assam</t>
  </si>
  <si>
    <t>State</t>
  </si>
  <si>
    <t>AM</t>
  </si>
  <si>
    <t>CEO</t>
  </si>
  <si>
    <t>Manager</t>
  </si>
  <si>
    <t>VP</t>
  </si>
  <si>
    <t>Designation</t>
  </si>
  <si>
    <t xml:space="preserve"> =OFFSET('Offset-5'!$A$4,1,0,COUNTA('Offset-5'!$A$5:$A$500),1)</t>
  </si>
  <si>
    <t>EXL</t>
  </si>
  <si>
    <t>IBM</t>
  </si>
  <si>
    <t>TCS</t>
  </si>
  <si>
    <t>Ageis</t>
  </si>
  <si>
    <t>EmpID</t>
  </si>
  <si>
    <t>Salary</t>
  </si>
  <si>
    <t>N</t>
  </si>
  <si>
    <t>Y</t>
  </si>
  <si>
    <t>Z</t>
  </si>
  <si>
    <t>Goa</t>
  </si>
  <si>
    <t>X</t>
  </si>
  <si>
    <t>Punjab</t>
  </si>
  <si>
    <t xml:space="preserve"> =OFFSET($A$1,IF(MOD(ROW(A1),4)=0,4,MOD(ROW(A1),4)),(CEILING(ROW(A1),4)/4)-1)</t>
  </si>
  <si>
    <t>Output</t>
  </si>
  <si>
    <t xml:space="preserve"> =IF(COUNTIF(C$1:$C1,C1)&lt;MAX(C$1:$C1),C1,MAX(C$1:$C1)+1)</t>
  </si>
  <si>
    <t>IF(COUNTIF($C$1:C4,C4)&lt;MAX(C$1:$C4),C4,MAX(C$1:$C4)+1)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</si>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</sst>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409]d\-mmm\-yy;@"/>
    <numFmt numFmtId="165" formatCode="_(* #,##0_);_(* \(#,##0\);_(* &quot;-&quot;??_);_(@_)"/>
  </numFmts>
  <fonts count="19" x14ac:knownFonts="1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u/>
      <sz val="18"/>
      <color theme="3"/>
      <name val="Cambria"/>
      <family val="2"/>
      <scheme val="maj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name val="Cambria"/>
      <family val="1"/>
      <scheme val="maj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mbria"/>
      <family val="1"/>
      <scheme val="major"/>
    </font>
    <font>
      <sz val="11"/>
      <color rgb="FFFF00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CC99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19"/>
      </left>
      <right style="medium">
        <color indexed="19"/>
      </right>
      <top style="medium">
        <color indexed="19"/>
      </top>
      <bottom style="medium">
        <color indexed="19"/>
      </bottom>
      <diagonal/>
    </border>
    <border>
      <left/>
      <right style="thin">
        <color theme="8" tint="0.39997558519241921"/>
      </right>
      <top/>
      <bottom style="thin">
        <color theme="8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 applyNumberFormat="0" applyFill="0" applyBorder="0" applyAlignment="0" applyProtection="0"/>
    <xf numFmtId="43" fontId="4" fillId="0" borderId="0" applyFont="0" applyFill="0" applyBorder="0" applyAlignment="0" applyProtection="0"/>
    <xf numFmtId="0" fontId="5" fillId="4" borderId="10" applyNumberFormat="0" applyAlignment="0" applyProtection="0"/>
    <xf numFmtId="0" fontId="10" fillId="0" borderId="0"/>
    <xf numFmtId="0" fontId="7" fillId="9" borderId="0" applyNumberFormat="0" applyBorder="0" applyAlignment="0" applyProtection="0"/>
    <xf numFmtId="0" fontId="14" fillId="0" borderId="0"/>
    <xf numFmtId="0" fontId="17" fillId="16" borderId="10" applyNumberFormat="0" applyAlignment="0" applyProtection="0"/>
  </cellStyleXfs>
  <cellXfs count="70">
    <xf numFmtId="0" fontId="0" fillId="0" borderId="0" xfId="0"/>
    <xf numFmtId="0" fontId="0" fillId="0" borderId="9" xfId="0" applyBorder="1"/>
    <xf numFmtId="0" fontId="0" fillId="2" borderId="9" xfId="0" applyFill="1" applyBorder="1"/>
    <xf numFmtId="0" fontId="0" fillId="3" borderId="9" xfId="0" applyFill="1" applyBorder="1"/>
    <xf numFmtId="0" fontId="3" fillId="0" borderId="0" xfId="0" applyFont="1"/>
    <xf numFmtId="14" fontId="0" fillId="0" borderId="9" xfId="0" applyNumberFormat="1" applyBorder="1"/>
    <xf numFmtId="0" fontId="0" fillId="0" borderId="9" xfId="0" applyBorder="1" applyAlignment="1">
      <alignment horizontal="center" vertical="center"/>
    </xf>
    <xf numFmtId="0" fontId="6" fillId="0" borderId="0" xfId="0" applyFont="1"/>
    <xf numFmtId="0" fontId="0" fillId="8" borderId="9" xfId="0" applyFill="1" applyBorder="1"/>
    <xf numFmtId="0" fontId="0" fillId="0" borderId="9" xfId="0" applyBorder="1" applyProtection="1">
      <protection hidden="1"/>
    </xf>
    <xf numFmtId="165" fontId="9" fillId="0" borderId="9" xfId="2" applyNumberFormat="1" applyFont="1" applyBorder="1" applyAlignment="1">
      <alignment horizontal="center"/>
    </xf>
    <xf numFmtId="0" fontId="6" fillId="10" borderId="9" xfId="0" applyFont="1" applyFill="1" applyBorder="1"/>
    <xf numFmtId="0" fontId="0" fillId="11" borderId="9" xfId="0" applyFont="1" applyFill="1" applyBorder="1"/>
    <xf numFmtId="2" fontId="0" fillId="11" borderId="9" xfId="0" applyNumberFormat="1" applyFont="1" applyFill="1" applyBorder="1"/>
    <xf numFmtId="2" fontId="12" fillId="12" borderId="9" xfId="0" applyNumberFormat="1" applyFont="1" applyFill="1" applyBorder="1"/>
    <xf numFmtId="0" fontId="7" fillId="9" borderId="12" xfId="5" applyBorder="1"/>
    <xf numFmtId="0" fontId="7" fillId="9" borderId="9" xfId="5" applyBorder="1"/>
    <xf numFmtId="0" fontId="13" fillId="0" borderId="0" xfId="0" applyFont="1"/>
    <xf numFmtId="2" fontId="0" fillId="0" borderId="9" xfId="0" applyNumberFormat="1" applyBorder="1"/>
    <xf numFmtId="0" fontId="0" fillId="0" borderId="0" xfId="0" applyAlignment="1">
      <alignment horizontal="center" vertical="center"/>
    </xf>
    <xf numFmtId="0" fontId="0" fillId="0" borderId="0" xfId="0" applyBorder="1"/>
    <xf numFmtId="0" fontId="6" fillId="3" borderId="9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5" fillId="3" borderId="9" xfId="0" applyFont="1" applyFill="1" applyBorder="1" applyAlignment="1">
      <alignment horizontal="center" vertical="center"/>
    </xf>
    <xf numFmtId="164" fontId="15" fillId="3" borderId="9" xfId="0" applyNumberFormat="1" applyFont="1" applyFill="1" applyBorder="1" applyAlignment="1">
      <alignment horizontal="center" vertical="center"/>
    </xf>
    <xf numFmtId="3" fontId="15" fillId="3" borderId="9" xfId="0" applyNumberFormat="1" applyFont="1" applyFill="1" applyBorder="1" applyAlignment="1">
      <alignment horizontal="center" vertical="center"/>
    </xf>
    <xf numFmtId="0" fontId="9" fillId="0" borderId="9" xfId="0" applyFont="1" applyBorder="1" applyAlignment="1">
      <alignment horizontal="center"/>
    </xf>
    <xf numFmtId="1" fontId="9" fillId="0" borderId="9" xfId="0" applyNumberFormat="1" applyFont="1" applyBorder="1" applyAlignment="1">
      <alignment horizontal="center"/>
    </xf>
    <xf numFmtId="0" fontId="0" fillId="6" borderId="9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14" borderId="9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0" fillId="0" borderId="9" xfId="0" applyBorder="1" applyAlignment="1">
      <alignment horizontal="left"/>
    </xf>
    <xf numFmtId="0" fontId="16" fillId="0" borderId="0" xfId="0" applyFont="1"/>
    <xf numFmtId="0" fontId="6" fillId="13" borderId="9" xfId="0" applyFont="1" applyFill="1" applyBorder="1" applyAlignment="1">
      <alignment horizontal="center" vertical="center"/>
    </xf>
    <xf numFmtId="0" fontId="0" fillId="0" borderId="0" xfId="0" applyFill="1" applyBorder="1" applyProtection="1">
      <protection hidden="1"/>
    </xf>
    <xf numFmtId="0" fontId="6" fillId="0" borderId="9" xfId="0" applyFont="1" applyBorder="1"/>
    <xf numFmtId="0" fontId="6" fillId="2" borderId="9" xfId="0" applyFont="1" applyFill="1" applyBorder="1"/>
    <xf numFmtId="0" fontId="6" fillId="3" borderId="9" xfId="0" applyFont="1" applyFill="1" applyBorder="1"/>
    <xf numFmtId="0" fontId="16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1" fillId="7" borderId="11" xfId="4" applyFont="1" applyFill="1" applyBorder="1" applyAlignment="1">
      <alignment horizontal="center" vertical="center"/>
    </xf>
    <xf numFmtId="0" fontId="10" fillId="0" borderId="11" xfId="4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Border="1" applyProtection="1">
      <protection hidden="1"/>
    </xf>
    <xf numFmtId="0" fontId="0" fillId="0" borderId="9" xfId="0" applyBorder="1" applyAlignment="1">
      <alignment horizontal="center" vertical="center"/>
    </xf>
    <xf numFmtId="0" fontId="18" fillId="16" borderId="9" xfId="7" applyFont="1" applyBorder="1"/>
    <xf numFmtId="0" fontId="0" fillId="0" borderId="9" xfId="0" applyFill="1" applyBorder="1"/>
    <xf numFmtId="0" fontId="0" fillId="8" borderId="9" xfId="0" applyFont="1" applyFill="1" applyBorder="1"/>
    <xf numFmtId="0" fontId="5" fillId="4" borderId="13" xfId="3" applyBorder="1"/>
    <xf numFmtId="0" fontId="5" fillId="4" borderId="13" xfId="3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0" borderId="3" xfId="1" applyFont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0" xfId="1" applyFont="1" applyBorder="1" applyAlignment="1">
      <alignment horizontal="center" vertical="center"/>
    </xf>
    <xf numFmtId="0" fontId="2" fillId="0" borderId="5" xfId="1" applyFont="1" applyBorder="1" applyAlignment="1">
      <alignment horizontal="center" vertical="center"/>
    </xf>
    <xf numFmtId="0" fontId="2" fillId="0" borderId="6" xfId="1" applyFont="1" applyBorder="1" applyAlignment="1">
      <alignment horizontal="center" vertical="center"/>
    </xf>
    <xf numFmtId="0" fontId="2" fillId="0" borderId="7" xfId="1" applyFont="1" applyBorder="1" applyAlignment="1">
      <alignment horizontal="center" vertical="center"/>
    </xf>
    <xf numFmtId="0" fontId="2" fillId="0" borderId="8" xfId="1" applyFont="1" applyBorder="1" applyAlignment="1">
      <alignment horizontal="center" vertic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0" fillId="0" borderId="9" xfId="0" applyBorder="1" applyAlignment="1">
      <alignment horizontal="center" vertical="center"/>
    </xf>
  </cellXfs>
  <cellStyles count="8">
    <cellStyle name="Accent4" xfId="5" builtinId="41"/>
    <cellStyle name="Calculation" xfId="3" builtinId="22"/>
    <cellStyle name="Comma" xfId="2" builtinId="3"/>
    <cellStyle name="Input" xfId="7" builtinId="20"/>
    <cellStyle name="Normal" xfId="0" builtinId="0"/>
    <cellStyle name="Normal 2" xfId="6" xr:uid="{00000000-0005-0000-0000-000005000000}"/>
    <cellStyle name="Normal_Pivot Tables-Bank Data" xfId="4" xr:uid="{00000000-0005-0000-0000-000006000000}"/>
    <cellStyle name="Title" xfId="1" builtinId="15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FF3399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Scroll" dx="16" fmlaLink="$F$2" max="9400" min="1" page="10" val="3"/>
</file>

<file path=xl/ctrlProps/ctrlProp2.xml><?xml version="1.0" encoding="utf-8"?>
<formControlPr xmlns="http://schemas.microsoft.com/office/spreadsheetml/2009/9/main" objectType="Drop" dropStyle="combo" dx="16" fmlaLink="$K$1" fmlaRange="$A$5:$A$16" sel="6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733425</xdr:colOff>
      <xdr:row>9</xdr:row>
      <xdr:rowOff>57150</xdr:rowOff>
    </xdr:from>
    <xdr:to>
      <xdr:col>5</xdr:col>
      <xdr:colOff>495300</xdr:colOff>
      <xdr:row>11</xdr:row>
      <xdr:rowOff>142875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178175" y="1787525"/>
          <a:ext cx="650875" cy="466725"/>
        </a:xfrm>
        <a:prstGeom prst="rightBrac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4</xdr:col>
      <xdr:colOff>419099</xdr:colOff>
      <xdr:row>12</xdr:row>
      <xdr:rowOff>95250</xdr:rowOff>
    </xdr:from>
    <xdr:to>
      <xdr:col>5</xdr:col>
      <xdr:colOff>133349</xdr:colOff>
      <xdr:row>13</xdr:row>
      <xdr:rowOff>161925</xdr:rowOff>
    </xdr:to>
    <xdr:sp macro="" textlink="">
      <xdr:nvSpPr>
        <xdr:cNvPr id="5" name="Right Brac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857499" y="2400300"/>
          <a:ext cx="600075" cy="257175"/>
        </a:xfrm>
        <a:prstGeom prst="rightBrac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285750</xdr:colOff>
      <xdr:row>10</xdr:row>
      <xdr:rowOff>76200</xdr:rowOff>
    </xdr:from>
    <xdr:to>
      <xdr:col>4</xdr:col>
      <xdr:colOff>123825</xdr:colOff>
      <xdr:row>18</xdr:row>
      <xdr:rowOff>57150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>
          <a:off x="285750" y="2000250"/>
          <a:ext cx="2276475" cy="15049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285750</xdr:colOff>
      <xdr:row>12</xdr:row>
      <xdr:rowOff>95250</xdr:rowOff>
    </xdr:from>
    <xdr:to>
      <xdr:col>4</xdr:col>
      <xdr:colOff>76200</xdr:colOff>
      <xdr:row>18</xdr:row>
      <xdr:rowOff>76200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 flipH="1">
          <a:off x="285750" y="2400300"/>
          <a:ext cx="2228850" cy="11239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552450</xdr:colOff>
      <xdr:row>11</xdr:row>
      <xdr:rowOff>47625</xdr:rowOff>
    </xdr:from>
    <xdr:to>
      <xdr:col>6</xdr:col>
      <xdr:colOff>381000</xdr:colOff>
      <xdr:row>19</xdr:row>
      <xdr:rowOff>171450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>
          <a:off x="2990850" y="2162175"/>
          <a:ext cx="1323975" cy="1647825"/>
        </a:xfrm>
        <a:prstGeom prst="straightConnector1">
          <a:avLst/>
        </a:prstGeom>
        <a:ln>
          <a:tailEnd type="arrow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419099</xdr:colOff>
      <xdr:row>13</xdr:row>
      <xdr:rowOff>161925</xdr:rowOff>
    </xdr:from>
    <xdr:to>
      <xdr:col>6</xdr:col>
      <xdr:colOff>409575</xdr:colOff>
      <xdr:row>19</xdr:row>
      <xdr:rowOff>161925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>
          <a:stCxn id="5" idx="2"/>
        </xdr:cNvCxnSpPr>
      </xdr:nvCxnSpPr>
      <xdr:spPr>
        <a:xfrm>
          <a:off x="2857499" y="2657475"/>
          <a:ext cx="1485901" cy="1143000"/>
        </a:xfrm>
        <a:prstGeom prst="straightConnector1">
          <a:avLst/>
        </a:prstGeom>
        <a:ln>
          <a:tailEnd type="arrow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47625</xdr:rowOff>
    </xdr:from>
    <xdr:to>
      <xdr:col>1</xdr:col>
      <xdr:colOff>2847975</xdr:colOff>
      <xdr:row>1</xdr:row>
      <xdr:rowOff>2162175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5" y="238125"/>
          <a:ext cx="2800350" cy="2114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57150</xdr:colOff>
      <xdr:row>2</xdr:row>
      <xdr:rowOff>47625</xdr:rowOff>
    </xdr:from>
    <xdr:to>
      <xdr:col>1</xdr:col>
      <xdr:colOff>2838450</xdr:colOff>
      <xdr:row>2</xdr:row>
      <xdr:rowOff>2181225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2457450"/>
          <a:ext cx="2781300" cy="2133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76200</xdr:colOff>
      <xdr:row>3</xdr:row>
      <xdr:rowOff>47625</xdr:rowOff>
    </xdr:from>
    <xdr:to>
      <xdr:col>1</xdr:col>
      <xdr:colOff>2819400</xdr:colOff>
      <xdr:row>3</xdr:row>
      <xdr:rowOff>2152650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676775"/>
          <a:ext cx="2743200" cy="2105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20411</xdr:colOff>
          <xdr:row>8</xdr:row>
          <xdr:rowOff>66674</xdr:rowOff>
        </xdr:from>
        <xdr:to>
          <xdr:col>13</xdr:col>
          <xdr:colOff>587331</xdr:colOff>
          <xdr:row>16</xdr:row>
          <xdr:rowOff>183695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Img" spid="_x0000_s518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442857" y="1590674"/>
              <a:ext cx="2403885" cy="164102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38100</xdr:colOff>
      <xdr:row>2</xdr:row>
      <xdr:rowOff>85725</xdr:rowOff>
    </xdr:from>
    <xdr:to>
      <xdr:col>23</xdr:col>
      <xdr:colOff>47091</xdr:colOff>
      <xdr:row>23</xdr:row>
      <xdr:rowOff>66172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05975" y="466725"/>
          <a:ext cx="4276191" cy="402857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180975</xdr:rowOff>
        </xdr:from>
        <xdr:to>
          <xdr:col>5</xdr:col>
          <xdr:colOff>190500</xdr:colOff>
          <xdr:row>17</xdr:row>
          <xdr:rowOff>28575</xdr:rowOff>
        </xdr:to>
        <xdr:sp macro="" textlink="">
          <xdr:nvSpPr>
            <xdr:cNvPr id="4144" name="Scroll Bar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8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6</xdr:row>
          <xdr:rowOff>180975</xdr:rowOff>
        </xdr:from>
        <xdr:to>
          <xdr:col>10</xdr:col>
          <xdr:colOff>314325</xdr:colOff>
          <xdr:row>9</xdr:row>
          <xdr:rowOff>142875</xdr:rowOff>
        </xdr:to>
        <xdr:sp macro="" textlink="">
          <xdr:nvSpPr>
            <xdr:cNvPr id="7202" name="Drop Down 34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E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4"/>
  <sheetViews>
    <sheetView topLeftCell="A39" zoomScale="110" zoomScaleNormal="110" workbookViewId="0">
      <selection activeCell="A39" sqref="A39"/>
    </sheetView>
  </sheetViews>
  <sheetFormatPr defaultRowHeight="15" x14ac:dyDescent="0.25"/>
  <cols>
    <col min="5" max="5" width="13.28515625" customWidth="1"/>
  </cols>
  <sheetData>
    <row r="1" spans="4:17" ht="15.75" thickBot="1" x14ac:dyDescent="0.3"/>
    <row r="2" spans="4:17" ht="15" customHeight="1" x14ac:dyDescent="0.25">
      <c r="D2" s="57" t="s">
        <v>0</v>
      </c>
      <c r="E2" s="58"/>
      <c r="F2" s="58"/>
      <c r="G2" s="58"/>
      <c r="H2" s="58"/>
      <c r="I2" s="59"/>
    </row>
    <row r="3" spans="4:17" ht="15" customHeight="1" x14ac:dyDescent="0.25">
      <c r="D3" s="60"/>
      <c r="E3" s="61"/>
      <c r="F3" s="61"/>
      <c r="G3" s="61"/>
      <c r="H3" s="61"/>
      <c r="I3" s="62"/>
    </row>
    <row r="4" spans="4:17" ht="15" customHeight="1" x14ac:dyDescent="0.25">
      <c r="D4" s="60"/>
      <c r="E4" s="61"/>
      <c r="F4" s="61"/>
      <c r="G4" s="61"/>
      <c r="H4" s="61"/>
      <c r="I4" s="62"/>
    </row>
    <row r="5" spans="4:17" ht="15" customHeight="1" x14ac:dyDescent="0.25">
      <c r="D5" s="60"/>
      <c r="E5" s="61"/>
      <c r="F5" s="61"/>
      <c r="G5" s="61"/>
      <c r="H5" s="61"/>
      <c r="I5" s="62"/>
    </row>
    <row r="6" spans="4:17" ht="15.75" customHeight="1" thickBot="1" x14ac:dyDescent="0.3">
      <c r="D6" s="63"/>
      <c r="E6" s="64"/>
      <c r="F6" s="64"/>
      <c r="G6" s="64"/>
      <c r="H6" s="64"/>
      <c r="I6" s="65"/>
    </row>
    <row r="8" spans="4:17" x14ac:dyDescent="0.25">
      <c r="D8" s="7" t="s">
        <v>2</v>
      </c>
      <c r="E8" s="7" t="s">
        <v>3</v>
      </c>
      <c r="O8" s="29">
        <v>1</v>
      </c>
      <c r="P8" s="31">
        <v>2</v>
      </c>
      <c r="Q8" s="29">
        <v>3</v>
      </c>
    </row>
    <row r="9" spans="4:17" x14ac:dyDescent="0.25">
      <c r="O9" s="28">
        <v>4</v>
      </c>
      <c r="P9" s="30"/>
      <c r="Q9" s="32">
        <v>5</v>
      </c>
    </row>
    <row r="10" spans="4:17" x14ac:dyDescent="0.25">
      <c r="D10" s="4" t="s">
        <v>1</v>
      </c>
      <c r="E10" s="39" t="s">
        <v>4</v>
      </c>
      <c r="O10" s="29">
        <v>6</v>
      </c>
      <c r="P10" s="33">
        <v>7</v>
      </c>
      <c r="Q10" s="29">
        <v>8</v>
      </c>
    </row>
    <row r="11" spans="4:17" x14ac:dyDescent="0.25">
      <c r="E11" s="40" t="s">
        <v>5</v>
      </c>
      <c r="G11" t="s">
        <v>9</v>
      </c>
    </row>
    <row r="12" spans="4:17" x14ac:dyDescent="0.25">
      <c r="E12" s="41" t="s">
        <v>6</v>
      </c>
    </row>
    <row r="13" spans="4:17" x14ac:dyDescent="0.25">
      <c r="E13" s="2" t="s">
        <v>7</v>
      </c>
    </row>
    <row r="14" spans="4:17" x14ac:dyDescent="0.25">
      <c r="E14" s="3" t="s">
        <v>8</v>
      </c>
      <c r="F14" t="s">
        <v>10</v>
      </c>
      <c r="O14">
        <f ca="1">OFFSET(P9,0,-1)</f>
        <v>4</v>
      </c>
    </row>
    <row r="20" spans="1:7" x14ac:dyDescent="0.25">
      <c r="A20" t="s">
        <v>11</v>
      </c>
    </row>
    <row r="21" spans="1:7" x14ac:dyDescent="0.25">
      <c r="G21" t="s">
        <v>12</v>
      </c>
    </row>
    <row r="24" spans="1:7" x14ac:dyDescent="0.25">
      <c r="A24" t="s">
        <v>161</v>
      </c>
    </row>
  </sheetData>
  <mergeCells count="1">
    <mergeCell ref="D2:I6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21"/>
  <sheetViews>
    <sheetView zoomScale="130" zoomScaleNormal="130" workbookViewId="0">
      <selection activeCell="A4" sqref="A4"/>
    </sheetView>
  </sheetViews>
  <sheetFormatPr defaultRowHeight="15" x14ac:dyDescent="0.25"/>
  <cols>
    <col min="1" max="1" width="13.28515625" customWidth="1"/>
    <col min="5" max="5" width="15.42578125" customWidth="1"/>
    <col min="7" max="7" width="11.5703125" bestFit="1" customWidth="1"/>
    <col min="8" max="11" width="11.5703125" customWidth="1"/>
    <col min="12" max="12" width="12" bestFit="1" customWidth="1"/>
  </cols>
  <sheetData>
    <row r="1" spans="1:12" s="19" customFormat="1" ht="29.25" customHeight="1" x14ac:dyDescent="0.25">
      <c r="A1" s="37" t="s">
        <v>13</v>
      </c>
      <c r="C1" s="21" t="s">
        <v>14</v>
      </c>
      <c r="D1" s="21" t="s">
        <v>15</v>
      </c>
      <c r="E1" s="21" t="s">
        <v>16</v>
      </c>
      <c r="F1" s="21" t="s">
        <v>138</v>
      </c>
      <c r="G1" s="21" t="s">
        <v>143</v>
      </c>
      <c r="H1" s="47"/>
      <c r="I1" s="47"/>
      <c r="J1" s="47"/>
      <c r="K1" s="47"/>
    </row>
    <row r="2" spans="1:12" x14ac:dyDescent="0.25">
      <c r="A2" s="30" t="s">
        <v>120</v>
      </c>
      <c r="C2" s="9" t="str">
        <f ca="1">OFFSET($A$1,ROW($A1)*5-(5-COLUMN(A1)),0)</f>
        <v>Mohan</v>
      </c>
      <c r="D2" s="9">
        <f t="shared" ref="D2:G6" ca="1" si="0">OFFSET($A$1,ROW($A1)*5-(5-COLUMN(B1)),0)</f>
        <v>111</v>
      </c>
      <c r="E2" s="9">
        <f t="shared" ca="1" si="0"/>
        <v>99911176546</v>
      </c>
      <c r="F2" s="9" t="str">
        <f t="shared" ca="1" si="0"/>
        <v>Delhi</v>
      </c>
      <c r="G2" s="9" t="str">
        <f t="shared" ca="1" si="0"/>
        <v>AM</v>
      </c>
      <c r="H2" s="47"/>
      <c r="I2" s="47"/>
      <c r="J2" s="47"/>
      <c r="K2" s="47"/>
      <c r="L2" s="17" t="s">
        <v>99</v>
      </c>
    </row>
    <row r="3" spans="1:12" x14ac:dyDescent="0.25">
      <c r="A3" s="43">
        <v>111</v>
      </c>
      <c r="C3" s="9" t="str">
        <f t="shared" ref="C3:C6" ca="1" si="1">OFFSET($A$1,ROW($A2)*5-(5-COLUMN(A2)),0)</f>
        <v>Sohan</v>
      </c>
      <c r="D3" s="9">
        <f t="shared" ca="1" si="0"/>
        <v>222</v>
      </c>
      <c r="E3" s="9">
        <f t="shared" ca="1" si="0"/>
        <v>9842422253</v>
      </c>
      <c r="F3" s="9" t="str">
        <f t="shared" ca="1" si="0"/>
        <v>Mumbai</v>
      </c>
      <c r="G3" s="9" t="str">
        <f t="shared" ca="1" si="0"/>
        <v>CEO</v>
      </c>
      <c r="H3" s="47"/>
      <c r="I3" s="47"/>
      <c r="J3" s="47"/>
      <c r="K3" s="47"/>
    </row>
    <row r="4" spans="1:12" x14ac:dyDescent="0.25">
      <c r="A4" s="43">
        <v>99911176546</v>
      </c>
      <c r="C4" s="9" t="str">
        <f t="shared" ca="1" si="1"/>
        <v>Raja</v>
      </c>
      <c r="D4" s="9">
        <f t="shared" ca="1" si="0"/>
        <v>333</v>
      </c>
      <c r="E4" s="9">
        <f t="shared" ca="1" si="0"/>
        <v>5453342432</v>
      </c>
      <c r="F4" s="9" t="str">
        <f t="shared" ca="1" si="0"/>
        <v>Gujarat</v>
      </c>
      <c r="G4" s="9" t="str">
        <f t="shared" ca="1" si="0"/>
        <v>Manager</v>
      </c>
      <c r="H4" s="47"/>
      <c r="I4" s="47"/>
      <c r="J4" s="47"/>
      <c r="K4" s="47"/>
    </row>
    <row r="5" spans="1:12" x14ac:dyDescent="0.25">
      <c r="A5" s="43" t="s">
        <v>75</v>
      </c>
      <c r="C5" s="9" t="str">
        <f t="shared" ca="1" si="1"/>
        <v>Ramesh</v>
      </c>
      <c r="D5" s="9">
        <f t="shared" ca="1" si="0"/>
        <v>444</v>
      </c>
      <c r="E5" s="9">
        <f t="shared" ca="1" si="0"/>
        <v>985454543</v>
      </c>
      <c r="F5" s="9" t="str">
        <f t="shared" ca="1" si="0"/>
        <v>Assam</v>
      </c>
      <c r="G5" s="9" t="str">
        <f t="shared" ca="1" si="0"/>
        <v>VP</v>
      </c>
      <c r="H5" s="47"/>
      <c r="I5" s="47"/>
      <c r="J5" s="47"/>
      <c r="K5" s="47"/>
    </row>
    <row r="6" spans="1:12" x14ac:dyDescent="0.25">
      <c r="A6" s="43" t="s">
        <v>139</v>
      </c>
      <c r="C6" s="9">
        <f t="shared" ca="1" si="1"/>
        <v>0</v>
      </c>
      <c r="D6" s="9">
        <f t="shared" ca="1" si="0"/>
        <v>0</v>
      </c>
      <c r="E6" s="9">
        <f t="shared" ca="1" si="0"/>
        <v>0</v>
      </c>
      <c r="F6" s="9">
        <f t="shared" ca="1" si="0"/>
        <v>0</v>
      </c>
      <c r="G6" s="9">
        <f t="shared" ca="1" si="0"/>
        <v>0</v>
      </c>
      <c r="H6" s="47"/>
      <c r="I6" s="47"/>
      <c r="J6" s="47"/>
      <c r="K6" s="47"/>
    </row>
    <row r="7" spans="1:12" x14ac:dyDescent="0.25">
      <c r="A7" s="43" t="s">
        <v>121</v>
      </c>
      <c r="C7" s="9"/>
      <c r="D7" s="9"/>
      <c r="E7" s="9"/>
      <c r="F7" s="9"/>
      <c r="G7" s="9"/>
      <c r="H7" s="47"/>
      <c r="I7" s="47"/>
      <c r="J7" s="47"/>
      <c r="K7" s="47"/>
    </row>
    <row r="8" spans="1:12" x14ac:dyDescent="0.25">
      <c r="A8" s="43">
        <v>222</v>
      </c>
      <c r="C8" s="9"/>
      <c r="D8" s="9"/>
      <c r="E8" s="9"/>
      <c r="F8" s="9"/>
      <c r="G8" s="9"/>
      <c r="H8" s="47"/>
      <c r="I8" s="47"/>
      <c r="J8" s="47"/>
      <c r="K8" s="47"/>
    </row>
    <row r="9" spans="1:12" x14ac:dyDescent="0.25">
      <c r="A9" s="43">
        <v>9842422253</v>
      </c>
      <c r="C9" s="38"/>
      <c r="D9" s="38"/>
      <c r="E9" s="38"/>
      <c r="F9" s="38"/>
      <c r="G9" s="38"/>
      <c r="H9" s="38"/>
      <c r="I9" s="38"/>
      <c r="J9" s="38"/>
      <c r="K9" s="38"/>
    </row>
    <row r="10" spans="1:12" x14ac:dyDescent="0.25">
      <c r="A10" s="43" t="s">
        <v>135</v>
      </c>
      <c r="C10" s="38"/>
      <c r="D10" s="38"/>
      <c r="E10" s="38"/>
      <c r="F10" s="38"/>
      <c r="G10" s="38"/>
      <c r="H10" s="38"/>
      <c r="I10" s="38"/>
      <c r="J10" s="38"/>
      <c r="K10" s="38"/>
    </row>
    <row r="11" spans="1:12" x14ac:dyDescent="0.25">
      <c r="A11" s="43" t="s">
        <v>140</v>
      </c>
      <c r="C11" s="38"/>
      <c r="D11" s="38"/>
      <c r="E11" s="38"/>
      <c r="F11" s="38"/>
      <c r="G11" s="38"/>
      <c r="H11" s="38"/>
      <c r="I11" s="38"/>
      <c r="J11" s="38"/>
      <c r="K11" s="38"/>
    </row>
    <row r="12" spans="1:12" x14ac:dyDescent="0.25">
      <c r="A12" s="43" t="s">
        <v>122</v>
      </c>
      <c r="C12" s="38"/>
      <c r="D12" s="38"/>
      <c r="E12" s="38"/>
      <c r="F12" s="38"/>
      <c r="G12" s="38"/>
      <c r="H12" s="38"/>
      <c r="I12" s="38"/>
      <c r="J12" s="38"/>
      <c r="K12" s="38"/>
    </row>
    <row r="13" spans="1:12" x14ac:dyDescent="0.25">
      <c r="A13" s="43">
        <v>333</v>
      </c>
      <c r="C13" s="38"/>
      <c r="D13" s="38"/>
      <c r="E13" s="38"/>
      <c r="F13" s="38"/>
      <c r="G13" s="38"/>
      <c r="H13" s="38"/>
      <c r="I13" s="38"/>
      <c r="J13" s="38"/>
    </row>
    <row r="14" spans="1:12" x14ac:dyDescent="0.25">
      <c r="A14" s="43">
        <v>5453342432</v>
      </c>
      <c r="C14" s="38"/>
      <c r="D14" s="38"/>
      <c r="E14" s="38"/>
      <c r="F14" s="38"/>
      <c r="G14" s="38"/>
      <c r="H14" s="38"/>
      <c r="I14" s="38"/>
      <c r="J14" s="38"/>
    </row>
    <row r="15" spans="1:12" x14ac:dyDescent="0.25">
      <c r="A15" s="43" t="s">
        <v>136</v>
      </c>
    </row>
    <row r="16" spans="1:12" x14ac:dyDescent="0.25">
      <c r="A16" s="43" t="s">
        <v>141</v>
      </c>
    </row>
    <row r="17" spans="1:1" x14ac:dyDescent="0.25">
      <c r="A17" s="43" t="s">
        <v>123</v>
      </c>
    </row>
    <row r="18" spans="1:1" x14ac:dyDescent="0.25">
      <c r="A18" s="43">
        <v>444</v>
      </c>
    </row>
    <row r="19" spans="1:1" x14ac:dyDescent="0.25">
      <c r="A19" s="43">
        <v>985454543</v>
      </c>
    </row>
    <row r="20" spans="1:1" x14ac:dyDescent="0.25">
      <c r="A20" s="43" t="s">
        <v>137</v>
      </c>
    </row>
    <row r="21" spans="1:1" x14ac:dyDescent="0.25">
      <c r="A21" s="43" t="s">
        <v>142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2"/>
  <sheetViews>
    <sheetView zoomScale="130" zoomScaleNormal="130" workbookViewId="0">
      <selection activeCell="B2" sqref="B2"/>
    </sheetView>
  </sheetViews>
  <sheetFormatPr defaultRowHeight="15" x14ac:dyDescent="0.25"/>
  <cols>
    <col min="2" max="2" width="13.42578125" bestFit="1" customWidth="1"/>
    <col min="3" max="3" width="13.42578125" customWidth="1"/>
  </cols>
  <sheetData>
    <row r="1" spans="1:10" x14ac:dyDescent="0.25">
      <c r="A1" s="1" t="s">
        <v>14</v>
      </c>
      <c r="B1" s="1" t="s">
        <v>25</v>
      </c>
      <c r="C1" s="20"/>
    </row>
    <row r="2" spans="1:10" x14ac:dyDescent="0.25">
      <c r="A2" s="1" t="s">
        <v>124</v>
      </c>
      <c r="B2" s="1" t="str">
        <f ca="1">OFFSET($A$1,COUNTA(A:A)-ROW(A1),0)</f>
        <v>E&amp;Y</v>
      </c>
      <c r="C2" s="20" t="str">
        <f t="array" ref="C2">INDEX($A$2:$A$12,COUNTA(A:A)-ROW(A1),0)</f>
        <v>E&amp;Y</v>
      </c>
      <c r="J2" s="17" t="s">
        <v>100</v>
      </c>
    </row>
    <row r="3" spans="1:10" x14ac:dyDescent="0.25">
      <c r="A3" s="1" t="s">
        <v>17</v>
      </c>
      <c r="B3" s="1" t="str">
        <f t="shared" ref="B3:B12" ca="1" si="0">OFFSET($A$1,COUNTA(A:A)-ROW(A2),0)</f>
        <v>PWC</v>
      </c>
      <c r="C3" s="20" t="str">
        <f t="array" ref="C3">INDEX($A$2:$A$12,COUNTA(A:A)-ROW(A2),0)</f>
        <v>PWC</v>
      </c>
    </row>
    <row r="4" spans="1:10" x14ac:dyDescent="0.25">
      <c r="A4" s="1" t="s">
        <v>18</v>
      </c>
      <c r="B4" s="1" t="str">
        <f t="shared" ca="1" si="0"/>
        <v>KPMG</v>
      </c>
      <c r="C4" s="20" t="str">
        <f t="array" ref="C4">INDEX($A$2:$A$12,COUNTA(A:A)-ROW(A3),0)</f>
        <v>KPMG</v>
      </c>
    </row>
    <row r="5" spans="1:10" x14ac:dyDescent="0.25">
      <c r="A5" s="1" t="s">
        <v>125</v>
      </c>
      <c r="B5" s="1" t="str">
        <f t="shared" ca="1" si="0"/>
        <v>WNS</v>
      </c>
      <c r="C5" s="20" t="str">
        <f t="array" ref="C5">INDEX($A$2:$A$12,COUNTA(A:A)-ROW(A4),0)</f>
        <v>WNS</v>
      </c>
    </row>
    <row r="6" spans="1:10" x14ac:dyDescent="0.25">
      <c r="A6" s="1" t="s">
        <v>19</v>
      </c>
      <c r="B6" s="1" t="str">
        <f t="shared" ca="1" si="0"/>
        <v>GTPL</v>
      </c>
      <c r="C6" s="20" t="str">
        <f t="array" ref="C6">INDEX($A$2:$A$12,COUNTA(A:A)-ROW(A5),0)</f>
        <v>GTPL</v>
      </c>
    </row>
    <row r="7" spans="1:10" x14ac:dyDescent="0.25">
      <c r="A7" s="1" t="s">
        <v>20</v>
      </c>
      <c r="B7" s="1" t="str">
        <f t="shared" ca="1" si="0"/>
        <v>Metlife</v>
      </c>
      <c r="C7" s="20" t="str">
        <f t="array" ref="C7">INDEX($A$2:$A$12,COUNTA(A:A)-ROW(A6),0)</f>
        <v>Metlife</v>
      </c>
    </row>
    <row r="8" spans="1:10" x14ac:dyDescent="0.25">
      <c r="A8" s="1" t="s">
        <v>126</v>
      </c>
      <c r="B8" s="1" t="str">
        <f t="shared" ca="1" si="0"/>
        <v>HCL</v>
      </c>
      <c r="C8" s="20" t="str">
        <f t="array" ref="C8">INDEX($A$2:$A$12,COUNTA(A:A)-ROW(A7),0)</f>
        <v>HCL</v>
      </c>
    </row>
    <row r="9" spans="1:10" x14ac:dyDescent="0.25">
      <c r="A9" s="1" t="s">
        <v>21</v>
      </c>
      <c r="B9" s="1" t="str">
        <f t="shared" ca="1" si="0"/>
        <v>Aircel</v>
      </c>
      <c r="C9" s="20" t="str">
        <f t="array" ref="C9">INDEX($A$2:$A$12,COUNTA(A:A)-ROW(A8),0)</f>
        <v>Aircel</v>
      </c>
    </row>
    <row r="10" spans="1:10" x14ac:dyDescent="0.25">
      <c r="A10" s="1" t="s">
        <v>22</v>
      </c>
      <c r="B10" s="1" t="str">
        <f t="shared" ca="1" si="0"/>
        <v>UHG</v>
      </c>
      <c r="C10" s="20" t="str">
        <f t="array" ref="C10">INDEX($A$2:$A$12,COUNTA(A:A)-ROW(A9),0)</f>
        <v>UHG</v>
      </c>
    </row>
    <row r="11" spans="1:10" x14ac:dyDescent="0.25">
      <c r="A11" s="1" t="s">
        <v>23</v>
      </c>
      <c r="B11" s="1" t="str">
        <f t="shared" ca="1" si="0"/>
        <v>CSC</v>
      </c>
      <c r="C11" s="20" t="str">
        <f t="array" ref="C11">INDEX($A$2:$A$12,COUNTA(A:A)-ROW(A10),0)</f>
        <v>CSC</v>
      </c>
    </row>
    <row r="12" spans="1:10" x14ac:dyDescent="0.25">
      <c r="A12" s="1" t="s">
        <v>24</v>
      </c>
      <c r="B12" s="1" t="str">
        <f t="shared" ca="1" si="0"/>
        <v>Airtel</v>
      </c>
      <c r="C12" s="20" t="str">
        <f t="array" ref="C12">INDEX($A$2:$A$12,COUNTA(A:A)-ROW(A11),0)</f>
        <v>Airtel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C1:H19"/>
  <sheetViews>
    <sheetView zoomScale="130" zoomScaleNormal="130" workbookViewId="0">
      <selection activeCell="D15" sqref="D9:D15"/>
    </sheetView>
  </sheetViews>
  <sheetFormatPr defaultRowHeight="15" x14ac:dyDescent="0.25"/>
  <cols>
    <col min="3" max="3" width="12" customWidth="1"/>
    <col min="4" max="4" width="12.42578125" customWidth="1"/>
  </cols>
  <sheetData>
    <row r="1" spans="3:8" x14ac:dyDescent="0.25">
      <c r="F1" s="17" t="s">
        <v>101</v>
      </c>
    </row>
    <row r="3" spans="3:8" x14ac:dyDescent="0.25">
      <c r="C3" t="s">
        <v>26</v>
      </c>
      <c r="D3" t="s">
        <v>27</v>
      </c>
    </row>
    <row r="4" spans="3:8" x14ac:dyDescent="0.25">
      <c r="C4" s="5">
        <v>41476</v>
      </c>
      <c r="D4" s="1">
        <v>43</v>
      </c>
    </row>
    <row r="5" spans="3:8" x14ac:dyDescent="0.25">
      <c r="C5" s="5">
        <v>41477</v>
      </c>
      <c r="D5" s="1">
        <v>54</v>
      </c>
    </row>
    <row r="6" spans="3:8" x14ac:dyDescent="0.25">
      <c r="C6" s="5">
        <v>41478</v>
      </c>
      <c r="D6" s="1">
        <v>49</v>
      </c>
    </row>
    <row r="7" spans="3:8" x14ac:dyDescent="0.25">
      <c r="C7" s="5">
        <v>41479</v>
      </c>
      <c r="D7" s="1">
        <v>5</v>
      </c>
    </row>
    <row r="8" spans="3:8" x14ac:dyDescent="0.25">
      <c r="C8" s="5">
        <v>41480</v>
      </c>
      <c r="D8" s="1">
        <v>26</v>
      </c>
      <c r="H8">
        <f ca="1">SUM(OFFSET($D$3,COUNTA(D4:D19)-6,0,7,1))</f>
        <v>87</v>
      </c>
    </row>
    <row r="9" spans="3:8" x14ac:dyDescent="0.25">
      <c r="C9" s="5">
        <v>41481</v>
      </c>
      <c r="D9" s="1">
        <v>45</v>
      </c>
    </row>
    <row r="10" spans="3:8" x14ac:dyDescent="0.25">
      <c r="C10" s="5">
        <v>41482</v>
      </c>
      <c r="D10" s="1">
        <v>28</v>
      </c>
    </row>
    <row r="11" spans="3:8" x14ac:dyDescent="0.25">
      <c r="C11" s="5">
        <v>41483</v>
      </c>
      <c r="D11" s="1">
        <v>3</v>
      </c>
    </row>
    <row r="12" spans="3:8" x14ac:dyDescent="0.25">
      <c r="C12" s="5">
        <v>41484</v>
      </c>
      <c r="D12" s="1">
        <v>2</v>
      </c>
    </row>
    <row r="13" spans="3:8" x14ac:dyDescent="0.25">
      <c r="C13" s="5">
        <v>41485</v>
      </c>
      <c r="D13" s="1">
        <v>3</v>
      </c>
    </row>
    <row r="14" spans="3:8" x14ac:dyDescent="0.25">
      <c r="C14" s="5">
        <v>41486</v>
      </c>
      <c r="D14" s="1">
        <v>3</v>
      </c>
    </row>
    <row r="15" spans="3:8" x14ac:dyDescent="0.25">
      <c r="C15" s="5">
        <v>41487</v>
      </c>
      <c r="D15" s="1">
        <v>3</v>
      </c>
    </row>
    <row r="16" spans="3:8" x14ac:dyDescent="0.25">
      <c r="C16" s="5">
        <v>41488</v>
      </c>
      <c r="D16" s="1"/>
    </row>
    <row r="17" spans="3:4" x14ac:dyDescent="0.25">
      <c r="C17" s="5">
        <v>41489</v>
      </c>
      <c r="D17" s="1"/>
    </row>
    <row r="18" spans="3:4" x14ac:dyDescent="0.25">
      <c r="C18" s="5">
        <v>41490</v>
      </c>
      <c r="D18" s="1"/>
    </row>
    <row r="19" spans="3:4" x14ac:dyDescent="0.25">
      <c r="C19" s="5">
        <v>41491</v>
      </c>
      <c r="D19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M21"/>
  <sheetViews>
    <sheetView zoomScale="130" zoomScaleNormal="130" workbookViewId="0">
      <selection activeCell="D16" sqref="D16"/>
    </sheetView>
  </sheetViews>
  <sheetFormatPr defaultRowHeight="15" x14ac:dyDescent="0.25"/>
  <cols>
    <col min="3" max="3" width="12.140625" bestFit="1" customWidth="1"/>
    <col min="4" max="4" width="8.5703125" customWidth="1"/>
    <col min="13" max="13" width="24.42578125" customWidth="1"/>
  </cols>
  <sheetData>
    <row r="1" spans="1:13" x14ac:dyDescent="0.25">
      <c r="A1" s="11" t="s">
        <v>14</v>
      </c>
      <c r="B1" s="11" t="s">
        <v>80</v>
      </c>
      <c r="C1" s="11" t="s">
        <v>81</v>
      </c>
      <c r="D1" s="11" t="s">
        <v>82</v>
      </c>
      <c r="E1" s="11" t="s">
        <v>83</v>
      </c>
      <c r="F1" s="11" t="s">
        <v>84</v>
      </c>
      <c r="G1" s="11" t="s">
        <v>85</v>
      </c>
      <c r="H1" s="11" t="s">
        <v>86</v>
      </c>
      <c r="I1" s="11" t="s">
        <v>87</v>
      </c>
      <c r="J1" s="11" t="s">
        <v>88</v>
      </c>
      <c r="K1" s="11" t="s">
        <v>89</v>
      </c>
      <c r="L1" s="11" t="s">
        <v>90</v>
      </c>
      <c r="M1" s="11" t="s">
        <v>91</v>
      </c>
    </row>
    <row r="2" spans="1:13" x14ac:dyDescent="0.25">
      <c r="A2" s="12" t="s">
        <v>127</v>
      </c>
      <c r="B2" s="13">
        <v>2</v>
      </c>
      <c r="C2" s="13">
        <v>3</v>
      </c>
      <c r="D2" s="13">
        <v>4</v>
      </c>
      <c r="E2" s="13">
        <v>5</v>
      </c>
      <c r="F2" s="13">
        <v>2</v>
      </c>
      <c r="G2" s="13">
        <v>2</v>
      </c>
      <c r="H2" s="13">
        <v>1</v>
      </c>
      <c r="I2" s="13">
        <v>2</v>
      </c>
      <c r="J2" s="13">
        <v>3</v>
      </c>
      <c r="K2" s="13">
        <v>4</v>
      </c>
      <c r="L2" s="13">
        <v>2</v>
      </c>
      <c r="M2" s="14">
        <f ca="1">AVERAGE(OFFSET(A2,0,COUNTA(B2:L2)-5,1,6))</f>
        <v>2.3333333333333335</v>
      </c>
    </row>
    <row r="3" spans="1:13" x14ac:dyDescent="0.25">
      <c r="A3" s="12" t="s">
        <v>92</v>
      </c>
      <c r="B3" s="13">
        <v>1</v>
      </c>
      <c r="C3" s="13">
        <v>2</v>
      </c>
      <c r="D3" s="13">
        <v>3</v>
      </c>
      <c r="E3" s="13">
        <v>4</v>
      </c>
      <c r="F3" s="13">
        <v>5</v>
      </c>
      <c r="G3" s="13">
        <v>3</v>
      </c>
      <c r="H3" s="13">
        <v>1</v>
      </c>
      <c r="I3" s="13">
        <v>1</v>
      </c>
      <c r="J3" s="13">
        <v>1</v>
      </c>
      <c r="K3" s="13">
        <v>5</v>
      </c>
      <c r="L3" s="13">
        <v>5</v>
      </c>
      <c r="M3" s="14">
        <f t="shared" ref="M3:M12" ca="1" si="0">AVERAGE(OFFSET(A3,0,COUNTA(B3:L3)-5,1,6))</f>
        <v>2.6666666666666665</v>
      </c>
    </row>
    <row r="4" spans="1:13" x14ac:dyDescent="0.25">
      <c r="A4" s="12" t="s">
        <v>128</v>
      </c>
      <c r="B4" s="13">
        <v>5</v>
      </c>
      <c r="C4" s="13">
        <v>4</v>
      </c>
      <c r="D4" s="13">
        <v>3</v>
      </c>
      <c r="E4" s="13">
        <v>4</v>
      </c>
      <c r="F4" s="13">
        <v>2.5</v>
      </c>
      <c r="G4" s="13">
        <v>5</v>
      </c>
      <c r="H4" s="13">
        <v>5</v>
      </c>
      <c r="I4" s="13">
        <v>5</v>
      </c>
      <c r="J4" s="13">
        <v>5</v>
      </c>
      <c r="K4" s="13">
        <v>5</v>
      </c>
      <c r="L4" s="13">
        <v>5</v>
      </c>
      <c r="M4" s="14">
        <f t="shared" ca="1" si="0"/>
        <v>5</v>
      </c>
    </row>
    <row r="5" spans="1:13" x14ac:dyDescent="0.25">
      <c r="A5" s="12" t="s">
        <v>93</v>
      </c>
      <c r="B5" s="13">
        <v>2</v>
      </c>
      <c r="C5" s="13">
        <v>3</v>
      </c>
      <c r="D5" s="13">
        <v>4</v>
      </c>
      <c r="E5" s="13">
        <v>5</v>
      </c>
      <c r="F5" s="13">
        <v>6</v>
      </c>
      <c r="G5" s="13">
        <v>4</v>
      </c>
      <c r="H5" s="13">
        <v>2</v>
      </c>
      <c r="I5" s="13">
        <v>3</v>
      </c>
      <c r="J5" s="13">
        <v>4</v>
      </c>
      <c r="K5" s="13">
        <v>5</v>
      </c>
      <c r="L5" s="13">
        <v>6</v>
      </c>
      <c r="M5" s="14">
        <f t="shared" ca="1" si="0"/>
        <v>4</v>
      </c>
    </row>
    <row r="6" spans="1:13" x14ac:dyDescent="0.25">
      <c r="A6" s="12" t="s">
        <v>94</v>
      </c>
      <c r="B6" s="13">
        <v>3</v>
      </c>
      <c r="C6" s="13">
        <v>3</v>
      </c>
      <c r="D6" s="13">
        <v>4</v>
      </c>
      <c r="E6" s="13">
        <v>3</v>
      </c>
      <c r="F6" s="13">
        <v>3</v>
      </c>
      <c r="G6" s="13">
        <v>3</v>
      </c>
      <c r="H6" s="13">
        <v>3</v>
      </c>
      <c r="I6" s="13">
        <v>4</v>
      </c>
      <c r="J6" s="13">
        <v>5</v>
      </c>
      <c r="K6" s="13">
        <v>2</v>
      </c>
      <c r="L6" s="13">
        <v>1</v>
      </c>
      <c r="M6" s="14">
        <f t="shared" ca="1" si="0"/>
        <v>3</v>
      </c>
    </row>
    <row r="7" spans="1:13" x14ac:dyDescent="0.25">
      <c r="A7" s="12" t="s">
        <v>129</v>
      </c>
      <c r="B7" s="13">
        <v>2</v>
      </c>
      <c r="C7" s="13">
        <v>3</v>
      </c>
      <c r="D7" s="13">
        <v>4</v>
      </c>
      <c r="E7" s="13">
        <v>5</v>
      </c>
      <c r="F7" s="13">
        <v>2</v>
      </c>
      <c r="G7" s="13">
        <v>1</v>
      </c>
      <c r="H7" s="13">
        <v>1</v>
      </c>
      <c r="I7" s="13">
        <v>2</v>
      </c>
      <c r="J7" s="13">
        <v>3</v>
      </c>
      <c r="K7" s="13">
        <v>4</v>
      </c>
      <c r="L7" s="13">
        <v>5</v>
      </c>
      <c r="M7" s="14">
        <f t="shared" ca="1" si="0"/>
        <v>2.6666666666666665</v>
      </c>
    </row>
    <row r="8" spans="1:13" x14ac:dyDescent="0.25">
      <c r="A8" s="12" t="s">
        <v>95</v>
      </c>
      <c r="B8" s="13">
        <v>3</v>
      </c>
      <c r="C8" s="13">
        <v>3</v>
      </c>
      <c r="D8" s="13">
        <v>5</v>
      </c>
      <c r="E8" s="13">
        <v>4</v>
      </c>
      <c r="F8" s="13">
        <v>2.5</v>
      </c>
      <c r="G8" s="13">
        <v>5</v>
      </c>
      <c r="H8" s="13">
        <v>5</v>
      </c>
      <c r="I8" s="13">
        <v>4</v>
      </c>
      <c r="J8" s="13">
        <v>3</v>
      </c>
      <c r="K8" s="13">
        <v>2</v>
      </c>
      <c r="L8" s="13">
        <v>1</v>
      </c>
      <c r="M8" s="14">
        <f t="shared" ca="1" si="0"/>
        <v>3.3333333333333335</v>
      </c>
    </row>
    <row r="9" spans="1:13" x14ac:dyDescent="0.25">
      <c r="A9" s="12" t="s">
        <v>130</v>
      </c>
      <c r="B9" s="13">
        <v>3</v>
      </c>
      <c r="C9" s="13">
        <v>3</v>
      </c>
      <c r="D9" s="13">
        <v>3.5</v>
      </c>
      <c r="E9" s="13">
        <v>4</v>
      </c>
      <c r="F9" s="13">
        <v>2.5</v>
      </c>
      <c r="G9" s="13">
        <v>4</v>
      </c>
      <c r="H9" s="13">
        <v>1</v>
      </c>
      <c r="I9" s="13">
        <v>2</v>
      </c>
      <c r="J9" s="13">
        <v>3</v>
      </c>
      <c r="K9" s="13">
        <v>4</v>
      </c>
      <c r="L9" s="13">
        <v>1</v>
      </c>
      <c r="M9" s="14">
        <f t="shared" ca="1" si="0"/>
        <v>2.5</v>
      </c>
    </row>
    <row r="10" spans="1:13" x14ac:dyDescent="0.25">
      <c r="A10" s="12" t="s">
        <v>131</v>
      </c>
      <c r="B10" s="13">
        <v>2</v>
      </c>
      <c r="C10" s="13">
        <v>4</v>
      </c>
      <c r="D10" s="13">
        <v>4.5</v>
      </c>
      <c r="E10" s="13">
        <v>4</v>
      </c>
      <c r="F10" s="13">
        <v>2.5</v>
      </c>
      <c r="G10" s="13">
        <v>3</v>
      </c>
      <c r="H10" s="13">
        <v>1</v>
      </c>
      <c r="I10" s="13">
        <v>2</v>
      </c>
      <c r="J10" s="13">
        <v>3</v>
      </c>
      <c r="K10" s="13">
        <v>4</v>
      </c>
      <c r="L10" s="13">
        <v>5</v>
      </c>
      <c r="M10" s="14">
        <f t="shared" ca="1" si="0"/>
        <v>3</v>
      </c>
    </row>
    <row r="11" spans="1:13" x14ac:dyDescent="0.25">
      <c r="A11" s="12" t="s">
        <v>132</v>
      </c>
      <c r="B11" s="13">
        <v>5</v>
      </c>
      <c r="C11" s="13">
        <v>5</v>
      </c>
      <c r="D11" s="13">
        <v>5</v>
      </c>
      <c r="E11" s="13">
        <v>5</v>
      </c>
      <c r="F11" s="13">
        <v>2.5</v>
      </c>
      <c r="G11" s="13">
        <v>2</v>
      </c>
      <c r="H11" s="13">
        <v>1</v>
      </c>
      <c r="I11" s="13">
        <v>2</v>
      </c>
      <c r="J11" s="13">
        <v>3</v>
      </c>
      <c r="K11" s="13">
        <v>4</v>
      </c>
      <c r="L11" s="13">
        <v>5</v>
      </c>
      <c r="M11" s="14">
        <f t="shared" ca="1" si="0"/>
        <v>2.8333333333333335</v>
      </c>
    </row>
    <row r="12" spans="1:13" x14ac:dyDescent="0.25">
      <c r="A12" s="12" t="s">
        <v>96</v>
      </c>
      <c r="B12" s="13">
        <v>1</v>
      </c>
      <c r="C12" s="13">
        <v>2</v>
      </c>
      <c r="D12" s="13">
        <v>3</v>
      </c>
      <c r="E12" s="13">
        <v>4</v>
      </c>
      <c r="F12" s="13">
        <v>5</v>
      </c>
      <c r="G12" s="13">
        <v>1</v>
      </c>
      <c r="H12" s="13">
        <v>2</v>
      </c>
      <c r="I12" s="13">
        <v>7</v>
      </c>
      <c r="J12" s="13">
        <v>6</v>
      </c>
      <c r="K12" s="13">
        <v>5</v>
      </c>
      <c r="L12" s="13">
        <v>5</v>
      </c>
      <c r="M12" s="14">
        <f t="shared" ca="1" si="0"/>
        <v>4.333333333333333</v>
      </c>
    </row>
    <row r="15" spans="1:13" x14ac:dyDescent="0.25">
      <c r="C15" s="16" t="s">
        <v>79</v>
      </c>
      <c r="D15" s="16" t="s">
        <v>97</v>
      </c>
      <c r="E15" s="16" t="s">
        <v>98</v>
      </c>
      <c r="F15" s="15"/>
    </row>
    <row r="16" spans="1:13" x14ac:dyDescent="0.25">
      <c r="C16" s="12" t="s">
        <v>94</v>
      </c>
      <c r="D16" s="18">
        <f t="array" aca="1" ref="D16" ca="1">AVERAGE(OFFSET(INDEX(A2:A12,MATCH(C16,A2:A12,0)),0,COUNT(A2:L2)*0,1,4))</f>
        <v>3.3333333333333335</v>
      </c>
      <c r="E16" s="18">
        <f t="array" aca="1" ref="E16" ca="1">AVERAGE(OFFSET(INDEX(A2:A12,MATCH(C16,A2:A12,0)),0,COUNT(A2:L2)-2,1,3))</f>
        <v>2.6666666666666665</v>
      </c>
    </row>
    <row r="19" spans="4:5" x14ac:dyDescent="0.25">
      <c r="D19" s="17" t="s">
        <v>102</v>
      </c>
    </row>
    <row r="21" spans="4:5" x14ac:dyDescent="0.25">
      <c r="E21" s="17" t="s">
        <v>103</v>
      </c>
    </row>
  </sheetData>
  <conditionalFormatting sqref="B2:D12">
    <cfRule type="expression" dxfId="1" priority="2">
      <formula>$A2=$C$16</formula>
    </cfRule>
  </conditionalFormatting>
  <conditionalFormatting sqref="J2:L12">
    <cfRule type="expression" dxfId="0" priority="1">
      <formula>$A2=$C$16</formula>
    </cfRule>
  </conditionalFormatting>
  <dataValidations count="1">
    <dataValidation type="list" allowBlank="1" showInputMessage="1" showErrorMessage="1" sqref="C16" xr:uid="{00000000-0002-0000-0400-000000000000}">
      <formula1>$A$2:$A$12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A4"/>
  <sheetViews>
    <sheetView workbookViewId="0">
      <selection activeCell="A2" sqref="A2"/>
    </sheetView>
  </sheetViews>
  <sheetFormatPr defaultRowHeight="15" x14ac:dyDescent="0.25"/>
  <cols>
    <col min="2" max="2" width="43.5703125" customWidth="1"/>
  </cols>
  <sheetData>
    <row r="2" spans="1:1" ht="174.75" customHeight="1" x14ac:dyDescent="0.25">
      <c r="A2" t="s">
        <v>133</v>
      </c>
    </row>
    <row r="3" spans="1:1" ht="174.75" customHeight="1" x14ac:dyDescent="0.25">
      <c r="A3" t="s">
        <v>134</v>
      </c>
    </row>
    <row r="4" spans="1:1" ht="174.75" customHeight="1" x14ac:dyDescent="0.25">
      <c r="A4" t="s">
        <v>33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1:N20"/>
  <sheetViews>
    <sheetView topLeftCell="A4" zoomScale="140" zoomScaleNormal="140" workbookViewId="0">
      <selection activeCell="B16" sqref="B16"/>
    </sheetView>
  </sheetViews>
  <sheetFormatPr defaultRowHeight="15" x14ac:dyDescent="0.25"/>
  <cols>
    <col min="4" max="7" width="9.140625" style="19"/>
    <col min="8" max="8" width="3.85546875" customWidth="1"/>
    <col min="10" max="10" width="4" customWidth="1"/>
  </cols>
  <sheetData>
    <row r="1" spans="2:14" x14ac:dyDescent="0.25">
      <c r="K1" s="17" t="s">
        <v>104</v>
      </c>
    </row>
    <row r="3" spans="2:14" s="7" customFormat="1" x14ac:dyDescent="0.25">
      <c r="B3" s="7" t="s">
        <v>28</v>
      </c>
      <c r="D3" s="21" t="s">
        <v>29</v>
      </c>
      <c r="E3" s="21" t="s">
        <v>30</v>
      </c>
      <c r="F3" s="21" t="s">
        <v>31</v>
      </c>
      <c r="G3" s="21" t="s">
        <v>32</v>
      </c>
      <c r="I3" s="21" t="s">
        <v>28</v>
      </c>
      <c r="K3" s="21" t="s">
        <v>29</v>
      </c>
      <c r="L3" s="21" t="s">
        <v>30</v>
      </c>
      <c r="M3" s="21" t="s">
        <v>31</v>
      </c>
      <c r="N3" s="21" t="s">
        <v>32</v>
      </c>
    </row>
    <row r="4" spans="2:14" x14ac:dyDescent="0.25">
      <c r="B4" t="s">
        <v>133</v>
      </c>
      <c r="D4" s="54">
        <v>83</v>
      </c>
      <c r="E4" s="54">
        <v>49</v>
      </c>
      <c r="F4" s="54">
        <v>178</v>
      </c>
      <c r="G4" s="54">
        <v>38</v>
      </c>
      <c r="I4" s="54" t="s">
        <v>133</v>
      </c>
      <c r="K4" s="1">
        <f t="array" aca="1" ref="K4:N7" ca="1">OFFSET(INDEX($B$4:$B$20,MATCH($I$4,$B$4:$B$20,0)),0,2,4,4)</f>
        <v>83</v>
      </c>
      <c r="L4" s="1">
        <f ca="1"/>
        <v>49</v>
      </c>
      <c r="M4" s="1">
        <f ca="1"/>
        <v>178</v>
      </c>
      <c r="N4" s="1">
        <f ca="1"/>
        <v>38</v>
      </c>
    </row>
    <row r="5" spans="2:14" x14ac:dyDescent="0.25">
      <c r="D5" s="54">
        <v>78</v>
      </c>
      <c r="E5" s="54">
        <v>102</v>
      </c>
      <c r="F5" s="54">
        <v>153</v>
      </c>
      <c r="G5" s="54">
        <v>121</v>
      </c>
      <c r="K5" s="1">
        <f ca="1"/>
        <v>78</v>
      </c>
      <c r="L5" s="1">
        <f ca="1"/>
        <v>102</v>
      </c>
      <c r="M5" s="1">
        <f ca="1"/>
        <v>153</v>
      </c>
      <c r="N5" s="1">
        <f ca="1"/>
        <v>121</v>
      </c>
    </row>
    <row r="6" spans="2:14" x14ac:dyDescent="0.25">
      <c r="D6" s="54">
        <v>27</v>
      </c>
      <c r="E6" s="54">
        <v>97</v>
      </c>
      <c r="F6" s="54">
        <v>199</v>
      </c>
      <c r="G6" s="54">
        <v>98</v>
      </c>
      <c r="K6" s="1">
        <f ca="1"/>
        <v>27</v>
      </c>
      <c r="L6" s="1">
        <f ca="1"/>
        <v>97</v>
      </c>
      <c r="M6" s="1">
        <f ca="1"/>
        <v>199</v>
      </c>
      <c r="N6" s="1">
        <f ca="1"/>
        <v>98</v>
      </c>
    </row>
    <row r="7" spans="2:14" x14ac:dyDescent="0.25">
      <c r="D7" s="54">
        <v>184</v>
      </c>
      <c r="E7" s="54">
        <v>157</v>
      </c>
      <c r="F7" s="54">
        <v>69</v>
      </c>
      <c r="G7" s="54">
        <v>150</v>
      </c>
      <c r="K7" s="1">
        <f ca="1"/>
        <v>184</v>
      </c>
      <c r="L7" s="1">
        <f ca="1"/>
        <v>157</v>
      </c>
      <c r="M7" s="1">
        <f ca="1"/>
        <v>69</v>
      </c>
      <c r="N7" s="1">
        <f ca="1"/>
        <v>150</v>
      </c>
    </row>
    <row r="8" spans="2:14" x14ac:dyDescent="0.25">
      <c r="D8" s="55"/>
      <c r="E8" s="55"/>
      <c r="F8" s="55"/>
      <c r="G8" s="55"/>
      <c r="I8">
        <f ca="1">INDIRECT("Images!B"&amp;MATCH('Offset-7'!$I$4,Images!$A:$A,0))</f>
        <v>0</v>
      </c>
      <c r="K8" s="20"/>
      <c r="L8" s="20"/>
      <c r="M8" s="20"/>
      <c r="N8" s="20"/>
    </row>
    <row r="9" spans="2:14" x14ac:dyDescent="0.25">
      <c r="D9" s="55"/>
      <c r="E9" s="55"/>
      <c r="F9" s="55"/>
      <c r="G9" s="55"/>
      <c r="K9" s="20"/>
      <c r="L9" s="20"/>
      <c r="M9" s="20"/>
      <c r="N9" s="20"/>
    </row>
    <row r="10" spans="2:14" x14ac:dyDescent="0.25">
      <c r="D10" s="21" t="s">
        <v>29</v>
      </c>
      <c r="E10" s="21" t="s">
        <v>30</v>
      </c>
      <c r="F10" s="21" t="s">
        <v>31</v>
      </c>
      <c r="G10" s="21" t="s">
        <v>32</v>
      </c>
      <c r="K10" s="20"/>
    </row>
    <row r="11" spans="2:14" x14ac:dyDescent="0.25">
      <c r="B11" t="s">
        <v>134</v>
      </c>
      <c r="D11" s="54">
        <v>49</v>
      </c>
      <c r="E11" s="54">
        <v>10</v>
      </c>
      <c r="F11" s="54">
        <v>171</v>
      </c>
      <c r="G11" s="54">
        <v>178</v>
      </c>
      <c r="K11" s="20"/>
    </row>
    <row r="12" spans="2:14" x14ac:dyDescent="0.25">
      <c r="D12" s="54">
        <v>85</v>
      </c>
      <c r="E12" s="54">
        <v>183</v>
      </c>
      <c r="F12" s="54">
        <v>173</v>
      </c>
      <c r="G12" s="54">
        <v>123</v>
      </c>
    </row>
    <row r="13" spans="2:14" x14ac:dyDescent="0.25">
      <c r="D13" s="54">
        <v>155</v>
      </c>
      <c r="E13" s="54">
        <v>109</v>
      </c>
      <c r="F13" s="54">
        <v>57</v>
      </c>
      <c r="G13" s="54">
        <v>136</v>
      </c>
    </row>
    <row r="14" spans="2:14" x14ac:dyDescent="0.25">
      <c r="D14" s="54">
        <v>128</v>
      </c>
      <c r="E14" s="54">
        <v>82</v>
      </c>
      <c r="F14" s="54">
        <v>39</v>
      </c>
      <c r="G14" s="54">
        <v>184</v>
      </c>
    </row>
    <row r="16" spans="2:14" x14ac:dyDescent="0.25">
      <c r="D16" s="21" t="s">
        <v>29</v>
      </c>
      <c r="E16" s="21" t="s">
        <v>30</v>
      </c>
      <c r="F16" s="21" t="s">
        <v>31</v>
      </c>
      <c r="G16" s="21" t="s">
        <v>32</v>
      </c>
    </row>
    <row r="17" spans="2:7" x14ac:dyDescent="0.25">
      <c r="B17" t="s">
        <v>33</v>
      </c>
      <c r="D17" s="54">
        <v>67</v>
      </c>
      <c r="E17" s="54">
        <v>164</v>
      </c>
      <c r="F17" s="54">
        <v>177</v>
      </c>
      <c r="G17" s="54">
        <v>123</v>
      </c>
    </row>
    <row r="18" spans="2:7" x14ac:dyDescent="0.25">
      <c r="D18" s="54">
        <v>169</v>
      </c>
      <c r="E18" s="54">
        <v>149</v>
      </c>
      <c r="F18" s="54">
        <v>135</v>
      </c>
      <c r="G18" s="54">
        <v>187</v>
      </c>
    </row>
    <row r="19" spans="2:7" x14ac:dyDescent="0.25">
      <c r="D19" s="54">
        <v>112</v>
      </c>
      <c r="E19" s="54">
        <v>126</v>
      </c>
      <c r="F19" s="54">
        <v>185</v>
      </c>
      <c r="G19" s="54">
        <v>199</v>
      </c>
    </row>
    <row r="20" spans="2:7" x14ac:dyDescent="0.25">
      <c r="D20" s="54">
        <v>160</v>
      </c>
      <c r="E20" s="54">
        <v>105</v>
      </c>
      <c r="F20" s="54">
        <v>111</v>
      </c>
      <c r="G20" s="54">
        <v>145</v>
      </c>
    </row>
  </sheetData>
  <dataValidations count="1">
    <dataValidation type="list" allowBlank="1" showInputMessage="1" showErrorMessage="1" sqref="I4" xr:uid="{00000000-0002-0000-0600-000000000000}">
      <formula1>"Sehwag,Dravid,Raina"</formula1>
    </dataValidation>
  </dataValidations>
  <pageMargins left="0.7" right="0.7" top="0.75" bottom="0.75" header="0.3" footer="0.3"/>
  <pageSetup orientation="portrait" verticalDpi="0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B1:H12"/>
  <sheetViews>
    <sheetView zoomScale="130" zoomScaleNormal="130" workbookViewId="0">
      <selection activeCell="F4" sqref="F4"/>
    </sheetView>
  </sheetViews>
  <sheetFormatPr defaultRowHeight="15" x14ac:dyDescent="0.25"/>
  <cols>
    <col min="2" max="2" width="11.85546875" customWidth="1"/>
    <col min="5" max="5" width="10.85546875" bestFit="1" customWidth="1"/>
  </cols>
  <sheetData>
    <row r="1" spans="2:8" x14ac:dyDescent="0.25">
      <c r="B1" s="21" t="s">
        <v>34</v>
      </c>
      <c r="C1" s="21" t="s">
        <v>35</v>
      </c>
    </row>
    <row r="2" spans="2:8" x14ac:dyDescent="0.25">
      <c r="B2" s="1" t="s">
        <v>36</v>
      </c>
      <c r="C2" s="1">
        <v>43</v>
      </c>
      <c r="E2" s="66" t="s">
        <v>39</v>
      </c>
      <c r="F2" s="67"/>
      <c r="G2" s="68"/>
      <c r="H2" s="17" t="s">
        <v>105</v>
      </c>
    </row>
    <row r="3" spans="2:8" x14ac:dyDescent="0.25">
      <c r="B3" s="1" t="s">
        <v>38</v>
      </c>
      <c r="C3" s="1">
        <v>73</v>
      </c>
      <c r="E3" s="52" t="s">
        <v>34</v>
      </c>
      <c r="F3" s="53" t="s">
        <v>35</v>
      </c>
      <c r="G3" s="53" t="s">
        <v>35</v>
      </c>
    </row>
    <row r="4" spans="2:8" x14ac:dyDescent="0.25">
      <c r="B4" s="1" t="s">
        <v>38</v>
      </c>
      <c r="C4" s="1">
        <v>65</v>
      </c>
      <c r="E4" s="1" t="s">
        <v>36</v>
      </c>
      <c r="F4" s="42">
        <f t="array" aca="1" ref="F4" ca="1">OFFSET($C$1,SMALL(IF($B$2:$B$12=E4,ROW($C$2:$C$12),""),1)-1,0)</f>
        <v>43</v>
      </c>
      <c r="G4" s="42"/>
    </row>
    <row r="5" spans="2:8" x14ac:dyDescent="0.25">
      <c r="B5" s="1" t="s">
        <v>38</v>
      </c>
      <c r="C5" s="1">
        <v>52</v>
      </c>
      <c r="E5" s="1" t="s">
        <v>37</v>
      </c>
      <c r="F5" s="42">
        <f t="array" aca="1" ref="F5" ca="1">OFFSET($C$1,SMALL(IF($B$2:$B$12=E5,ROW($C$2:$C$12),""),1)-1,0)</f>
        <v>32</v>
      </c>
      <c r="G5" s="42"/>
    </row>
    <row r="6" spans="2:8" x14ac:dyDescent="0.25">
      <c r="B6" s="1" t="s">
        <v>38</v>
      </c>
      <c r="C6" s="1">
        <v>96</v>
      </c>
      <c r="E6" s="1" t="s">
        <v>38</v>
      </c>
      <c r="F6" s="42">
        <f t="array" aca="1" ref="F6" ca="1">OFFSET($C$1,SMALL(IF($B$2:$B$12=E6,ROW($C$2:$C$12),""),1)-1,0)</f>
        <v>73</v>
      </c>
      <c r="G6" s="42"/>
    </row>
    <row r="7" spans="2:8" x14ac:dyDescent="0.25">
      <c r="B7" s="1" t="s">
        <v>37</v>
      </c>
      <c r="C7" s="1">
        <v>32</v>
      </c>
    </row>
    <row r="8" spans="2:8" x14ac:dyDescent="0.25">
      <c r="B8" s="1" t="s">
        <v>36</v>
      </c>
      <c r="C8" s="1">
        <v>120</v>
      </c>
    </row>
    <row r="9" spans="2:8" x14ac:dyDescent="0.25">
      <c r="B9" s="1" t="s">
        <v>37</v>
      </c>
      <c r="C9" s="1">
        <v>98</v>
      </c>
    </row>
    <row r="10" spans="2:8" x14ac:dyDescent="0.25">
      <c r="B10" s="1" t="s">
        <v>38</v>
      </c>
      <c r="C10" s="1">
        <v>63</v>
      </c>
    </row>
    <row r="11" spans="2:8" x14ac:dyDescent="0.25">
      <c r="B11" s="1" t="s">
        <v>38</v>
      </c>
      <c r="C11" s="1">
        <v>100</v>
      </c>
    </row>
    <row r="12" spans="2:8" x14ac:dyDescent="0.25">
      <c r="B12" s="1" t="s">
        <v>37</v>
      </c>
      <c r="C12" s="1">
        <v>22</v>
      </c>
    </row>
  </sheetData>
  <mergeCells count="1">
    <mergeCell ref="E2:G2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C1:M9405"/>
  <sheetViews>
    <sheetView workbookViewId="0">
      <selection activeCell="J7" sqref="J7"/>
    </sheetView>
  </sheetViews>
  <sheetFormatPr defaultRowHeight="15" x14ac:dyDescent="0.25"/>
  <cols>
    <col min="3" max="4" width="13.28515625" bestFit="1" customWidth="1"/>
    <col min="5" max="6" width="13.7109375" bestFit="1" customWidth="1"/>
    <col min="11" max="11" width="13.28515625" style="22" bestFit="1" customWidth="1"/>
    <col min="12" max="12" width="9.5703125" style="22" bestFit="1" customWidth="1"/>
    <col min="13" max="13" width="13.7109375" style="22" bestFit="1" customWidth="1"/>
  </cols>
  <sheetData>
    <row r="1" spans="3:13" x14ac:dyDescent="0.25">
      <c r="I1" s="36"/>
      <c r="J1" s="36"/>
      <c r="K1" s="23" t="s">
        <v>59</v>
      </c>
      <c r="L1" s="24" t="s">
        <v>60</v>
      </c>
      <c r="M1" s="25" t="s">
        <v>61</v>
      </c>
    </row>
    <row r="2" spans="3:13" x14ac:dyDescent="0.25">
      <c r="F2">
        <v>3</v>
      </c>
      <c r="I2" s="36"/>
      <c r="K2" s="26" t="s">
        <v>109</v>
      </c>
      <c r="L2" s="27" t="s">
        <v>115</v>
      </c>
      <c r="M2" s="10">
        <v>110.22927689594357</v>
      </c>
    </row>
    <row r="3" spans="3:13" ht="18.75" customHeight="1" x14ac:dyDescent="0.25">
      <c r="I3" s="36"/>
      <c r="K3" s="26" t="s">
        <v>109</v>
      </c>
      <c r="L3" s="27" t="s">
        <v>116</v>
      </c>
      <c r="M3" s="10">
        <v>97.001763668430343</v>
      </c>
    </row>
    <row r="4" spans="3:13" x14ac:dyDescent="0.25">
      <c r="I4" s="36"/>
      <c r="K4" s="26" t="s">
        <v>109</v>
      </c>
      <c r="L4" s="27" t="s">
        <v>117</v>
      </c>
      <c r="M4" s="10">
        <v>330.68783068783068</v>
      </c>
    </row>
    <row r="5" spans="3:13" x14ac:dyDescent="0.25">
      <c r="I5" s="36"/>
      <c r="K5" s="26" t="s">
        <v>109</v>
      </c>
      <c r="L5" s="27" t="s">
        <v>118</v>
      </c>
      <c r="M5" s="10">
        <v>69.893042465318231</v>
      </c>
    </row>
    <row r="6" spans="3:13" x14ac:dyDescent="0.25">
      <c r="I6" s="36"/>
      <c r="K6" s="26" t="s">
        <v>109</v>
      </c>
      <c r="L6" s="27" t="s">
        <v>119</v>
      </c>
      <c r="M6" s="10">
        <v>69.893042465318231</v>
      </c>
    </row>
    <row r="7" spans="3:13" x14ac:dyDescent="0.25">
      <c r="I7" s="36"/>
      <c r="K7" s="26" t="s">
        <v>109</v>
      </c>
      <c r="L7" s="27" t="s">
        <v>115</v>
      </c>
      <c r="M7" s="10">
        <v>69.893042465318231</v>
      </c>
    </row>
    <row r="8" spans="3:13" x14ac:dyDescent="0.25">
      <c r="C8" s="23" t="s">
        <v>59</v>
      </c>
      <c r="D8" s="24" t="s">
        <v>60</v>
      </c>
      <c r="E8" s="25" t="s">
        <v>61</v>
      </c>
      <c r="I8" s="36"/>
      <c r="K8" s="26" t="s">
        <v>109</v>
      </c>
      <c r="L8" s="27" t="s">
        <v>116</v>
      </c>
      <c r="M8" s="10">
        <v>110.22927689594357</v>
      </c>
    </row>
    <row r="9" spans="3:13" x14ac:dyDescent="0.25">
      <c r="C9" s="26" t="str">
        <f ca="1">OFFSET(K1,$F$2,0)</f>
        <v>North</v>
      </c>
      <c r="D9" s="27" t="str">
        <f t="shared" ref="D9:E17" ca="1" si="0">OFFSET(L1,$F$2,0)</f>
        <v>Bus</v>
      </c>
      <c r="E9" s="10">
        <f t="shared" ca="1" si="0"/>
        <v>330.68783068783068</v>
      </c>
      <c r="I9" s="36"/>
      <c r="K9" s="26" t="s">
        <v>109</v>
      </c>
      <c r="L9" s="27" t="s">
        <v>117</v>
      </c>
      <c r="M9" s="10">
        <v>105.89854918987609</v>
      </c>
    </row>
    <row r="10" spans="3:13" x14ac:dyDescent="0.25">
      <c r="C10" s="26" t="str">
        <f t="shared" ref="C10:C17" ca="1" si="1">OFFSET(K2,$F$2,0)</f>
        <v>North</v>
      </c>
      <c r="D10" s="27" t="str">
        <f t="shared" ca="1" si="0"/>
        <v>Bike</v>
      </c>
      <c r="E10" s="10">
        <f t="shared" ca="1" si="0"/>
        <v>69.893042465318231</v>
      </c>
      <c r="I10" s="36"/>
      <c r="K10" s="26" t="s">
        <v>110</v>
      </c>
      <c r="L10" s="27" t="s">
        <v>118</v>
      </c>
      <c r="M10" s="10">
        <v>12.848020762401553</v>
      </c>
    </row>
    <row r="11" spans="3:13" x14ac:dyDescent="0.25">
      <c r="C11" s="26" t="str">
        <f t="shared" ca="1" si="1"/>
        <v>North</v>
      </c>
      <c r="D11" s="27" t="str">
        <f t="shared" ca="1" si="0"/>
        <v>Train</v>
      </c>
      <c r="E11" s="10">
        <f t="shared" ca="1" si="0"/>
        <v>69.893042465318231</v>
      </c>
      <c r="I11" s="36"/>
      <c r="K11" s="26" t="s">
        <v>110</v>
      </c>
      <c r="L11" s="27" t="s">
        <v>119</v>
      </c>
      <c r="M11" s="10">
        <v>55.114638447971785</v>
      </c>
    </row>
    <row r="12" spans="3:13" x14ac:dyDescent="0.25">
      <c r="C12" s="26" t="str">
        <f t="shared" ca="1" si="1"/>
        <v>North</v>
      </c>
      <c r="D12" s="27" t="str">
        <f t="shared" ca="1" si="0"/>
        <v>Car</v>
      </c>
      <c r="E12" s="10">
        <f t="shared" ca="1" si="0"/>
        <v>69.893042465318231</v>
      </c>
      <c r="I12" s="36"/>
      <c r="K12" s="26" t="s">
        <v>110</v>
      </c>
      <c r="L12" s="27" t="s">
        <v>115</v>
      </c>
      <c r="M12" s="10">
        <v>237.5</v>
      </c>
    </row>
    <row r="13" spans="3:13" x14ac:dyDescent="0.25">
      <c r="C13" s="26" t="str">
        <f t="shared" ca="1" si="1"/>
        <v>North</v>
      </c>
      <c r="D13" s="27" t="str">
        <f t="shared" ca="1" si="0"/>
        <v>Motor</v>
      </c>
      <c r="E13" s="10">
        <f t="shared" ca="1" si="0"/>
        <v>110.22927689594357</v>
      </c>
      <c r="I13" s="36"/>
      <c r="K13" s="26" t="s">
        <v>110</v>
      </c>
      <c r="L13" s="27" t="s">
        <v>116</v>
      </c>
      <c r="M13" s="10">
        <v>251.53730158730158</v>
      </c>
    </row>
    <row r="14" spans="3:13" x14ac:dyDescent="0.25">
      <c r="C14" s="26" t="str">
        <f t="shared" ca="1" si="1"/>
        <v>North</v>
      </c>
      <c r="D14" s="27" t="str">
        <f t="shared" ca="1" si="0"/>
        <v>Bus</v>
      </c>
      <c r="E14" s="10">
        <f t="shared" ca="1" si="0"/>
        <v>105.89854918987609</v>
      </c>
      <c r="I14" s="36"/>
      <c r="K14" s="26" t="s">
        <v>110</v>
      </c>
      <c r="L14" s="27" t="s">
        <v>117</v>
      </c>
      <c r="M14" s="10">
        <v>35.273368606701936</v>
      </c>
    </row>
    <row r="15" spans="3:13" x14ac:dyDescent="0.25">
      <c r="C15" s="26" t="str">
        <f t="shared" ca="1" si="1"/>
        <v>North Central</v>
      </c>
      <c r="D15" s="27" t="str">
        <f t="shared" ca="1" si="0"/>
        <v>Bike</v>
      </c>
      <c r="E15" s="10">
        <f t="shared" ca="1" si="0"/>
        <v>12.848020762401553</v>
      </c>
      <c r="I15" s="36"/>
      <c r="K15" s="26" t="s">
        <v>110</v>
      </c>
      <c r="L15" s="27" t="s">
        <v>118</v>
      </c>
      <c r="M15" s="10">
        <v>100</v>
      </c>
    </row>
    <row r="16" spans="3:13" x14ac:dyDescent="0.25">
      <c r="C16" s="26" t="str">
        <f t="shared" ca="1" si="1"/>
        <v>North Central</v>
      </c>
      <c r="D16" s="27" t="str">
        <f t="shared" ca="1" si="0"/>
        <v>Train</v>
      </c>
      <c r="E16" s="10">
        <f t="shared" ca="1" si="0"/>
        <v>55.114638447971785</v>
      </c>
      <c r="I16" s="36"/>
      <c r="K16" s="26" t="s">
        <v>110</v>
      </c>
      <c r="L16" s="27" t="s">
        <v>119</v>
      </c>
      <c r="M16" s="10">
        <v>96.5</v>
      </c>
    </row>
    <row r="17" spans="3:13" x14ac:dyDescent="0.25">
      <c r="C17" s="26" t="str">
        <f t="shared" ca="1" si="1"/>
        <v>North Central</v>
      </c>
      <c r="D17" s="27" t="str">
        <f t="shared" ca="1" si="0"/>
        <v>Car</v>
      </c>
      <c r="E17" s="10">
        <f t="shared" ca="1" si="0"/>
        <v>237.5</v>
      </c>
      <c r="I17" s="36"/>
      <c r="K17" s="26" t="s">
        <v>111</v>
      </c>
      <c r="L17" s="27" t="s">
        <v>115</v>
      </c>
      <c r="M17" s="10">
        <v>211.79709837975219</v>
      </c>
    </row>
    <row r="18" spans="3:13" x14ac:dyDescent="0.25">
      <c r="I18" s="36"/>
      <c r="K18" s="26" t="s">
        <v>111</v>
      </c>
      <c r="L18" s="27" t="s">
        <v>116</v>
      </c>
      <c r="M18" s="10">
        <v>2.8880070546737215</v>
      </c>
    </row>
    <row r="19" spans="3:13" x14ac:dyDescent="0.25">
      <c r="I19" s="36"/>
      <c r="K19" s="26" t="s">
        <v>111</v>
      </c>
      <c r="L19" s="27" t="s">
        <v>117</v>
      </c>
      <c r="M19" s="10">
        <v>110.22927689594357</v>
      </c>
    </row>
    <row r="20" spans="3:13" x14ac:dyDescent="0.25">
      <c r="I20" s="36"/>
      <c r="K20" s="26" t="s">
        <v>111</v>
      </c>
      <c r="L20" s="27" t="s">
        <v>118</v>
      </c>
      <c r="M20" s="10">
        <v>11.958289241622575</v>
      </c>
    </row>
    <row r="21" spans="3:13" x14ac:dyDescent="0.25">
      <c r="I21" s="36"/>
      <c r="K21" s="26" t="s">
        <v>111</v>
      </c>
      <c r="L21" s="27" t="s">
        <v>119</v>
      </c>
      <c r="M21" s="10">
        <v>396.82539682539681</v>
      </c>
    </row>
    <row r="22" spans="3:13" x14ac:dyDescent="0.25">
      <c r="I22" s="36"/>
      <c r="K22" s="26" t="s">
        <v>111</v>
      </c>
      <c r="L22" s="27" t="s">
        <v>115</v>
      </c>
      <c r="M22" s="10">
        <v>19.084243115528761</v>
      </c>
    </row>
    <row r="23" spans="3:13" x14ac:dyDescent="0.25">
      <c r="K23" s="26" t="s">
        <v>111</v>
      </c>
      <c r="L23" s="27" t="s">
        <v>116</v>
      </c>
      <c r="M23" s="10">
        <v>36.067019400352734</v>
      </c>
    </row>
    <row r="24" spans="3:13" x14ac:dyDescent="0.25">
      <c r="K24" s="26" t="s">
        <v>111</v>
      </c>
      <c r="L24" s="27" t="s">
        <v>117</v>
      </c>
      <c r="M24" s="10">
        <v>114</v>
      </c>
    </row>
    <row r="25" spans="3:13" x14ac:dyDescent="0.25">
      <c r="K25" s="26" t="s">
        <v>111</v>
      </c>
      <c r="L25" s="27" t="s">
        <v>118</v>
      </c>
      <c r="M25" s="10">
        <v>19.841269841269842</v>
      </c>
    </row>
    <row r="26" spans="3:13" x14ac:dyDescent="0.25">
      <c r="K26" s="26" t="s">
        <v>111</v>
      </c>
      <c r="L26" s="27" t="s">
        <v>119</v>
      </c>
      <c r="M26" s="10">
        <v>551.14638447971777</v>
      </c>
    </row>
    <row r="27" spans="3:13" x14ac:dyDescent="0.25">
      <c r="K27" s="26" t="s">
        <v>112</v>
      </c>
      <c r="L27" s="27" t="s">
        <v>115</v>
      </c>
      <c r="M27" s="10">
        <v>211.79709837975219</v>
      </c>
    </row>
    <row r="28" spans="3:13" x14ac:dyDescent="0.25">
      <c r="K28" s="26" t="s">
        <v>111</v>
      </c>
      <c r="L28" s="27" t="s">
        <v>116</v>
      </c>
      <c r="M28" s="10">
        <v>52.949274594938046</v>
      </c>
    </row>
    <row r="29" spans="3:13" x14ac:dyDescent="0.25">
      <c r="K29" s="26" t="s">
        <v>111</v>
      </c>
      <c r="L29" s="27" t="s">
        <v>117</v>
      </c>
      <c r="M29" s="10">
        <v>57.864031432313382</v>
      </c>
    </row>
    <row r="30" spans="3:13" x14ac:dyDescent="0.25">
      <c r="K30" s="26" t="s">
        <v>112</v>
      </c>
      <c r="L30" s="27" t="s">
        <v>118</v>
      </c>
      <c r="M30" s="10">
        <v>59.530896535301828</v>
      </c>
    </row>
    <row r="31" spans="3:13" x14ac:dyDescent="0.25">
      <c r="K31" s="26" t="s">
        <v>111</v>
      </c>
      <c r="L31" s="27" t="s">
        <v>119</v>
      </c>
      <c r="M31" s="10">
        <v>45.792997334847563</v>
      </c>
    </row>
    <row r="32" spans="3:13" x14ac:dyDescent="0.25">
      <c r="K32" s="26" t="s">
        <v>111</v>
      </c>
      <c r="L32" s="27" t="s">
        <v>115</v>
      </c>
      <c r="M32" s="10">
        <v>64.110196268786581</v>
      </c>
    </row>
    <row r="33" spans="11:13" x14ac:dyDescent="0.25">
      <c r="K33" s="26" t="s">
        <v>110</v>
      </c>
      <c r="L33" s="27" t="s">
        <v>116</v>
      </c>
      <c r="M33" s="10">
        <v>91.585994669695125</v>
      </c>
    </row>
    <row r="34" spans="11:13" x14ac:dyDescent="0.25">
      <c r="K34" s="26" t="s">
        <v>110</v>
      </c>
      <c r="L34" s="27" t="s">
        <v>117</v>
      </c>
      <c r="M34" s="10">
        <v>88.183421516754848</v>
      </c>
    </row>
    <row r="35" spans="11:13" x14ac:dyDescent="0.25">
      <c r="K35" s="26" t="s">
        <v>111</v>
      </c>
      <c r="L35" s="27" t="s">
        <v>118</v>
      </c>
      <c r="M35" s="10">
        <v>158.73015873015873</v>
      </c>
    </row>
    <row r="36" spans="11:13" x14ac:dyDescent="0.25">
      <c r="K36" s="26" t="s">
        <v>111</v>
      </c>
      <c r="L36" s="27" t="s">
        <v>119</v>
      </c>
      <c r="M36" s="10">
        <v>6.2115817521936876</v>
      </c>
    </row>
    <row r="37" spans="11:13" x14ac:dyDescent="0.25">
      <c r="K37" s="26" t="s">
        <v>111</v>
      </c>
      <c r="L37" s="27" t="s">
        <v>115</v>
      </c>
      <c r="M37" s="10">
        <v>19.841269841269842</v>
      </c>
    </row>
    <row r="38" spans="11:13" x14ac:dyDescent="0.25">
      <c r="K38" s="26" t="s">
        <v>111</v>
      </c>
      <c r="L38" s="27" t="s">
        <v>116</v>
      </c>
      <c r="M38" s="10">
        <v>50</v>
      </c>
    </row>
    <row r="39" spans="11:13" x14ac:dyDescent="0.25">
      <c r="K39" s="26" t="s">
        <v>110</v>
      </c>
      <c r="L39" s="27" t="s">
        <v>117</v>
      </c>
      <c r="M39" s="10">
        <v>50</v>
      </c>
    </row>
    <row r="40" spans="11:13" x14ac:dyDescent="0.25">
      <c r="K40" s="26" t="s">
        <v>110</v>
      </c>
      <c r="L40" s="27" t="s">
        <v>118</v>
      </c>
      <c r="M40" s="10">
        <v>66.137566137566139</v>
      </c>
    </row>
    <row r="41" spans="11:13" x14ac:dyDescent="0.25">
      <c r="K41" s="26" t="s">
        <v>110</v>
      </c>
      <c r="L41" s="27" t="s">
        <v>119</v>
      </c>
      <c r="M41" s="10">
        <v>12.322858903265558</v>
      </c>
    </row>
    <row r="42" spans="11:13" x14ac:dyDescent="0.25">
      <c r="K42" s="26" t="s">
        <v>110</v>
      </c>
      <c r="L42" s="27" t="s">
        <v>115</v>
      </c>
      <c r="M42" s="10">
        <v>19</v>
      </c>
    </row>
    <row r="43" spans="11:13" x14ac:dyDescent="0.25">
      <c r="K43" s="26" t="s">
        <v>112</v>
      </c>
      <c r="L43" s="27" t="s">
        <v>116</v>
      </c>
      <c r="M43" s="10">
        <v>661.37566137566137</v>
      </c>
    </row>
    <row r="44" spans="11:13" x14ac:dyDescent="0.25">
      <c r="K44" s="26" t="s">
        <v>112</v>
      </c>
      <c r="L44" s="27" t="s">
        <v>117</v>
      </c>
      <c r="M44" s="10">
        <v>196.95011904761904</v>
      </c>
    </row>
    <row r="45" spans="11:13" x14ac:dyDescent="0.25">
      <c r="K45" s="26" t="s">
        <v>113</v>
      </c>
      <c r="L45" s="27" t="s">
        <v>118</v>
      </c>
      <c r="M45" s="10">
        <v>617.28395061728395</v>
      </c>
    </row>
    <row r="46" spans="11:13" x14ac:dyDescent="0.25">
      <c r="K46" s="26" t="s">
        <v>113</v>
      </c>
      <c r="L46" s="27" t="s">
        <v>119</v>
      </c>
      <c r="M46" s="10">
        <v>200.0570987654321</v>
      </c>
    </row>
    <row r="47" spans="11:13" x14ac:dyDescent="0.25">
      <c r="K47" s="26" t="s">
        <v>111</v>
      </c>
      <c r="L47" s="27" t="s">
        <v>115</v>
      </c>
      <c r="M47" s="10">
        <v>165.34391534391534</v>
      </c>
    </row>
    <row r="48" spans="11:13" x14ac:dyDescent="0.25">
      <c r="K48" s="26" t="s">
        <v>110</v>
      </c>
      <c r="L48" s="27" t="s">
        <v>116</v>
      </c>
      <c r="M48" s="10">
        <v>165.34391534391534</v>
      </c>
    </row>
    <row r="49" spans="11:13" x14ac:dyDescent="0.25">
      <c r="K49" s="26" t="s">
        <v>110</v>
      </c>
      <c r="L49" s="27" t="s">
        <v>117</v>
      </c>
      <c r="M49" s="10">
        <v>10.822310405643739</v>
      </c>
    </row>
    <row r="50" spans="11:13" x14ac:dyDescent="0.25">
      <c r="K50" s="26" t="s">
        <v>110</v>
      </c>
      <c r="L50" s="27" t="s">
        <v>118</v>
      </c>
      <c r="M50" s="10">
        <v>70.546737213403873</v>
      </c>
    </row>
    <row r="51" spans="11:13" x14ac:dyDescent="0.25">
      <c r="K51" s="26" t="s">
        <v>110</v>
      </c>
      <c r="L51" s="27" t="s">
        <v>119</v>
      </c>
      <c r="M51" s="10">
        <v>66.137566137566139</v>
      </c>
    </row>
    <row r="52" spans="11:13" x14ac:dyDescent="0.25">
      <c r="K52" s="26" t="s">
        <v>109</v>
      </c>
      <c r="L52" s="27" t="s">
        <v>115</v>
      </c>
      <c r="M52" s="10">
        <v>72.162257495590836</v>
      </c>
    </row>
    <row r="53" spans="11:13" x14ac:dyDescent="0.25">
      <c r="K53" s="26" t="s">
        <v>109</v>
      </c>
      <c r="L53" s="27" t="s">
        <v>116</v>
      </c>
      <c r="M53" s="10">
        <v>275.76697690451562</v>
      </c>
    </row>
    <row r="54" spans="11:13" x14ac:dyDescent="0.25">
      <c r="K54" s="26" t="s">
        <v>109</v>
      </c>
      <c r="L54" s="27" t="s">
        <v>117</v>
      </c>
      <c r="M54" s="10">
        <v>172.35436056532231</v>
      </c>
    </row>
    <row r="55" spans="11:13" x14ac:dyDescent="0.25">
      <c r="K55" s="26" t="s">
        <v>109</v>
      </c>
      <c r="L55" s="27" t="s">
        <v>118</v>
      </c>
      <c r="M55" s="10">
        <v>41.365046535677351</v>
      </c>
    </row>
    <row r="56" spans="11:13" x14ac:dyDescent="0.25">
      <c r="K56" s="26" t="s">
        <v>113</v>
      </c>
      <c r="L56" s="27" t="s">
        <v>119</v>
      </c>
      <c r="M56" s="10">
        <v>91.585994669695125</v>
      </c>
    </row>
    <row r="57" spans="11:13" x14ac:dyDescent="0.25">
      <c r="K57" s="26" t="s">
        <v>110</v>
      </c>
      <c r="L57" s="27" t="s">
        <v>115</v>
      </c>
      <c r="M57" s="10">
        <v>31.139238187696343</v>
      </c>
    </row>
    <row r="58" spans="11:13" x14ac:dyDescent="0.25">
      <c r="K58" s="26" t="s">
        <v>110</v>
      </c>
      <c r="L58" s="27" t="s">
        <v>116</v>
      </c>
      <c r="M58" s="10">
        <v>36.63439786787805</v>
      </c>
    </row>
    <row r="59" spans="11:13" x14ac:dyDescent="0.25">
      <c r="K59" s="26" t="s">
        <v>110</v>
      </c>
      <c r="L59" s="27" t="s">
        <v>117</v>
      </c>
      <c r="M59" s="10">
        <v>13.737899200454269</v>
      </c>
    </row>
    <row r="60" spans="11:13" x14ac:dyDescent="0.25">
      <c r="K60" s="26" t="s">
        <v>110</v>
      </c>
      <c r="L60" s="27" t="s">
        <v>118</v>
      </c>
      <c r="M60" s="10">
        <v>64.110196268786581</v>
      </c>
    </row>
    <row r="61" spans="11:13" x14ac:dyDescent="0.25">
      <c r="K61" s="26" t="s">
        <v>111</v>
      </c>
      <c r="L61" s="27" t="s">
        <v>119</v>
      </c>
      <c r="M61" s="10">
        <v>3.8508934072704868</v>
      </c>
    </row>
    <row r="62" spans="11:13" x14ac:dyDescent="0.25">
      <c r="K62" s="26" t="s">
        <v>111</v>
      </c>
      <c r="L62" s="27" t="s">
        <v>115</v>
      </c>
      <c r="M62" s="10">
        <v>123.22858903265558</v>
      </c>
    </row>
    <row r="63" spans="11:13" x14ac:dyDescent="0.25">
      <c r="K63" s="26" t="s">
        <v>111</v>
      </c>
      <c r="L63" s="27" t="s">
        <v>116</v>
      </c>
      <c r="M63" s="10">
        <v>33.886818027787193</v>
      </c>
    </row>
    <row r="64" spans="11:13" x14ac:dyDescent="0.25">
      <c r="K64" s="26" t="s">
        <v>113</v>
      </c>
      <c r="L64" s="27" t="s">
        <v>117</v>
      </c>
      <c r="M64" s="10">
        <v>32.05509813439329</v>
      </c>
    </row>
    <row r="65" spans="11:13" x14ac:dyDescent="0.25">
      <c r="K65" s="26" t="s">
        <v>110</v>
      </c>
      <c r="L65" s="27" t="s">
        <v>118</v>
      </c>
      <c r="M65" s="10">
        <v>11.906179307060365</v>
      </c>
    </row>
    <row r="66" spans="11:13" x14ac:dyDescent="0.25">
      <c r="K66" s="26" t="s">
        <v>110</v>
      </c>
      <c r="L66" s="27" t="s">
        <v>119</v>
      </c>
      <c r="M66" s="10">
        <v>30.223378240999391</v>
      </c>
    </row>
    <row r="67" spans="11:13" x14ac:dyDescent="0.25">
      <c r="K67" s="26" t="s">
        <v>110</v>
      </c>
      <c r="L67" s="27" t="s">
        <v>115</v>
      </c>
      <c r="M67" s="10">
        <v>183.17198933939025</v>
      </c>
    </row>
    <row r="68" spans="11:13" x14ac:dyDescent="0.25">
      <c r="K68" s="26" t="s">
        <v>110</v>
      </c>
      <c r="L68" s="27" t="s">
        <v>116</v>
      </c>
      <c r="M68" s="10">
        <v>21.940340883072164</v>
      </c>
    </row>
    <row r="69" spans="11:13" x14ac:dyDescent="0.25">
      <c r="K69" s="26" t="s">
        <v>111</v>
      </c>
      <c r="L69" s="27" t="s">
        <v>117</v>
      </c>
      <c r="M69" s="10">
        <v>76.822332328940263</v>
      </c>
    </row>
    <row r="70" spans="11:13" x14ac:dyDescent="0.25">
      <c r="K70" s="26" t="s">
        <v>113</v>
      </c>
      <c r="L70" s="27" t="s">
        <v>118</v>
      </c>
      <c r="M70" s="10">
        <v>73.2687957357561</v>
      </c>
    </row>
    <row r="71" spans="11:13" x14ac:dyDescent="0.25">
      <c r="K71" s="26" t="s">
        <v>110</v>
      </c>
      <c r="L71" s="27" t="s">
        <v>119</v>
      </c>
      <c r="M71" s="10">
        <v>12.682324818888697</v>
      </c>
    </row>
    <row r="72" spans="11:13" x14ac:dyDescent="0.25">
      <c r="K72" s="26" t="s">
        <v>110</v>
      </c>
      <c r="L72" s="27" t="s">
        <v>115</v>
      </c>
      <c r="M72" s="10">
        <v>123.22858903265558</v>
      </c>
    </row>
    <row r="73" spans="11:13" x14ac:dyDescent="0.25">
      <c r="K73" s="26" t="s">
        <v>109</v>
      </c>
      <c r="L73" s="27" t="s">
        <v>116</v>
      </c>
      <c r="M73" s="10">
        <v>1.9077325939617993</v>
      </c>
    </row>
    <row r="74" spans="11:13" x14ac:dyDescent="0.25">
      <c r="K74" s="26" t="s">
        <v>109</v>
      </c>
      <c r="L74" s="27" t="s">
        <v>117</v>
      </c>
      <c r="M74" s="10">
        <v>24.598890942698706</v>
      </c>
    </row>
    <row r="75" spans="11:13" x14ac:dyDescent="0.25">
      <c r="K75" s="26" t="s">
        <v>111</v>
      </c>
      <c r="L75" s="27" t="s">
        <v>118</v>
      </c>
      <c r="M75" s="10">
        <v>1.8052988293284042</v>
      </c>
    </row>
    <row r="76" spans="11:13" x14ac:dyDescent="0.25">
      <c r="K76" s="26" t="s">
        <v>111</v>
      </c>
      <c r="L76" s="27" t="s">
        <v>119</v>
      </c>
      <c r="M76" s="10">
        <v>4.2</v>
      </c>
    </row>
    <row r="77" spans="11:13" x14ac:dyDescent="0.25">
      <c r="K77" s="26" t="s">
        <v>111</v>
      </c>
      <c r="L77" s="27" t="s">
        <v>115</v>
      </c>
      <c r="M77" s="10">
        <v>30</v>
      </c>
    </row>
    <row r="78" spans="11:13" x14ac:dyDescent="0.25">
      <c r="K78" s="26" t="s">
        <v>109</v>
      </c>
      <c r="L78" s="27" t="s">
        <v>116</v>
      </c>
      <c r="M78" s="10">
        <v>350</v>
      </c>
    </row>
    <row r="79" spans="11:13" x14ac:dyDescent="0.25">
      <c r="K79" s="26" t="s">
        <v>109</v>
      </c>
      <c r="L79" s="27" t="s">
        <v>117</v>
      </c>
      <c r="M79" s="10">
        <v>264.74637297469025</v>
      </c>
    </row>
    <row r="80" spans="11:13" x14ac:dyDescent="0.25">
      <c r="K80" s="26" t="s">
        <v>109</v>
      </c>
      <c r="L80" s="27" t="s">
        <v>118</v>
      </c>
      <c r="M80" s="10">
        <v>65.178425941013529</v>
      </c>
    </row>
    <row r="81" spans="11:13" x14ac:dyDescent="0.25">
      <c r="K81" s="26" t="s">
        <v>109</v>
      </c>
      <c r="L81" s="27" t="s">
        <v>119</v>
      </c>
      <c r="M81" s="10">
        <v>39.682539682539684</v>
      </c>
    </row>
    <row r="82" spans="11:13" x14ac:dyDescent="0.25">
      <c r="K82" s="26" t="s">
        <v>111</v>
      </c>
      <c r="L82" s="27" t="s">
        <v>115</v>
      </c>
      <c r="M82" s="10">
        <v>55.114638447971785</v>
      </c>
    </row>
    <row r="83" spans="11:13" x14ac:dyDescent="0.25">
      <c r="K83" s="26" t="s">
        <v>111</v>
      </c>
      <c r="L83" s="27" t="s">
        <v>116</v>
      </c>
      <c r="M83" s="10">
        <v>66.137566137566139</v>
      </c>
    </row>
    <row r="84" spans="11:13" x14ac:dyDescent="0.25">
      <c r="K84" s="26" t="s">
        <v>109</v>
      </c>
      <c r="L84" s="27" t="s">
        <v>117</v>
      </c>
      <c r="M84" s="10">
        <v>81.030710639332298</v>
      </c>
    </row>
    <row r="85" spans="11:13" x14ac:dyDescent="0.25">
      <c r="K85" s="26" t="s">
        <v>109</v>
      </c>
      <c r="L85" s="27" t="s">
        <v>118</v>
      </c>
      <c r="M85" s="10">
        <v>277.26432532347508</v>
      </c>
    </row>
    <row r="86" spans="11:13" x14ac:dyDescent="0.25">
      <c r="K86" s="26" t="s">
        <v>113</v>
      </c>
      <c r="L86" s="27" t="s">
        <v>119</v>
      </c>
      <c r="M86" s="10">
        <v>32.412284255732921</v>
      </c>
    </row>
    <row r="87" spans="11:13" x14ac:dyDescent="0.25">
      <c r="K87" s="26" t="s">
        <v>113</v>
      </c>
      <c r="L87" s="27" t="s">
        <v>115</v>
      </c>
      <c r="M87" s="10">
        <v>33.06878306878307</v>
      </c>
    </row>
    <row r="88" spans="11:13" x14ac:dyDescent="0.25">
      <c r="K88" s="26" t="s">
        <v>113</v>
      </c>
      <c r="L88" s="27" t="s">
        <v>116</v>
      </c>
      <c r="M88" s="10">
        <v>110.22927689594357</v>
      </c>
    </row>
    <row r="89" spans="11:13" x14ac:dyDescent="0.25">
      <c r="K89" s="26" t="s">
        <v>113</v>
      </c>
      <c r="L89" s="27" t="s">
        <v>117</v>
      </c>
      <c r="M89" s="10">
        <v>220.45855379188714</v>
      </c>
    </row>
    <row r="90" spans="11:13" x14ac:dyDescent="0.25">
      <c r="K90" s="26" t="s">
        <v>113</v>
      </c>
      <c r="L90" s="27" t="s">
        <v>118</v>
      </c>
      <c r="M90" s="10">
        <v>11.022927689594356</v>
      </c>
    </row>
    <row r="91" spans="11:13" x14ac:dyDescent="0.25">
      <c r="K91" s="26" t="s">
        <v>113</v>
      </c>
      <c r="L91" s="27" t="s">
        <v>119</v>
      </c>
      <c r="M91" s="10">
        <v>24.250440917107586</v>
      </c>
    </row>
    <row r="92" spans="11:13" x14ac:dyDescent="0.25">
      <c r="K92" s="26" t="s">
        <v>113</v>
      </c>
      <c r="L92" s="27" t="s">
        <v>115</v>
      </c>
      <c r="M92" s="10">
        <v>440.91710758377428</v>
      </c>
    </row>
    <row r="93" spans="11:13" x14ac:dyDescent="0.25">
      <c r="K93" s="26" t="s">
        <v>113</v>
      </c>
      <c r="L93" s="27" t="s">
        <v>116</v>
      </c>
      <c r="M93" s="10">
        <v>308.64197530864197</v>
      </c>
    </row>
    <row r="94" spans="11:13" x14ac:dyDescent="0.25">
      <c r="K94" s="26" t="s">
        <v>109</v>
      </c>
      <c r="L94" s="27" t="s">
        <v>117</v>
      </c>
      <c r="M94" s="10">
        <v>116.84303350970018</v>
      </c>
    </row>
    <row r="95" spans="11:13" x14ac:dyDescent="0.25">
      <c r="K95" s="26" t="s">
        <v>113</v>
      </c>
      <c r="L95" s="27" t="s">
        <v>118</v>
      </c>
      <c r="M95" s="10">
        <v>160.48788316482106</v>
      </c>
    </row>
    <row r="96" spans="11:13" x14ac:dyDescent="0.25">
      <c r="K96" s="26" t="s">
        <v>113</v>
      </c>
      <c r="L96" s="27" t="s">
        <v>119</v>
      </c>
      <c r="M96" s="10">
        <v>95.308694270888495</v>
      </c>
    </row>
    <row r="97" spans="11:13" x14ac:dyDescent="0.25">
      <c r="K97" s="26" t="s">
        <v>113</v>
      </c>
      <c r="L97" s="27" t="s">
        <v>115</v>
      </c>
      <c r="M97" s="10">
        <v>105.89854918987609</v>
      </c>
    </row>
    <row r="98" spans="11:13" x14ac:dyDescent="0.25">
      <c r="K98" s="26" t="s">
        <v>109</v>
      </c>
      <c r="L98" s="27" t="s">
        <v>116</v>
      </c>
      <c r="M98" s="10">
        <v>22.23869532987398</v>
      </c>
    </row>
    <row r="99" spans="11:13" x14ac:dyDescent="0.25">
      <c r="K99" s="26" t="s">
        <v>109</v>
      </c>
      <c r="L99" s="27" t="s">
        <v>117</v>
      </c>
      <c r="M99" s="10">
        <v>80.243941582410528</v>
      </c>
    </row>
    <row r="100" spans="11:13" x14ac:dyDescent="0.25">
      <c r="K100" s="26" t="s">
        <v>109</v>
      </c>
      <c r="L100" s="27" t="s">
        <v>118</v>
      </c>
      <c r="M100" s="10">
        <v>586.60583346912176</v>
      </c>
    </row>
    <row r="101" spans="11:13" x14ac:dyDescent="0.25">
      <c r="K101" s="26" t="s">
        <v>109</v>
      </c>
      <c r="L101" s="27" t="s">
        <v>119</v>
      </c>
      <c r="M101" s="10">
        <v>27</v>
      </c>
    </row>
    <row r="102" spans="11:13" x14ac:dyDescent="0.25">
      <c r="K102" s="26" t="s">
        <v>109</v>
      </c>
      <c r="L102" s="27" t="s">
        <v>115</v>
      </c>
      <c r="M102" s="10">
        <v>27</v>
      </c>
    </row>
    <row r="103" spans="11:13" x14ac:dyDescent="0.25">
      <c r="K103" s="26" t="s">
        <v>109</v>
      </c>
      <c r="L103" s="27" t="s">
        <v>116</v>
      </c>
      <c r="M103" s="10">
        <v>27</v>
      </c>
    </row>
    <row r="104" spans="11:13" x14ac:dyDescent="0.25">
      <c r="K104" s="26" t="s">
        <v>109</v>
      </c>
      <c r="L104" s="27" t="s">
        <v>117</v>
      </c>
      <c r="M104" s="10">
        <v>44.091710758377424</v>
      </c>
    </row>
    <row r="105" spans="11:13" x14ac:dyDescent="0.25">
      <c r="K105" s="26" t="s">
        <v>109</v>
      </c>
      <c r="L105" s="27" t="s">
        <v>118</v>
      </c>
      <c r="M105" s="10">
        <v>3.7477954144620811</v>
      </c>
    </row>
    <row r="106" spans="11:13" x14ac:dyDescent="0.25">
      <c r="K106" s="26" t="s">
        <v>109</v>
      </c>
      <c r="L106" s="27" t="s">
        <v>119</v>
      </c>
      <c r="M106" s="10">
        <v>88.183421516754848</v>
      </c>
    </row>
    <row r="107" spans="11:13" x14ac:dyDescent="0.25">
      <c r="K107" s="26" t="s">
        <v>113</v>
      </c>
      <c r="L107" s="27" t="s">
        <v>115</v>
      </c>
      <c r="M107" s="10">
        <v>88.183421516754848</v>
      </c>
    </row>
    <row r="108" spans="11:13" x14ac:dyDescent="0.25">
      <c r="K108" s="26" t="s">
        <v>113</v>
      </c>
      <c r="L108" s="27" t="s">
        <v>116</v>
      </c>
      <c r="M108" s="10">
        <v>88.183421516754848</v>
      </c>
    </row>
    <row r="109" spans="11:13" x14ac:dyDescent="0.25">
      <c r="K109" s="26" t="s">
        <v>113</v>
      </c>
      <c r="L109" s="27" t="s">
        <v>117</v>
      </c>
      <c r="M109" s="10">
        <v>77.017868145409736</v>
      </c>
    </row>
    <row r="110" spans="11:13" x14ac:dyDescent="0.25">
      <c r="K110" s="26" t="s">
        <v>113</v>
      </c>
      <c r="L110" s="27" t="s">
        <v>118</v>
      </c>
      <c r="M110" s="10">
        <v>44.091710758377424</v>
      </c>
    </row>
    <row r="111" spans="11:13" x14ac:dyDescent="0.25">
      <c r="K111" s="26" t="s">
        <v>113</v>
      </c>
      <c r="L111" s="27" t="s">
        <v>119</v>
      </c>
      <c r="M111" s="10">
        <v>350</v>
      </c>
    </row>
    <row r="112" spans="11:13" x14ac:dyDescent="0.25">
      <c r="K112" s="26" t="s">
        <v>109</v>
      </c>
      <c r="L112" s="27" t="s">
        <v>115</v>
      </c>
      <c r="M112" s="10">
        <v>154.32098765432099</v>
      </c>
    </row>
    <row r="113" spans="11:13" x14ac:dyDescent="0.25">
      <c r="K113" s="26" t="s">
        <v>109</v>
      </c>
      <c r="L113" s="27" t="s">
        <v>116</v>
      </c>
      <c r="M113" s="10">
        <v>91.585994669695125</v>
      </c>
    </row>
    <row r="114" spans="11:13" x14ac:dyDescent="0.25">
      <c r="K114" s="26" t="s">
        <v>109</v>
      </c>
      <c r="L114" s="27" t="s">
        <v>117</v>
      </c>
      <c r="M114" s="10">
        <v>40</v>
      </c>
    </row>
    <row r="115" spans="11:13" x14ac:dyDescent="0.25">
      <c r="K115" s="26" t="s">
        <v>109</v>
      </c>
      <c r="L115" s="27" t="s">
        <v>118</v>
      </c>
      <c r="M115" s="10">
        <v>110.22927689594357</v>
      </c>
    </row>
    <row r="116" spans="11:13" x14ac:dyDescent="0.25">
      <c r="K116" s="26" t="s">
        <v>109</v>
      </c>
      <c r="L116" s="27" t="s">
        <v>119</v>
      </c>
      <c r="M116" s="10">
        <v>33.06878306878307</v>
      </c>
    </row>
    <row r="117" spans="11:13" x14ac:dyDescent="0.25">
      <c r="K117" s="26" t="s">
        <v>113</v>
      </c>
      <c r="L117" s="27" t="s">
        <v>115</v>
      </c>
      <c r="M117" s="10">
        <v>391.73677248677251</v>
      </c>
    </row>
    <row r="118" spans="11:13" x14ac:dyDescent="0.25">
      <c r="K118" s="26" t="s">
        <v>109</v>
      </c>
      <c r="L118" s="27" t="s">
        <v>116</v>
      </c>
      <c r="M118" s="10">
        <v>330.68783068783068</v>
      </c>
    </row>
    <row r="119" spans="11:13" x14ac:dyDescent="0.25">
      <c r="K119" s="26" t="s">
        <v>113</v>
      </c>
      <c r="L119" s="27" t="s">
        <v>117</v>
      </c>
      <c r="M119" s="10">
        <v>55.153395380903135</v>
      </c>
    </row>
    <row r="120" spans="11:13" x14ac:dyDescent="0.25">
      <c r="K120" s="26" t="s">
        <v>109</v>
      </c>
      <c r="L120" s="27" t="s">
        <v>118</v>
      </c>
      <c r="M120" s="10">
        <v>59.871776752791234</v>
      </c>
    </row>
    <row r="121" spans="11:13" x14ac:dyDescent="0.25">
      <c r="K121" s="26" t="s">
        <v>109</v>
      </c>
      <c r="L121" s="27" t="s">
        <v>119</v>
      </c>
      <c r="M121" s="10">
        <v>68.941744226128904</v>
      </c>
    </row>
    <row r="122" spans="11:13" x14ac:dyDescent="0.25">
      <c r="K122" s="26" t="s">
        <v>109</v>
      </c>
      <c r="L122" s="27" t="s">
        <v>115</v>
      </c>
      <c r="M122" s="10">
        <v>165.34391534391534</v>
      </c>
    </row>
    <row r="123" spans="11:13" x14ac:dyDescent="0.25">
      <c r="K123" s="26" t="s">
        <v>109</v>
      </c>
      <c r="L123" s="27" t="s">
        <v>116</v>
      </c>
      <c r="M123" s="10">
        <v>22.045855379188712</v>
      </c>
    </row>
    <row r="124" spans="11:13" x14ac:dyDescent="0.25">
      <c r="K124" s="26" t="s">
        <v>109</v>
      </c>
      <c r="L124" s="27" t="s">
        <v>117</v>
      </c>
      <c r="M124" s="10">
        <v>132.27513227513228</v>
      </c>
    </row>
    <row r="125" spans="11:13" x14ac:dyDescent="0.25">
      <c r="K125" s="26" t="s">
        <v>109</v>
      </c>
      <c r="L125" s="27" t="s">
        <v>118</v>
      </c>
      <c r="M125" s="10">
        <v>220.45855379188714</v>
      </c>
    </row>
    <row r="126" spans="11:13" x14ac:dyDescent="0.25">
      <c r="K126" s="26" t="s">
        <v>112</v>
      </c>
      <c r="L126" s="27" t="s">
        <v>119</v>
      </c>
      <c r="M126" s="10">
        <v>34.463000000000001</v>
      </c>
    </row>
    <row r="127" spans="11:13" x14ac:dyDescent="0.25">
      <c r="K127" s="26" t="s">
        <v>112</v>
      </c>
      <c r="L127" s="27" t="s">
        <v>115</v>
      </c>
      <c r="M127" s="10">
        <v>5.511463844797178</v>
      </c>
    </row>
    <row r="128" spans="11:13" x14ac:dyDescent="0.25">
      <c r="K128" s="26" t="s">
        <v>113</v>
      </c>
      <c r="L128" s="27" t="s">
        <v>116</v>
      </c>
      <c r="M128" s="10">
        <v>1400</v>
      </c>
    </row>
    <row r="129" spans="11:13" x14ac:dyDescent="0.25">
      <c r="K129" s="26" t="s">
        <v>113</v>
      </c>
      <c r="L129" s="27" t="s">
        <v>117</v>
      </c>
      <c r="M129" s="10">
        <v>72.001763668430328</v>
      </c>
    </row>
    <row r="130" spans="11:13" x14ac:dyDescent="0.25">
      <c r="K130" s="26" t="s">
        <v>113</v>
      </c>
      <c r="L130" s="27" t="s">
        <v>118</v>
      </c>
      <c r="M130" s="10">
        <v>68.545902649414671</v>
      </c>
    </row>
    <row r="131" spans="11:13" x14ac:dyDescent="0.25">
      <c r="K131" s="26" t="s">
        <v>113</v>
      </c>
      <c r="L131" s="27" t="s">
        <v>119</v>
      </c>
      <c r="M131" s="10">
        <v>61.864507679485655</v>
      </c>
    </row>
    <row r="132" spans="11:13" x14ac:dyDescent="0.25">
      <c r="K132" s="26" t="s">
        <v>111</v>
      </c>
      <c r="L132" s="27" t="s">
        <v>115</v>
      </c>
      <c r="M132" s="10">
        <v>45.792997334847563</v>
      </c>
    </row>
    <row r="133" spans="11:13" x14ac:dyDescent="0.25">
      <c r="K133" s="26" t="s">
        <v>109</v>
      </c>
      <c r="L133" s="27" t="s">
        <v>116</v>
      </c>
      <c r="M133" s="10">
        <v>27.475798400908538</v>
      </c>
    </row>
    <row r="134" spans="11:13" x14ac:dyDescent="0.25">
      <c r="K134" s="26" t="s">
        <v>109</v>
      </c>
      <c r="L134" s="27" t="s">
        <v>117</v>
      </c>
      <c r="M134" s="10">
        <v>68.941744226128904</v>
      </c>
    </row>
    <row r="135" spans="11:13" x14ac:dyDescent="0.25">
      <c r="K135" s="26" t="s">
        <v>112</v>
      </c>
      <c r="L135" s="27" t="s">
        <v>118</v>
      </c>
      <c r="M135" s="10">
        <v>51.706308169596689</v>
      </c>
    </row>
    <row r="136" spans="11:13" x14ac:dyDescent="0.25">
      <c r="K136" s="26" t="s">
        <v>112</v>
      </c>
      <c r="L136" s="27" t="s">
        <v>119</v>
      </c>
      <c r="M136" s="10">
        <v>587.60515873015868</v>
      </c>
    </row>
    <row r="137" spans="11:13" x14ac:dyDescent="0.25">
      <c r="K137" s="26" t="s">
        <v>112</v>
      </c>
      <c r="L137" s="27" t="s">
        <v>115</v>
      </c>
      <c r="M137" s="10">
        <v>486.78</v>
      </c>
    </row>
    <row r="138" spans="11:13" x14ac:dyDescent="0.25">
      <c r="K138" s="26" t="s">
        <v>112</v>
      </c>
      <c r="L138" s="27" t="s">
        <v>116</v>
      </c>
      <c r="M138" s="10">
        <v>91.882207010612404</v>
      </c>
    </row>
    <row r="139" spans="11:13" x14ac:dyDescent="0.25">
      <c r="K139" s="26" t="s">
        <v>109</v>
      </c>
      <c r="L139" s="27" t="s">
        <v>117</v>
      </c>
      <c r="M139" s="10">
        <v>52.832269031102129</v>
      </c>
    </row>
    <row r="140" spans="11:13" x14ac:dyDescent="0.25">
      <c r="K140" s="26" t="s">
        <v>109</v>
      </c>
      <c r="L140" s="27" t="s">
        <v>118</v>
      </c>
      <c r="M140" s="10">
        <v>91.882207010612404</v>
      </c>
    </row>
    <row r="141" spans="11:13" x14ac:dyDescent="0.25">
      <c r="K141" s="26" t="s">
        <v>109</v>
      </c>
      <c r="L141" s="27" t="s">
        <v>119</v>
      </c>
      <c r="M141" s="10">
        <v>52.949274594938046</v>
      </c>
    </row>
    <row r="142" spans="11:13" x14ac:dyDescent="0.25">
      <c r="K142" s="26" t="s">
        <v>109</v>
      </c>
      <c r="L142" s="27" t="s">
        <v>115</v>
      </c>
      <c r="M142" s="10">
        <v>1.8</v>
      </c>
    </row>
    <row r="143" spans="11:13" x14ac:dyDescent="0.25">
      <c r="K143" s="26" t="s">
        <v>109</v>
      </c>
      <c r="L143" s="27" t="s">
        <v>116</v>
      </c>
      <c r="M143" s="10">
        <v>391.73677248677251</v>
      </c>
    </row>
    <row r="144" spans="11:13" x14ac:dyDescent="0.25">
      <c r="K144" s="26" t="s">
        <v>109</v>
      </c>
      <c r="L144" s="27" t="s">
        <v>117</v>
      </c>
      <c r="M144" s="10">
        <v>391.73721340388005</v>
      </c>
    </row>
    <row r="145" spans="11:13" x14ac:dyDescent="0.25">
      <c r="K145" s="26" t="s">
        <v>109</v>
      </c>
      <c r="L145" s="27" t="s">
        <v>118</v>
      </c>
      <c r="M145" s="10">
        <v>60</v>
      </c>
    </row>
    <row r="146" spans="11:13" x14ac:dyDescent="0.25">
      <c r="K146" s="26" t="s">
        <v>109</v>
      </c>
      <c r="L146" s="27" t="s">
        <v>119</v>
      </c>
      <c r="M146" s="10">
        <v>52.949274594938046</v>
      </c>
    </row>
    <row r="147" spans="11:13" x14ac:dyDescent="0.25">
      <c r="K147" s="26" t="s">
        <v>109</v>
      </c>
      <c r="L147" s="27" t="s">
        <v>115</v>
      </c>
      <c r="M147" s="10">
        <v>68.911655257959296</v>
      </c>
    </row>
    <row r="148" spans="11:13" x14ac:dyDescent="0.25">
      <c r="K148" s="26" t="s">
        <v>109</v>
      </c>
      <c r="L148" s="27" t="s">
        <v>116</v>
      </c>
      <c r="M148" s="10">
        <v>68.911655257959296</v>
      </c>
    </row>
    <row r="149" spans="11:13" x14ac:dyDescent="0.25">
      <c r="K149" s="26" t="s">
        <v>109</v>
      </c>
      <c r="L149" s="27" t="s">
        <v>117</v>
      </c>
      <c r="M149" s="10">
        <v>66.137566137566139</v>
      </c>
    </row>
    <row r="150" spans="11:13" x14ac:dyDescent="0.25">
      <c r="K150" s="26" t="s">
        <v>109</v>
      </c>
      <c r="L150" s="27" t="s">
        <v>118</v>
      </c>
      <c r="M150" s="10">
        <v>200</v>
      </c>
    </row>
    <row r="151" spans="11:13" x14ac:dyDescent="0.25">
      <c r="K151" s="26" t="s">
        <v>109</v>
      </c>
      <c r="L151" s="27" t="s">
        <v>119</v>
      </c>
      <c r="M151" s="10">
        <v>50</v>
      </c>
    </row>
    <row r="152" spans="11:13" x14ac:dyDescent="0.25">
      <c r="K152" s="26" t="s">
        <v>111</v>
      </c>
      <c r="L152" s="27" t="s">
        <v>115</v>
      </c>
      <c r="M152" s="10">
        <v>6.6137566137566139</v>
      </c>
    </row>
    <row r="153" spans="11:13" x14ac:dyDescent="0.25">
      <c r="K153" s="26" t="s">
        <v>111</v>
      </c>
      <c r="L153" s="27" t="s">
        <v>116</v>
      </c>
      <c r="M153" s="10">
        <v>165.34391534391534</v>
      </c>
    </row>
    <row r="154" spans="11:13" x14ac:dyDescent="0.25">
      <c r="K154" s="26" t="s">
        <v>109</v>
      </c>
      <c r="L154" s="27" t="s">
        <v>117</v>
      </c>
      <c r="M154" s="10">
        <v>7.6649828906631914</v>
      </c>
    </row>
    <row r="155" spans="11:13" x14ac:dyDescent="0.25">
      <c r="K155" s="26" t="s">
        <v>111</v>
      </c>
      <c r="L155" s="27" t="s">
        <v>118</v>
      </c>
      <c r="M155" s="10">
        <v>132.27513227513228</v>
      </c>
    </row>
    <row r="156" spans="11:13" x14ac:dyDescent="0.25">
      <c r="K156" s="26" t="s">
        <v>111</v>
      </c>
      <c r="L156" s="27" t="s">
        <v>119</v>
      </c>
      <c r="M156" s="10">
        <v>110.22927689594357</v>
      </c>
    </row>
    <row r="157" spans="11:13" x14ac:dyDescent="0.25">
      <c r="K157" s="26" t="s">
        <v>109</v>
      </c>
      <c r="L157" s="27" t="s">
        <v>115</v>
      </c>
      <c r="M157" s="10">
        <v>132.27513227513228</v>
      </c>
    </row>
    <row r="158" spans="11:13" x14ac:dyDescent="0.25">
      <c r="K158" s="26" t="s">
        <v>109</v>
      </c>
      <c r="L158" s="27" t="s">
        <v>116</v>
      </c>
      <c r="M158" s="10">
        <v>44.091710758377424</v>
      </c>
    </row>
    <row r="159" spans="11:13" x14ac:dyDescent="0.25">
      <c r="K159" s="26" t="s">
        <v>109</v>
      </c>
      <c r="L159" s="27" t="s">
        <v>117</v>
      </c>
      <c r="M159" s="10">
        <v>105.89854918987609</v>
      </c>
    </row>
    <row r="160" spans="11:13" x14ac:dyDescent="0.25">
      <c r="K160" s="26" t="s">
        <v>109</v>
      </c>
      <c r="L160" s="27" t="s">
        <v>118</v>
      </c>
      <c r="M160" s="10">
        <v>50</v>
      </c>
    </row>
    <row r="161" spans="11:13" x14ac:dyDescent="0.25">
      <c r="K161" s="26" t="s">
        <v>109</v>
      </c>
      <c r="L161" s="27" t="s">
        <v>119</v>
      </c>
      <c r="M161" s="10">
        <v>66.137566137566139</v>
      </c>
    </row>
    <row r="162" spans="11:13" x14ac:dyDescent="0.25">
      <c r="K162" s="26" t="s">
        <v>109</v>
      </c>
      <c r="L162" s="27" t="s">
        <v>115</v>
      </c>
      <c r="M162" s="10">
        <v>108.41089279558773</v>
      </c>
    </row>
    <row r="163" spans="11:13" x14ac:dyDescent="0.25">
      <c r="K163" s="26" t="s">
        <v>109</v>
      </c>
      <c r="L163" s="27" t="s">
        <v>116</v>
      </c>
      <c r="M163" s="10">
        <v>158.73015873015873</v>
      </c>
    </row>
    <row r="164" spans="11:13" x14ac:dyDescent="0.25">
      <c r="K164" s="26" t="s">
        <v>111</v>
      </c>
      <c r="L164" s="27" t="s">
        <v>117</v>
      </c>
      <c r="M164" s="10">
        <v>44.091710758377424</v>
      </c>
    </row>
    <row r="165" spans="11:13" x14ac:dyDescent="0.25">
      <c r="K165" s="26" t="s">
        <v>111</v>
      </c>
      <c r="L165" s="27" t="s">
        <v>118</v>
      </c>
      <c r="M165" s="10">
        <v>132.27513227513228</v>
      </c>
    </row>
    <row r="166" spans="11:13" x14ac:dyDescent="0.25">
      <c r="K166" s="26" t="s">
        <v>111</v>
      </c>
      <c r="L166" s="27" t="s">
        <v>119</v>
      </c>
      <c r="M166" s="10">
        <v>104.06896817545258</v>
      </c>
    </row>
    <row r="167" spans="11:13" x14ac:dyDescent="0.25">
      <c r="K167" s="26" t="s">
        <v>111</v>
      </c>
      <c r="L167" s="27" t="s">
        <v>115</v>
      </c>
      <c r="M167" s="10">
        <v>60</v>
      </c>
    </row>
    <row r="168" spans="11:13" x14ac:dyDescent="0.25">
      <c r="K168" s="26" t="s">
        <v>111</v>
      </c>
      <c r="L168" s="27" t="s">
        <v>116</v>
      </c>
      <c r="M168" s="10">
        <v>70</v>
      </c>
    </row>
    <row r="169" spans="11:13" x14ac:dyDescent="0.25">
      <c r="K169" s="26" t="s">
        <v>111</v>
      </c>
      <c r="L169" s="27" t="s">
        <v>117</v>
      </c>
      <c r="M169" s="10">
        <v>14.589109347442681</v>
      </c>
    </row>
    <row r="170" spans="11:13" x14ac:dyDescent="0.25">
      <c r="K170" s="26" t="s">
        <v>111</v>
      </c>
      <c r="L170" s="27" t="s">
        <v>118</v>
      </c>
      <c r="M170" s="10">
        <v>130</v>
      </c>
    </row>
    <row r="171" spans="11:13" x14ac:dyDescent="0.25">
      <c r="K171" s="26" t="s">
        <v>109</v>
      </c>
      <c r="L171" s="27" t="s">
        <v>119</v>
      </c>
      <c r="M171" s="10">
        <v>110.22927689594357</v>
      </c>
    </row>
    <row r="172" spans="11:13" x14ac:dyDescent="0.25">
      <c r="K172" s="26" t="s">
        <v>109</v>
      </c>
      <c r="L172" s="27" t="s">
        <v>115</v>
      </c>
      <c r="M172" s="10">
        <v>17.636684303350968</v>
      </c>
    </row>
    <row r="173" spans="11:13" x14ac:dyDescent="0.25">
      <c r="K173" s="26" t="s">
        <v>109</v>
      </c>
      <c r="L173" s="27" t="s">
        <v>116</v>
      </c>
      <c r="M173" s="10">
        <v>27.726432532347506</v>
      </c>
    </row>
    <row r="174" spans="11:13" x14ac:dyDescent="0.25">
      <c r="K174" s="26" t="s">
        <v>109</v>
      </c>
      <c r="L174" s="27" t="s">
        <v>117</v>
      </c>
      <c r="M174" s="10">
        <v>55.114638447971785</v>
      </c>
    </row>
    <row r="175" spans="11:13" x14ac:dyDescent="0.25">
      <c r="K175" s="26" t="s">
        <v>111</v>
      </c>
      <c r="L175" s="27" t="s">
        <v>118</v>
      </c>
      <c r="M175" s="10">
        <v>11.022927689594356</v>
      </c>
    </row>
    <row r="176" spans="11:13" x14ac:dyDescent="0.25">
      <c r="K176" s="26" t="s">
        <v>111</v>
      </c>
      <c r="L176" s="27" t="s">
        <v>119</v>
      </c>
      <c r="M176" s="10">
        <v>47.5</v>
      </c>
    </row>
    <row r="177" spans="11:13" x14ac:dyDescent="0.25">
      <c r="K177" s="26" t="s">
        <v>111</v>
      </c>
      <c r="L177" s="27" t="s">
        <v>115</v>
      </c>
      <c r="M177" s="10">
        <v>105.89854918987609</v>
      </c>
    </row>
    <row r="178" spans="11:13" x14ac:dyDescent="0.25">
      <c r="K178" s="26" t="s">
        <v>109</v>
      </c>
      <c r="L178" s="27" t="s">
        <v>116</v>
      </c>
      <c r="M178" s="10">
        <v>15</v>
      </c>
    </row>
    <row r="179" spans="11:13" x14ac:dyDescent="0.25">
      <c r="K179" s="26" t="s">
        <v>109</v>
      </c>
      <c r="L179" s="27" t="s">
        <v>117</v>
      </c>
      <c r="M179" s="10">
        <v>110.22927689594357</v>
      </c>
    </row>
    <row r="180" spans="11:13" x14ac:dyDescent="0.25">
      <c r="K180" s="26" t="s">
        <v>109</v>
      </c>
      <c r="L180" s="27" t="s">
        <v>118</v>
      </c>
      <c r="M180" s="10">
        <v>27.557319223985893</v>
      </c>
    </row>
    <row r="181" spans="11:13" x14ac:dyDescent="0.25">
      <c r="K181" s="26" t="s">
        <v>111</v>
      </c>
      <c r="L181" s="27" t="s">
        <v>119</v>
      </c>
      <c r="M181" s="10">
        <v>138.63216266173754</v>
      </c>
    </row>
    <row r="182" spans="11:13" x14ac:dyDescent="0.25">
      <c r="K182" s="26" t="s">
        <v>109</v>
      </c>
      <c r="L182" s="27" t="s">
        <v>115</v>
      </c>
      <c r="M182" s="10">
        <v>15.403573629081947</v>
      </c>
    </row>
    <row r="183" spans="11:13" x14ac:dyDescent="0.25">
      <c r="K183" s="26" t="s">
        <v>109</v>
      </c>
      <c r="L183" s="27" t="s">
        <v>116</v>
      </c>
      <c r="M183" s="10">
        <v>64.110196268786581</v>
      </c>
    </row>
    <row r="184" spans="11:13" x14ac:dyDescent="0.25">
      <c r="K184" s="26" t="s">
        <v>109</v>
      </c>
      <c r="L184" s="27" t="s">
        <v>117</v>
      </c>
      <c r="M184" s="10">
        <v>36.63439786787805</v>
      </c>
    </row>
    <row r="185" spans="11:13" x14ac:dyDescent="0.25">
      <c r="K185" s="26" t="s">
        <v>111</v>
      </c>
      <c r="L185" s="27" t="s">
        <v>118</v>
      </c>
      <c r="M185" s="10">
        <v>123.64109280408842</v>
      </c>
    </row>
    <row r="186" spans="11:13" x14ac:dyDescent="0.25">
      <c r="K186" s="26" t="s">
        <v>109</v>
      </c>
      <c r="L186" s="27" t="s">
        <v>119</v>
      </c>
      <c r="M186" s="10">
        <v>195.07816864645059</v>
      </c>
    </row>
    <row r="187" spans="11:13" x14ac:dyDescent="0.25">
      <c r="K187" s="26" t="s">
        <v>109</v>
      </c>
      <c r="L187" s="27" t="s">
        <v>115</v>
      </c>
      <c r="M187" s="10">
        <v>6.3539129513925658</v>
      </c>
    </row>
    <row r="188" spans="11:13" x14ac:dyDescent="0.25">
      <c r="K188" s="26" t="s">
        <v>109</v>
      </c>
      <c r="L188" s="27" t="s">
        <v>116</v>
      </c>
      <c r="M188" s="10">
        <v>79.423911892407062</v>
      </c>
    </row>
    <row r="189" spans="11:13" x14ac:dyDescent="0.25">
      <c r="K189" s="26" t="s">
        <v>111</v>
      </c>
      <c r="L189" s="27" t="s">
        <v>117</v>
      </c>
      <c r="M189" s="10">
        <v>54.951596801817075</v>
      </c>
    </row>
    <row r="190" spans="11:13" x14ac:dyDescent="0.25">
      <c r="K190" s="26" t="s">
        <v>110</v>
      </c>
      <c r="L190" s="27" t="s">
        <v>118</v>
      </c>
      <c r="M190" s="10">
        <v>73.2687957357561</v>
      </c>
    </row>
    <row r="191" spans="11:13" x14ac:dyDescent="0.25">
      <c r="K191" s="26" t="s">
        <v>110</v>
      </c>
      <c r="L191" s="27" t="s">
        <v>119</v>
      </c>
      <c r="M191" s="10">
        <v>109.90319360363415</v>
      </c>
    </row>
    <row r="192" spans="11:13" x14ac:dyDescent="0.25">
      <c r="K192" s="26" t="s">
        <v>111</v>
      </c>
      <c r="L192" s="27" t="s">
        <v>115</v>
      </c>
      <c r="M192" s="10">
        <v>457.92997334847558</v>
      </c>
    </row>
    <row r="193" spans="11:13" x14ac:dyDescent="0.25">
      <c r="K193" s="26" t="s">
        <v>111</v>
      </c>
      <c r="L193" s="27" t="s">
        <v>116</v>
      </c>
      <c r="M193" s="10">
        <v>54.951596801817075</v>
      </c>
    </row>
    <row r="194" spans="11:13" x14ac:dyDescent="0.25">
      <c r="K194" s="26" t="s">
        <v>109</v>
      </c>
      <c r="L194" s="27" t="s">
        <v>117</v>
      </c>
      <c r="M194" s="10">
        <v>54.951596801817075</v>
      </c>
    </row>
    <row r="195" spans="11:13" x14ac:dyDescent="0.25">
      <c r="K195" s="26" t="s">
        <v>109</v>
      </c>
      <c r="L195" s="27" t="s">
        <v>118</v>
      </c>
      <c r="M195" s="10">
        <v>54.951596801817075</v>
      </c>
    </row>
    <row r="196" spans="11:13" x14ac:dyDescent="0.25">
      <c r="K196" s="26" t="s">
        <v>109</v>
      </c>
      <c r="L196" s="27" t="s">
        <v>119</v>
      </c>
      <c r="M196" s="10">
        <v>30.875</v>
      </c>
    </row>
    <row r="197" spans="11:13" x14ac:dyDescent="0.25">
      <c r="K197" s="26" t="s">
        <v>110</v>
      </c>
      <c r="L197" s="27" t="s">
        <v>115</v>
      </c>
      <c r="M197" s="10">
        <v>154.03573629081947</v>
      </c>
    </row>
    <row r="198" spans="11:13" x14ac:dyDescent="0.25">
      <c r="K198" s="26" t="s">
        <v>110</v>
      </c>
      <c r="L198" s="27" t="s">
        <v>116</v>
      </c>
      <c r="M198" s="10">
        <v>63.154651879235985</v>
      </c>
    </row>
    <row r="199" spans="11:13" x14ac:dyDescent="0.25">
      <c r="K199" s="26" t="s">
        <v>109</v>
      </c>
      <c r="L199" s="27" t="s">
        <v>117</v>
      </c>
      <c r="M199" s="10">
        <v>34.470872113064452</v>
      </c>
    </row>
    <row r="200" spans="11:13" x14ac:dyDescent="0.25">
      <c r="K200" s="26" t="s">
        <v>109</v>
      </c>
      <c r="L200" s="27" t="s">
        <v>118</v>
      </c>
      <c r="M200" s="10">
        <v>4.8146364949446312</v>
      </c>
    </row>
    <row r="201" spans="11:13" x14ac:dyDescent="0.25">
      <c r="K201" s="26" t="s">
        <v>110</v>
      </c>
      <c r="L201" s="27" t="s">
        <v>119</v>
      </c>
      <c r="M201" s="10">
        <v>51.688000000000002</v>
      </c>
    </row>
    <row r="202" spans="11:13" x14ac:dyDescent="0.25">
      <c r="K202" s="26" t="s">
        <v>109</v>
      </c>
      <c r="L202" s="27" t="s">
        <v>115</v>
      </c>
      <c r="M202" s="10">
        <v>22.045855379188712</v>
      </c>
    </row>
    <row r="203" spans="11:13" x14ac:dyDescent="0.25">
      <c r="K203" s="26" t="s">
        <v>109</v>
      </c>
      <c r="L203" s="27" t="s">
        <v>116</v>
      </c>
      <c r="M203" s="10">
        <v>360.271164021164</v>
      </c>
    </row>
    <row r="204" spans="11:13" x14ac:dyDescent="0.25">
      <c r="K204" s="26" t="s">
        <v>110</v>
      </c>
      <c r="L204" s="27" t="s">
        <v>117</v>
      </c>
      <c r="M204" s="10">
        <v>40</v>
      </c>
    </row>
    <row r="205" spans="11:13" x14ac:dyDescent="0.25">
      <c r="K205" s="26" t="s">
        <v>113</v>
      </c>
      <c r="L205" s="27" t="s">
        <v>118</v>
      </c>
      <c r="M205" s="10">
        <v>22.045855379188712</v>
      </c>
    </row>
    <row r="206" spans="11:13" x14ac:dyDescent="0.25">
      <c r="K206" s="26" t="s">
        <v>113</v>
      </c>
      <c r="L206" s="27" t="s">
        <v>119</v>
      </c>
      <c r="M206" s="10">
        <v>165.34391534391534</v>
      </c>
    </row>
    <row r="207" spans="11:13" x14ac:dyDescent="0.25">
      <c r="K207" s="26" t="s">
        <v>111</v>
      </c>
      <c r="L207" s="27" t="s">
        <v>115</v>
      </c>
      <c r="M207" s="10">
        <v>110.22927689594357</v>
      </c>
    </row>
    <row r="208" spans="11:13" x14ac:dyDescent="0.25">
      <c r="K208" s="26" t="s">
        <v>111</v>
      </c>
      <c r="L208" s="27" t="s">
        <v>116</v>
      </c>
      <c r="M208" s="10">
        <v>105.89854918987609</v>
      </c>
    </row>
    <row r="209" spans="11:13" x14ac:dyDescent="0.25">
      <c r="K209" s="26" t="s">
        <v>111</v>
      </c>
      <c r="L209" s="27" t="s">
        <v>117</v>
      </c>
      <c r="M209" s="10">
        <v>211.79709837975219</v>
      </c>
    </row>
    <row r="210" spans="11:13" x14ac:dyDescent="0.25">
      <c r="K210" s="26" t="s">
        <v>112</v>
      </c>
      <c r="L210" s="27" t="s">
        <v>118</v>
      </c>
      <c r="M210" s="10">
        <v>105.89854918987609</v>
      </c>
    </row>
    <row r="211" spans="11:13" x14ac:dyDescent="0.25">
      <c r="K211" s="26" t="s">
        <v>109</v>
      </c>
      <c r="L211" s="27" t="s">
        <v>119</v>
      </c>
      <c r="M211" s="10">
        <v>293.80257936507934</v>
      </c>
    </row>
    <row r="212" spans="11:13" x14ac:dyDescent="0.25">
      <c r="K212" s="26" t="s">
        <v>109</v>
      </c>
      <c r="L212" s="27" t="s">
        <v>115</v>
      </c>
      <c r="M212" s="10">
        <v>68.911655257959296</v>
      </c>
    </row>
    <row r="213" spans="11:13" x14ac:dyDescent="0.25">
      <c r="K213" s="26" t="s">
        <v>109</v>
      </c>
      <c r="L213" s="27" t="s">
        <v>116</v>
      </c>
      <c r="M213" s="10">
        <v>1410.9347442680776</v>
      </c>
    </row>
    <row r="214" spans="11:13" x14ac:dyDescent="0.25">
      <c r="K214" s="26" t="s">
        <v>109</v>
      </c>
      <c r="L214" s="27" t="s">
        <v>117</v>
      </c>
      <c r="M214" s="10">
        <v>77.160493827160494</v>
      </c>
    </row>
    <row r="215" spans="11:13" x14ac:dyDescent="0.25">
      <c r="K215" s="26" t="s">
        <v>109</v>
      </c>
      <c r="L215" s="27" t="s">
        <v>118</v>
      </c>
      <c r="M215" s="10">
        <v>308.07147258163894</v>
      </c>
    </row>
    <row r="216" spans="11:13" x14ac:dyDescent="0.25">
      <c r="K216" s="26" t="s">
        <v>110</v>
      </c>
      <c r="L216" s="27" t="s">
        <v>119</v>
      </c>
      <c r="M216" s="10">
        <v>110.22927689594357</v>
      </c>
    </row>
    <row r="217" spans="11:13" x14ac:dyDescent="0.25">
      <c r="K217" s="26" t="s">
        <v>110</v>
      </c>
      <c r="L217" s="27" t="s">
        <v>115</v>
      </c>
      <c r="M217" s="10">
        <v>77.160493827160494</v>
      </c>
    </row>
    <row r="218" spans="11:13" x14ac:dyDescent="0.25">
      <c r="K218" s="26" t="s">
        <v>110</v>
      </c>
      <c r="L218" s="27" t="s">
        <v>116</v>
      </c>
      <c r="M218" s="10">
        <v>77.160493827160494</v>
      </c>
    </row>
    <row r="219" spans="11:13" x14ac:dyDescent="0.25">
      <c r="K219" s="26" t="s">
        <v>110</v>
      </c>
      <c r="L219" s="27" t="s">
        <v>117</v>
      </c>
      <c r="M219" s="10">
        <v>195.86838624338625</v>
      </c>
    </row>
    <row r="220" spans="11:13" x14ac:dyDescent="0.25">
      <c r="K220" s="26" t="s">
        <v>110</v>
      </c>
      <c r="L220" s="27" t="s">
        <v>118</v>
      </c>
      <c r="M220" s="10">
        <v>6.6137566137566139</v>
      </c>
    </row>
    <row r="221" spans="11:13" x14ac:dyDescent="0.25">
      <c r="K221" s="26" t="s">
        <v>111</v>
      </c>
      <c r="L221" s="27" t="s">
        <v>119</v>
      </c>
      <c r="M221" s="10">
        <v>127.0782590278513</v>
      </c>
    </row>
    <row r="222" spans="11:13" x14ac:dyDescent="0.25">
      <c r="K222" s="26" t="s">
        <v>113</v>
      </c>
      <c r="L222" s="27" t="s">
        <v>115</v>
      </c>
      <c r="M222" s="10">
        <v>30</v>
      </c>
    </row>
    <row r="223" spans="11:13" x14ac:dyDescent="0.25">
      <c r="K223" s="26" t="s">
        <v>113</v>
      </c>
      <c r="L223" s="27" t="s">
        <v>116</v>
      </c>
      <c r="M223" s="10">
        <v>220.45855379188714</v>
      </c>
    </row>
    <row r="224" spans="11:13" x14ac:dyDescent="0.25">
      <c r="K224" s="26" t="s">
        <v>113</v>
      </c>
      <c r="L224" s="27" t="s">
        <v>117</v>
      </c>
      <c r="M224" s="10">
        <v>330.68783068783068</v>
      </c>
    </row>
    <row r="225" spans="11:13" x14ac:dyDescent="0.25">
      <c r="K225" s="26" t="s">
        <v>111</v>
      </c>
      <c r="L225" s="27" t="s">
        <v>118</v>
      </c>
      <c r="M225" s="10">
        <v>220.45855379188714</v>
      </c>
    </row>
    <row r="226" spans="11:13" x14ac:dyDescent="0.25">
      <c r="K226" s="26" t="s">
        <v>111</v>
      </c>
      <c r="L226" s="27" t="s">
        <v>119</v>
      </c>
      <c r="M226" s="10">
        <v>11.022927689594356</v>
      </c>
    </row>
    <row r="227" spans="11:13" x14ac:dyDescent="0.25">
      <c r="K227" s="26" t="s">
        <v>114</v>
      </c>
      <c r="L227" s="27" t="s">
        <v>115</v>
      </c>
      <c r="M227" s="10">
        <v>26.071370376405412</v>
      </c>
    </row>
    <row r="228" spans="11:13" x14ac:dyDescent="0.25">
      <c r="K228" s="26" t="s">
        <v>114</v>
      </c>
      <c r="L228" s="27" t="s">
        <v>116</v>
      </c>
      <c r="M228" s="10">
        <v>195.86838624338625</v>
      </c>
    </row>
    <row r="229" spans="11:13" x14ac:dyDescent="0.25">
      <c r="K229" s="26" t="s">
        <v>109</v>
      </c>
      <c r="L229" s="27" t="s">
        <v>117</v>
      </c>
      <c r="M229" s="10">
        <v>92.592592592592595</v>
      </c>
    </row>
    <row r="230" spans="11:13" x14ac:dyDescent="0.25">
      <c r="K230" s="26" t="s">
        <v>110</v>
      </c>
      <c r="L230" s="27" t="s">
        <v>118</v>
      </c>
      <c r="M230" s="10">
        <v>22.045855379188712</v>
      </c>
    </row>
    <row r="231" spans="11:13" x14ac:dyDescent="0.25">
      <c r="K231" s="26" t="s">
        <v>109</v>
      </c>
      <c r="L231" s="27" t="s">
        <v>119</v>
      </c>
      <c r="M231" s="10">
        <v>192.72031143602331</v>
      </c>
    </row>
    <row r="232" spans="11:13" x14ac:dyDescent="0.25">
      <c r="K232" s="26" t="s">
        <v>109</v>
      </c>
      <c r="L232" s="27" t="s">
        <v>115</v>
      </c>
      <c r="M232" s="10">
        <v>64.24010381200776</v>
      </c>
    </row>
    <row r="233" spans="11:13" x14ac:dyDescent="0.25">
      <c r="K233" s="26" t="s">
        <v>111</v>
      </c>
      <c r="L233" s="27" t="s">
        <v>116</v>
      </c>
      <c r="M233" s="10">
        <v>3.8544062287204657</v>
      </c>
    </row>
    <row r="234" spans="11:13" x14ac:dyDescent="0.25">
      <c r="K234" s="26" t="s">
        <v>110</v>
      </c>
      <c r="L234" s="27" t="s">
        <v>117</v>
      </c>
      <c r="M234" s="10">
        <v>176.3668430335097</v>
      </c>
    </row>
    <row r="235" spans="11:13" x14ac:dyDescent="0.25">
      <c r="K235" s="26" t="s">
        <v>110</v>
      </c>
      <c r="L235" s="27" t="s">
        <v>118</v>
      </c>
      <c r="M235" s="10">
        <v>66.137566137566139</v>
      </c>
    </row>
    <row r="236" spans="11:13" x14ac:dyDescent="0.25">
      <c r="K236" s="26" t="s">
        <v>110</v>
      </c>
      <c r="L236" s="27" t="s">
        <v>119</v>
      </c>
      <c r="M236" s="10">
        <v>66.137566137566139</v>
      </c>
    </row>
    <row r="237" spans="11:13" x14ac:dyDescent="0.25">
      <c r="K237" s="26" t="s">
        <v>110</v>
      </c>
      <c r="L237" s="27" t="s">
        <v>115</v>
      </c>
      <c r="M237" s="10">
        <v>308.21426930674875</v>
      </c>
    </row>
    <row r="238" spans="11:13" x14ac:dyDescent="0.25">
      <c r="K238" s="26" t="s">
        <v>109</v>
      </c>
      <c r="L238" s="27" t="s">
        <v>116</v>
      </c>
      <c r="M238" s="10">
        <v>23.105360443622921</v>
      </c>
    </row>
    <row r="239" spans="11:13" x14ac:dyDescent="0.25">
      <c r="K239" s="26" t="s">
        <v>109</v>
      </c>
      <c r="L239" s="27" t="s">
        <v>117</v>
      </c>
      <c r="M239" s="10">
        <v>110.22927689594357</v>
      </c>
    </row>
    <row r="240" spans="11:13" x14ac:dyDescent="0.25">
      <c r="K240" s="26" t="s">
        <v>109</v>
      </c>
      <c r="L240" s="27" t="s">
        <v>118</v>
      </c>
      <c r="M240" s="10">
        <v>61.57</v>
      </c>
    </row>
    <row r="241" spans="11:13" x14ac:dyDescent="0.25">
      <c r="K241" s="26" t="s">
        <v>109</v>
      </c>
      <c r="L241" s="27" t="s">
        <v>119</v>
      </c>
      <c r="M241" s="10">
        <v>192.72031143602331</v>
      </c>
    </row>
    <row r="242" spans="11:13" x14ac:dyDescent="0.25">
      <c r="K242" s="26" t="s">
        <v>110</v>
      </c>
      <c r="L242" s="27" t="s">
        <v>115</v>
      </c>
      <c r="M242" s="10">
        <v>462.10720887245844</v>
      </c>
    </row>
    <row r="243" spans="11:13" x14ac:dyDescent="0.25">
      <c r="K243" s="26" t="s">
        <v>110</v>
      </c>
      <c r="L243" s="27" t="s">
        <v>116</v>
      </c>
      <c r="M243" s="10">
        <v>65.808090446639511</v>
      </c>
    </row>
    <row r="244" spans="11:13" x14ac:dyDescent="0.25">
      <c r="K244" s="26" t="s">
        <v>111</v>
      </c>
      <c r="L244" s="27" t="s">
        <v>117</v>
      </c>
      <c r="M244" s="10">
        <v>154.32098765432099</v>
      </c>
    </row>
    <row r="245" spans="11:13" x14ac:dyDescent="0.25">
      <c r="K245" s="26" t="s">
        <v>111</v>
      </c>
      <c r="L245" s="27" t="s">
        <v>118</v>
      </c>
      <c r="M245" s="10">
        <v>70</v>
      </c>
    </row>
    <row r="246" spans="11:13" x14ac:dyDescent="0.25">
      <c r="K246" s="26" t="s">
        <v>111</v>
      </c>
      <c r="L246" s="27" t="s">
        <v>119</v>
      </c>
      <c r="M246" s="10">
        <v>50</v>
      </c>
    </row>
    <row r="247" spans="11:13" x14ac:dyDescent="0.25">
      <c r="K247" s="26" t="s">
        <v>111</v>
      </c>
      <c r="L247" s="27" t="s">
        <v>115</v>
      </c>
      <c r="M247" s="10">
        <v>61.75</v>
      </c>
    </row>
    <row r="248" spans="11:13" x14ac:dyDescent="0.25">
      <c r="K248" s="26" t="s">
        <v>109</v>
      </c>
      <c r="L248" s="27" t="s">
        <v>116</v>
      </c>
      <c r="M248" s="10">
        <v>88.183421516754848</v>
      </c>
    </row>
    <row r="249" spans="11:13" x14ac:dyDescent="0.25">
      <c r="K249" s="26" t="s">
        <v>110</v>
      </c>
      <c r="L249" s="27" t="s">
        <v>117</v>
      </c>
      <c r="M249" s="10">
        <v>88.183421516754848</v>
      </c>
    </row>
    <row r="250" spans="11:13" x14ac:dyDescent="0.25">
      <c r="K250" s="26" t="s">
        <v>110</v>
      </c>
      <c r="L250" s="27" t="s">
        <v>118</v>
      </c>
      <c r="M250" s="10">
        <v>27.557319223985893</v>
      </c>
    </row>
    <row r="251" spans="11:13" x14ac:dyDescent="0.25">
      <c r="K251" s="26" t="s">
        <v>111</v>
      </c>
      <c r="L251" s="27" t="s">
        <v>119</v>
      </c>
      <c r="M251" s="10">
        <v>33.06878306878307</v>
      </c>
    </row>
    <row r="252" spans="11:13" x14ac:dyDescent="0.25">
      <c r="K252" s="26" t="s">
        <v>109</v>
      </c>
      <c r="L252" s="27" t="s">
        <v>115</v>
      </c>
      <c r="M252" s="10">
        <v>52.949274594938046</v>
      </c>
    </row>
    <row r="253" spans="11:13" x14ac:dyDescent="0.25">
      <c r="K253" s="26" t="s">
        <v>111</v>
      </c>
      <c r="L253" s="27" t="s">
        <v>116</v>
      </c>
      <c r="M253" s="10">
        <v>52.949274594938046</v>
      </c>
    </row>
    <row r="254" spans="11:13" x14ac:dyDescent="0.25">
      <c r="K254" s="26" t="s">
        <v>111</v>
      </c>
      <c r="L254" s="27" t="s">
        <v>117</v>
      </c>
      <c r="M254" s="10">
        <v>105.89854918987609</v>
      </c>
    </row>
    <row r="255" spans="11:13" x14ac:dyDescent="0.25">
      <c r="K255" s="26" t="s">
        <v>110</v>
      </c>
      <c r="L255" s="27" t="s">
        <v>118</v>
      </c>
      <c r="M255" s="10">
        <v>3706.4492216456633</v>
      </c>
    </row>
    <row r="256" spans="11:13" x14ac:dyDescent="0.25">
      <c r="K256" s="26" t="s">
        <v>110</v>
      </c>
      <c r="L256" s="27" t="s">
        <v>119</v>
      </c>
      <c r="M256" s="10">
        <v>59.523809523809526</v>
      </c>
    </row>
    <row r="257" spans="11:13" x14ac:dyDescent="0.25">
      <c r="K257" s="26" t="s">
        <v>110</v>
      </c>
      <c r="L257" s="27" t="s">
        <v>115</v>
      </c>
      <c r="M257" s="10">
        <v>99.206349206349202</v>
      </c>
    </row>
    <row r="258" spans="11:13" x14ac:dyDescent="0.25">
      <c r="K258" s="26" t="s">
        <v>110</v>
      </c>
      <c r="L258" s="27" t="s">
        <v>116</v>
      </c>
      <c r="M258" s="10">
        <v>49.603174603174601</v>
      </c>
    </row>
    <row r="259" spans="11:13" x14ac:dyDescent="0.25">
      <c r="K259" s="26" t="s">
        <v>111</v>
      </c>
      <c r="L259" s="27" t="s">
        <v>117</v>
      </c>
      <c r="M259" s="10">
        <v>11.022927689594356</v>
      </c>
    </row>
    <row r="260" spans="11:13" x14ac:dyDescent="0.25">
      <c r="K260" s="26" t="s">
        <v>111</v>
      </c>
      <c r="L260" s="27" t="s">
        <v>118</v>
      </c>
      <c r="M260" s="10">
        <v>77.017868145409736</v>
      </c>
    </row>
    <row r="261" spans="11:13" x14ac:dyDescent="0.25">
      <c r="K261" s="26" t="s">
        <v>111</v>
      </c>
      <c r="L261" s="27" t="s">
        <v>119</v>
      </c>
      <c r="M261" s="10">
        <v>24.389069211536174</v>
      </c>
    </row>
    <row r="262" spans="11:13" x14ac:dyDescent="0.25">
      <c r="K262" s="26" t="s">
        <v>111</v>
      </c>
      <c r="L262" s="27" t="s">
        <v>115</v>
      </c>
      <c r="M262" s="10">
        <v>21.179709837975221</v>
      </c>
    </row>
    <row r="263" spans="11:13" x14ac:dyDescent="0.25">
      <c r="K263" s="26" t="s">
        <v>111</v>
      </c>
      <c r="L263" s="27" t="s">
        <v>116</v>
      </c>
      <c r="M263" s="10">
        <v>3.0807147258163893E-2</v>
      </c>
    </row>
    <row r="264" spans="11:13" x14ac:dyDescent="0.25">
      <c r="K264" s="26" t="s">
        <v>111</v>
      </c>
      <c r="L264" s="27" t="s">
        <v>117</v>
      </c>
      <c r="M264" s="10">
        <v>440.91710758377428</v>
      </c>
    </row>
    <row r="265" spans="11:13" x14ac:dyDescent="0.25">
      <c r="K265" s="26" t="s">
        <v>112</v>
      </c>
      <c r="L265" s="27" t="s">
        <v>118</v>
      </c>
      <c r="M265" s="10">
        <v>33.06878306878307</v>
      </c>
    </row>
    <row r="266" spans="11:13" x14ac:dyDescent="0.25">
      <c r="K266" s="26" t="s">
        <v>112</v>
      </c>
      <c r="L266" s="27" t="s">
        <v>119</v>
      </c>
      <c r="M266" s="10">
        <v>182.68052988293283</v>
      </c>
    </row>
    <row r="267" spans="11:13" x14ac:dyDescent="0.25">
      <c r="K267" s="26" t="s">
        <v>109</v>
      </c>
      <c r="L267" s="27" t="s">
        <v>115</v>
      </c>
      <c r="M267" s="10">
        <v>70</v>
      </c>
    </row>
    <row r="268" spans="11:13" x14ac:dyDescent="0.25">
      <c r="K268" s="26" t="s">
        <v>109</v>
      </c>
      <c r="L268" s="27" t="s">
        <v>116</v>
      </c>
      <c r="M268" s="10">
        <v>256.96041524803104</v>
      </c>
    </row>
    <row r="269" spans="11:13" x14ac:dyDescent="0.25">
      <c r="K269" s="26" t="s">
        <v>111</v>
      </c>
      <c r="L269" s="27" t="s">
        <v>117</v>
      </c>
      <c r="M269" s="10">
        <v>70</v>
      </c>
    </row>
    <row r="270" spans="11:13" x14ac:dyDescent="0.25">
      <c r="K270" s="26" t="s">
        <v>113</v>
      </c>
      <c r="L270" s="27" t="s">
        <v>118</v>
      </c>
      <c r="M270" s="10">
        <v>21.841635296082639</v>
      </c>
    </row>
    <row r="271" spans="11:13" x14ac:dyDescent="0.25">
      <c r="K271" s="26" t="s">
        <v>110</v>
      </c>
      <c r="L271" s="27" t="s">
        <v>119</v>
      </c>
      <c r="M271" s="10">
        <v>132.27513227513228</v>
      </c>
    </row>
    <row r="272" spans="11:13" x14ac:dyDescent="0.25">
      <c r="K272" s="26" t="s">
        <v>110</v>
      </c>
      <c r="L272" s="27" t="s">
        <v>115</v>
      </c>
      <c r="M272" s="10">
        <v>158.84782378481412</v>
      </c>
    </row>
    <row r="273" spans="11:13" x14ac:dyDescent="0.25">
      <c r="K273" s="26" t="s">
        <v>111</v>
      </c>
      <c r="L273" s="27" t="s">
        <v>116</v>
      </c>
      <c r="M273" s="10">
        <v>3706.4492216456633</v>
      </c>
    </row>
    <row r="274" spans="11:13" x14ac:dyDescent="0.25">
      <c r="K274" s="26" t="s">
        <v>113</v>
      </c>
      <c r="L274" s="27" t="s">
        <v>117</v>
      </c>
      <c r="M274" s="10">
        <v>191.30913768548723</v>
      </c>
    </row>
    <row r="275" spans="11:13" x14ac:dyDescent="0.25">
      <c r="K275" s="26" t="s">
        <v>111</v>
      </c>
      <c r="L275" s="27" t="s">
        <v>118</v>
      </c>
      <c r="M275" s="10">
        <v>256.96041524803104</v>
      </c>
    </row>
    <row r="276" spans="11:13" x14ac:dyDescent="0.25">
      <c r="K276" s="26" t="s">
        <v>111</v>
      </c>
      <c r="L276" s="27" t="s">
        <v>119</v>
      </c>
      <c r="M276" s="10">
        <v>256.96041524803104</v>
      </c>
    </row>
    <row r="277" spans="11:13" x14ac:dyDescent="0.25">
      <c r="K277" s="26" t="s">
        <v>111</v>
      </c>
      <c r="L277" s="27" t="s">
        <v>115</v>
      </c>
      <c r="M277" s="10">
        <v>529.49274594938049</v>
      </c>
    </row>
    <row r="278" spans="11:13" x14ac:dyDescent="0.25">
      <c r="K278" s="26" t="s">
        <v>109</v>
      </c>
      <c r="L278" s="27" t="s">
        <v>116</v>
      </c>
      <c r="M278" s="10">
        <v>256.96041524803104</v>
      </c>
    </row>
    <row r="279" spans="11:13" x14ac:dyDescent="0.25">
      <c r="K279" s="26" t="s">
        <v>109</v>
      </c>
      <c r="L279" s="27" t="s">
        <v>117</v>
      </c>
      <c r="M279" s="10">
        <v>256.96041524803104</v>
      </c>
    </row>
    <row r="280" spans="11:13" x14ac:dyDescent="0.25">
      <c r="K280" s="26" t="s">
        <v>109</v>
      </c>
      <c r="L280" s="27" t="s">
        <v>118</v>
      </c>
      <c r="M280" s="10">
        <v>256.96041524803104</v>
      </c>
    </row>
    <row r="281" spans="11:13" x14ac:dyDescent="0.25">
      <c r="K281" s="26" t="s">
        <v>109</v>
      </c>
      <c r="L281" s="27" t="s">
        <v>119</v>
      </c>
      <c r="M281" s="10">
        <v>256.96041524803104</v>
      </c>
    </row>
    <row r="282" spans="11:13" x14ac:dyDescent="0.25">
      <c r="K282" s="26" t="s">
        <v>112</v>
      </c>
      <c r="L282" s="27" t="s">
        <v>115</v>
      </c>
      <c r="M282" s="10">
        <v>256.96041524803104</v>
      </c>
    </row>
    <row r="283" spans="11:13" x14ac:dyDescent="0.25">
      <c r="K283" s="26" t="s">
        <v>113</v>
      </c>
      <c r="L283" s="27" t="s">
        <v>116</v>
      </c>
      <c r="M283" s="10">
        <v>61.614294516327789</v>
      </c>
    </row>
    <row r="284" spans="11:13" x14ac:dyDescent="0.25">
      <c r="K284" s="26" t="s">
        <v>109</v>
      </c>
      <c r="L284" s="27" t="s">
        <v>117</v>
      </c>
      <c r="M284" s="10">
        <v>26.186075169439309</v>
      </c>
    </row>
    <row r="285" spans="11:13" x14ac:dyDescent="0.25">
      <c r="K285" s="26" t="s">
        <v>111</v>
      </c>
      <c r="L285" s="27" t="s">
        <v>118</v>
      </c>
      <c r="M285" s="10">
        <v>57.182999999999993</v>
      </c>
    </row>
    <row r="286" spans="11:13" x14ac:dyDescent="0.25">
      <c r="K286" s="26" t="s">
        <v>111</v>
      </c>
      <c r="L286" s="27" t="s">
        <v>119</v>
      </c>
      <c r="M286" s="10">
        <v>222.9164460446892</v>
      </c>
    </row>
    <row r="287" spans="11:13" x14ac:dyDescent="0.25">
      <c r="K287" s="26" t="s">
        <v>110</v>
      </c>
      <c r="L287" s="27" t="s">
        <v>115</v>
      </c>
      <c r="M287" s="10">
        <v>3.7776284039986208</v>
      </c>
    </row>
    <row r="288" spans="11:13" x14ac:dyDescent="0.25">
      <c r="K288" s="26" t="s">
        <v>110</v>
      </c>
      <c r="L288" s="27" t="s">
        <v>116</v>
      </c>
      <c r="M288" s="10">
        <v>24.129610479145121</v>
      </c>
    </row>
    <row r="289" spans="11:13" x14ac:dyDescent="0.25">
      <c r="K289" s="26" t="s">
        <v>111</v>
      </c>
      <c r="L289" s="27" t="s">
        <v>117</v>
      </c>
      <c r="M289" s="10">
        <v>183.17198933939025</v>
      </c>
    </row>
    <row r="290" spans="11:13" x14ac:dyDescent="0.25">
      <c r="K290" s="26" t="s">
        <v>109</v>
      </c>
      <c r="L290" s="27" t="s">
        <v>118</v>
      </c>
      <c r="M290" s="10">
        <v>183.17198933939025</v>
      </c>
    </row>
    <row r="291" spans="11:13" x14ac:dyDescent="0.25">
      <c r="K291" s="26" t="s">
        <v>111</v>
      </c>
      <c r="L291" s="27" t="s">
        <v>119</v>
      </c>
      <c r="M291" s="10">
        <v>107.82501540357363</v>
      </c>
    </row>
    <row r="292" spans="11:13" x14ac:dyDescent="0.25">
      <c r="K292" s="26" t="s">
        <v>111</v>
      </c>
      <c r="L292" s="27" t="s">
        <v>115</v>
      </c>
      <c r="M292" s="10">
        <v>154.03573629081947</v>
      </c>
    </row>
    <row r="293" spans="11:13" x14ac:dyDescent="0.25">
      <c r="K293" s="26" t="s">
        <v>111</v>
      </c>
      <c r="L293" s="27" t="s">
        <v>116</v>
      </c>
      <c r="M293" s="10">
        <v>12.322858903265558</v>
      </c>
    </row>
    <row r="294" spans="11:13" x14ac:dyDescent="0.25">
      <c r="K294" s="26" t="s">
        <v>109</v>
      </c>
      <c r="L294" s="27" t="s">
        <v>117</v>
      </c>
      <c r="M294" s="10">
        <v>55.47412199630314</v>
      </c>
    </row>
    <row r="295" spans="11:13" x14ac:dyDescent="0.25">
      <c r="K295" s="26" t="s">
        <v>109</v>
      </c>
      <c r="L295" s="27" t="s">
        <v>118</v>
      </c>
      <c r="M295" s="10">
        <v>163.12199630314234</v>
      </c>
    </row>
    <row r="296" spans="11:13" x14ac:dyDescent="0.25">
      <c r="K296" s="26" t="s">
        <v>109</v>
      </c>
      <c r="L296" s="27" t="s">
        <v>119</v>
      </c>
      <c r="M296" s="10">
        <v>95.838187016837864</v>
      </c>
    </row>
    <row r="297" spans="11:13" x14ac:dyDescent="0.25">
      <c r="K297" s="26" t="s">
        <v>110</v>
      </c>
      <c r="L297" s="27" t="s">
        <v>115</v>
      </c>
      <c r="M297" s="10">
        <v>256.96041524803104</v>
      </c>
    </row>
    <row r="298" spans="11:13" x14ac:dyDescent="0.25">
      <c r="K298" s="26" t="s">
        <v>110</v>
      </c>
      <c r="L298" s="27" t="s">
        <v>116</v>
      </c>
      <c r="M298" s="10">
        <v>256.96041524803104</v>
      </c>
    </row>
    <row r="299" spans="11:13" x14ac:dyDescent="0.25">
      <c r="K299" s="26" t="s">
        <v>110</v>
      </c>
      <c r="L299" s="27" t="s">
        <v>117</v>
      </c>
      <c r="M299" s="10">
        <v>256.96041524803104</v>
      </c>
    </row>
    <row r="300" spans="11:13" x14ac:dyDescent="0.25">
      <c r="K300" s="26" t="s">
        <v>111</v>
      </c>
      <c r="L300" s="27" t="s">
        <v>118</v>
      </c>
      <c r="M300" s="10">
        <v>256.96041524803104</v>
      </c>
    </row>
    <row r="301" spans="11:13" x14ac:dyDescent="0.25">
      <c r="K301" s="26" t="s">
        <v>111</v>
      </c>
      <c r="L301" s="27" t="s">
        <v>119</v>
      </c>
      <c r="M301" s="10">
        <v>44.091710758377424</v>
      </c>
    </row>
    <row r="302" spans="11:13" x14ac:dyDescent="0.25">
      <c r="K302" s="26" t="s">
        <v>112</v>
      </c>
      <c r="L302" s="27" t="s">
        <v>115</v>
      </c>
      <c r="M302" s="10">
        <v>44.091710758377424</v>
      </c>
    </row>
    <row r="303" spans="11:13" x14ac:dyDescent="0.25">
      <c r="K303" s="26" t="s">
        <v>111</v>
      </c>
      <c r="L303" s="27" t="s">
        <v>116</v>
      </c>
      <c r="M303" s="10">
        <v>91.585994669695125</v>
      </c>
    </row>
    <row r="304" spans="11:13" x14ac:dyDescent="0.25">
      <c r="K304" s="26" t="s">
        <v>111</v>
      </c>
      <c r="L304" s="27" t="s">
        <v>117</v>
      </c>
      <c r="M304" s="10">
        <v>18.317198933939025</v>
      </c>
    </row>
    <row r="305" spans="11:13" x14ac:dyDescent="0.25">
      <c r="K305" s="26" t="s">
        <v>111</v>
      </c>
      <c r="L305" s="27" t="s">
        <v>118</v>
      </c>
      <c r="M305" s="10">
        <v>256.96041524803104</v>
      </c>
    </row>
    <row r="306" spans="11:13" x14ac:dyDescent="0.25">
      <c r="K306" s="26" t="s">
        <v>110</v>
      </c>
      <c r="L306" s="27" t="s">
        <v>119</v>
      </c>
      <c r="M306" s="10">
        <v>256.96041524803104</v>
      </c>
    </row>
    <row r="307" spans="11:13" x14ac:dyDescent="0.25">
      <c r="K307" s="26" t="s">
        <v>113</v>
      </c>
      <c r="L307" s="27" t="s">
        <v>115</v>
      </c>
      <c r="M307" s="10">
        <v>154.03573629081947</v>
      </c>
    </row>
    <row r="308" spans="11:13" x14ac:dyDescent="0.25">
      <c r="K308" s="26" t="s">
        <v>113</v>
      </c>
      <c r="L308" s="27" t="s">
        <v>116</v>
      </c>
      <c r="M308" s="10">
        <v>119.48853615520282</v>
      </c>
    </row>
    <row r="309" spans="11:13" x14ac:dyDescent="0.25">
      <c r="K309" s="26" t="s">
        <v>113</v>
      </c>
      <c r="L309" s="27" t="s">
        <v>117</v>
      </c>
      <c r="M309" s="10">
        <v>48.963844797178126</v>
      </c>
    </row>
    <row r="310" spans="11:13" x14ac:dyDescent="0.25">
      <c r="K310" s="26" t="s">
        <v>109</v>
      </c>
      <c r="L310" s="27" t="s">
        <v>118</v>
      </c>
      <c r="M310" s="10">
        <v>176.3668430335097</v>
      </c>
    </row>
    <row r="311" spans="11:13" x14ac:dyDescent="0.25">
      <c r="K311" s="26" t="s">
        <v>109</v>
      </c>
      <c r="L311" s="27" t="s">
        <v>119</v>
      </c>
      <c r="M311" s="10">
        <v>80.243941582410528</v>
      </c>
    </row>
    <row r="312" spans="11:13" x14ac:dyDescent="0.25">
      <c r="K312" s="26" t="s">
        <v>110</v>
      </c>
      <c r="L312" s="27" t="s">
        <v>115</v>
      </c>
      <c r="M312" s="10">
        <v>42.359419675950441</v>
      </c>
    </row>
    <row r="313" spans="11:13" x14ac:dyDescent="0.25">
      <c r="K313" s="26" t="s">
        <v>109</v>
      </c>
      <c r="L313" s="27" t="s">
        <v>116</v>
      </c>
      <c r="M313" s="10">
        <v>31.769564756962826</v>
      </c>
    </row>
    <row r="314" spans="11:13" x14ac:dyDescent="0.25">
      <c r="K314" s="26" t="s">
        <v>109</v>
      </c>
      <c r="L314" s="27" t="s">
        <v>117</v>
      </c>
      <c r="M314" s="10">
        <v>52.949274594938046</v>
      </c>
    </row>
    <row r="315" spans="11:13" x14ac:dyDescent="0.25">
      <c r="K315" s="26" t="s">
        <v>109</v>
      </c>
      <c r="L315" s="27" t="s">
        <v>118</v>
      </c>
      <c r="M315" s="10">
        <v>79.365079365079367</v>
      </c>
    </row>
    <row r="316" spans="11:13" x14ac:dyDescent="0.25">
      <c r="K316" s="26" t="s">
        <v>111</v>
      </c>
      <c r="L316" s="27" t="s">
        <v>119</v>
      </c>
      <c r="M316" s="10">
        <v>127.0782590278513</v>
      </c>
    </row>
    <row r="317" spans="11:13" x14ac:dyDescent="0.25">
      <c r="K317" s="26" t="s">
        <v>109</v>
      </c>
      <c r="L317" s="27" t="s">
        <v>115</v>
      </c>
      <c r="M317" s="10">
        <v>27.475798400908538</v>
      </c>
    </row>
    <row r="318" spans="11:13" x14ac:dyDescent="0.25">
      <c r="K318" s="26" t="s">
        <v>109</v>
      </c>
      <c r="L318" s="27" t="s">
        <v>116</v>
      </c>
      <c r="M318" s="10">
        <v>9.1585994669695125</v>
      </c>
    </row>
    <row r="319" spans="11:13" x14ac:dyDescent="0.25">
      <c r="K319" s="26" t="s">
        <v>111</v>
      </c>
      <c r="L319" s="27" t="s">
        <v>117</v>
      </c>
      <c r="M319" s="10">
        <v>158.84782378481412</v>
      </c>
    </row>
    <row r="320" spans="11:13" x14ac:dyDescent="0.25">
      <c r="K320" s="26" t="s">
        <v>110</v>
      </c>
      <c r="L320" s="27" t="s">
        <v>118</v>
      </c>
      <c r="M320" s="10">
        <v>158.84782378481412</v>
      </c>
    </row>
    <row r="321" spans="11:13" x14ac:dyDescent="0.25">
      <c r="K321" s="26" t="s">
        <v>110</v>
      </c>
      <c r="L321" s="27" t="s">
        <v>119</v>
      </c>
      <c r="M321" s="10">
        <v>16.890727335401586</v>
      </c>
    </row>
    <row r="322" spans="11:13" x14ac:dyDescent="0.25">
      <c r="K322" s="26" t="s">
        <v>111</v>
      </c>
      <c r="L322" s="27" t="s">
        <v>115</v>
      </c>
      <c r="M322" s="10">
        <v>16.337999999999997</v>
      </c>
    </row>
    <row r="323" spans="11:13" x14ac:dyDescent="0.25">
      <c r="K323" s="26" t="s">
        <v>110</v>
      </c>
      <c r="L323" s="27" t="s">
        <v>116</v>
      </c>
      <c r="M323" s="10">
        <v>52.949274594938046</v>
      </c>
    </row>
    <row r="324" spans="11:13" x14ac:dyDescent="0.25">
      <c r="K324" s="26" t="s">
        <v>111</v>
      </c>
      <c r="L324" s="27" t="s">
        <v>117</v>
      </c>
      <c r="M324" s="10">
        <v>52.949274594938046</v>
      </c>
    </row>
    <row r="325" spans="11:13" x14ac:dyDescent="0.25">
      <c r="K325" s="26" t="s">
        <v>111</v>
      </c>
      <c r="L325" s="27" t="s">
        <v>118</v>
      </c>
      <c r="M325" s="10">
        <v>88.183421516754848</v>
      </c>
    </row>
    <row r="326" spans="11:13" x14ac:dyDescent="0.25">
      <c r="K326" s="26" t="s">
        <v>111</v>
      </c>
      <c r="L326" s="27" t="s">
        <v>119</v>
      </c>
      <c r="M326" s="10">
        <v>123.4567901234568</v>
      </c>
    </row>
    <row r="327" spans="11:13" x14ac:dyDescent="0.25">
      <c r="K327" s="26" t="s">
        <v>112</v>
      </c>
      <c r="L327" s="27" t="s">
        <v>115</v>
      </c>
      <c r="M327" s="10">
        <v>132.27513227513228</v>
      </c>
    </row>
    <row r="328" spans="11:13" x14ac:dyDescent="0.25">
      <c r="K328" s="26" t="s">
        <v>112</v>
      </c>
      <c r="L328" s="27" t="s">
        <v>116</v>
      </c>
      <c r="M328" s="10">
        <v>66.137566137566139</v>
      </c>
    </row>
    <row r="329" spans="11:13" x14ac:dyDescent="0.25">
      <c r="K329" s="26" t="s">
        <v>111</v>
      </c>
      <c r="L329" s="27" t="s">
        <v>117</v>
      </c>
      <c r="M329" s="10">
        <v>37.430683918669132</v>
      </c>
    </row>
    <row r="330" spans="11:13" x14ac:dyDescent="0.25">
      <c r="K330" s="26" t="s">
        <v>110</v>
      </c>
      <c r="L330" s="27" t="s">
        <v>118</v>
      </c>
      <c r="M330" s="10">
        <v>3.2097576632964211</v>
      </c>
    </row>
    <row r="331" spans="11:13" x14ac:dyDescent="0.25">
      <c r="K331" s="26" t="s">
        <v>113</v>
      </c>
      <c r="L331" s="27" t="s">
        <v>119</v>
      </c>
      <c r="M331" s="10">
        <v>3.4906114588348585</v>
      </c>
    </row>
    <row r="332" spans="11:13" x14ac:dyDescent="0.25">
      <c r="K332" s="26" t="s">
        <v>112</v>
      </c>
      <c r="L332" s="27" t="s">
        <v>115</v>
      </c>
      <c r="M332" s="10">
        <v>18.317198933939025</v>
      </c>
    </row>
    <row r="333" spans="11:13" x14ac:dyDescent="0.25">
      <c r="K333" s="26" t="s">
        <v>109</v>
      </c>
      <c r="L333" s="27" t="s">
        <v>116</v>
      </c>
      <c r="M333" s="10">
        <v>44.091710758377424</v>
      </c>
    </row>
    <row r="334" spans="11:13" x14ac:dyDescent="0.25">
      <c r="K334" s="26" t="s">
        <v>109</v>
      </c>
      <c r="L334" s="27" t="s">
        <v>117</v>
      </c>
      <c r="M334" s="10">
        <v>40.515355319666149</v>
      </c>
    </row>
    <row r="335" spans="11:13" x14ac:dyDescent="0.25">
      <c r="K335" s="26" t="s">
        <v>111</v>
      </c>
      <c r="L335" s="27" t="s">
        <v>118</v>
      </c>
      <c r="M335" s="10">
        <v>810.30710639332301</v>
      </c>
    </row>
    <row r="336" spans="11:13" x14ac:dyDescent="0.25">
      <c r="K336" s="26" t="s">
        <v>109</v>
      </c>
      <c r="L336" s="27" t="s">
        <v>119</v>
      </c>
      <c r="M336" s="10">
        <v>110.22927689594357</v>
      </c>
    </row>
    <row r="337" spans="11:13" x14ac:dyDescent="0.25">
      <c r="K337" s="26" t="s">
        <v>109</v>
      </c>
      <c r="L337" s="27" t="s">
        <v>115</v>
      </c>
      <c r="M337" s="10">
        <v>0.65</v>
      </c>
    </row>
    <row r="338" spans="11:13" x14ac:dyDescent="0.25">
      <c r="K338" s="26" t="s">
        <v>111</v>
      </c>
      <c r="L338" s="27" t="s">
        <v>116</v>
      </c>
      <c r="M338" s="10">
        <v>16.20614212786646</v>
      </c>
    </row>
    <row r="339" spans="11:13" x14ac:dyDescent="0.25">
      <c r="K339" s="26" t="s">
        <v>110</v>
      </c>
      <c r="L339" s="27" t="s">
        <v>117</v>
      </c>
      <c r="M339" s="10">
        <v>105.89854918987609</v>
      </c>
    </row>
    <row r="340" spans="11:13" x14ac:dyDescent="0.25">
      <c r="K340" s="26" t="s">
        <v>111</v>
      </c>
      <c r="L340" s="27" t="s">
        <v>118</v>
      </c>
      <c r="M340" s="10">
        <v>0.05</v>
      </c>
    </row>
    <row r="341" spans="11:13" x14ac:dyDescent="0.25">
      <c r="K341" s="26" t="s">
        <v>110</v>
      </c>
      <c r="L341" s="27" t="s">
        <v>119</v>
      </c>
      <c r="M341" s="10">
        <v>65.178425941013529</v>
      </c>
    </row>
    <row r="342" spans="11:13" x14ac:dyDescent="0.25">
      <c r="K342" s="26" t="s">
        <v>110</v>
      </c>
      <c r="L342" s="27" t="s">
        <v>115</v>
      </c>
      <c r="M342" s="10">
        <v>52.949274594938046</v>
      </c>
    </row>
    <row r="343" spans="11:13" x14ac:dyDescent="0.25">
      <c r="K343" s="26" t="s">
        <v>110</v>
      </c>
      <c r="L343" s="27" t="s">
        <v>116</v>
      </c>
      <c r="M343" s="10">
        <v>74.294141479620762</v>
      </c>
    </row>
    <row r="344" spans="11:13" x14ac:dyDescent="0.25">
      <c r="K344" s="26" t="s">
        <v>111</v>
      </c>
      <c r="L344" s="27" t="s">
        <v>117</v>
      </c>
      <c r="M344" s="10">
        <v>370.5</v>
      </c>
    </row>
    <row r="345" spans="11:13" x14ac:dyDescent="0.25">
      <c r="K345" s="26" t="s">
        <v>111</v>
      </c>
      <c r="L345" s="27" t="s">
        <v>118</v>
      </c>
      <c r="M345" s="10">
        <v>17.235436056532226</v>
      </c>
    </row>
    <row r="346" spans="11:13" x14ac:dyDescent="0.25">
      <c r="K346" s="26" t="s">
        <v>111</v>
      </c>
      <c r="L346" s="27" t="s">
        <v>119</v>
      </c>
      <c r="M346" s="10">
        <v>26.859301324630941</v>
      </c>
    </row>
    <row r="347" spans="11:13" x14ac:dyDescent="0.25">
      <c r="K347" s="26" t="s">
        <v>112</v>
      </c>
      <c r="L347" s="27" t="s">
        <v>115</v>
      </c>
      <c r="M347" s="10">
        <v>6.1481633754320146</v>
      </c>
    </row>
    <row r="348" spans="11:13" x14ac:dyDescent="0.25">
      <c r="K348" s="26" t="s">
        <v>112</v>
      </c>
      <c r="L348" s="27" t="s">
        <v>116</v>
      </c>
      <c r="M348" s="10">
        <v>26.859301324630941</v>
      </c>
    </row>
    <row r="349" spans="11:13" x14ac:dyDescent="0.25">
      <c r="K349" s="26" t="s">
        <v>112</v>
      </c>
      <c r="L349" s="27" t="s">
        <v>117</v>
      </c>
      <c r="M349" s="10">
        <v>17.235436056532226</v>
      </c>
    </row>
    <row r="350" spans="11:13" x14ac:dyDescent="0.25">
      <c r="K350" s="26" t="s">
        <v>111</v>
      </c>
      <c r="L350" s="27" t="s">
        <v>118</v>
      </c>
      <c r="M350" s="10">
        <v>82.372809413189259</v>
      </c>
    </row>
    <row r="351" spans="11:13" x14ac:dyDescent="0.25">
      <c r="K351" s="26" t="s">
        <v>111</v>
      </c>
      <c r="L351" s="27" t="s">
        <v>119</v>
      </c>
      <c r="M351" s="10">
        <v>88.183421516754848</v>
      </c>
    </row>
    <row r="352" spans="11:13" x14ac:dyDescent="0.25">
      <c r="K352" s="26" t="s">
        <v>111</v>
      </c>
      <c r="L352" s="27" t="s">
        <v>115</v>
      </c>
      <c r="M352" s="10">
        <v>1232.2858903265558</v>
      </c>
    </row>
    <row r="353" spans="11:13" x14ac:dyDescent="0.25">
      <c r="K353" s="26" t="s">
        <v>112</v>
      </c>
      <c r="L353" s="27" t="s">
        <v>116</v>
      </c>
      <c r="M353" s="10">
        <v>6.6137566137566139</v>
      </c>
    </row>
    <row r="354" spans="11:13" x14ac:dyDescent="0.25">
      <c r="K354" s="26" t="s">
        <v>112</v>
      </c>
      <c r="L354" s="27" t="s">
        <v>117</v>
      </c>
      <c r="M354" s="10">
        <v>317.69564756962825</v>
      </c>
    </row>
    <row r="355" spans="11:13" x14ac:dyDescent="0.25">
      <c r="K355" s="26" t="s">
        <v>111</v>
      </c>
      <c r="L355" s="27" t="s">
        <v>118</v>
      </c>
      <c r="M355" s="10">
        <v>529.49274594938049</v>
      </c>
    </row>
    <row r="356" spans="11:13" x14ac:dyDescent="0.25">
      <c r="K356" s="26" t="s">
        <v>110</v>
      </c>
      <c r="L356" s="27" t="s">
        <v>119</v>
      </c>
      <c r="M356" s="10">
        <v>12</v>
      </c>
    </row>
    <row r="357" spans="11:13" x14ac:dyDescent="0.25">
      <c r="K357" s="26" t="s">
        <v>110</v>
      </c>
      <c r="L357" s="27" t="s">
        <v>115</v>
      </c>
      <c r="M357" s="10">
        <v>110.22927689594357</v>
      </c>
    </row>
    <row r="358" spans="11:13" x14ac:dyDescent="0.25">
      <c r="K358" s="26" t="s">
        <v>110</v>
      </c>
      <c r="L358" s="27" t="s">
        <v>116</v>
      </c>
      <c r="M358" s="10">
        <v>154.32098765432099</v>
      </c>
    </row>
    <row r="359" spans="11:13" x14ac:dyDescent="0.25">
      <c r="K359" s="26" t="s">
        <v>109</v>
      </c>
      <c r="L359" s="27" t="s">
        <v>117</v>
      </c>
      <c r="M359" s="10">
        <v>197.4242713399185</v>
      </c>
    </row>
    <row r="360" spans="11:13" x14ac:dyDescent="0.25">
      <c r="K360" s="26" t="s">
        <v>109</v>
      </c>
      <c r="L360" s="27" t="s">
        <v>118</v>
      </c>
      <c r="M360" s="10">
        <v>87.739382893567921</v>
      </c>
    </row>
    <row r="361" spans="11:13" x14ac:dyDescent="0.25">
      <c r="K361" s="26" t="s">
        <v>109</v>
      </c>
      <c r="L361" s="27" t="s">
        <v>119</v>
      </c>
      <c r="M361" s="10">
        <v>73.2687957357561</v>
      </c>
    </row>
    <row r="362" spans="11:13" x14ac:dyDescent="0.25">
      <c r="K362" s="26" t="s">
        <v>110</v>
      </c>
      <c r="L362" s="27" t="s">
        <v>115</v>
      </c>
      <c r="M362" s="10">
        <v>9.1585994669695116E-7</v>
      </c>
    </row>
    <row r="363" spans="11:13" x14ac:dyDescent="0.25">
      <c r="K363" s="26" t="s">
        <v>109</v>
      </c>
      <c r="L363" s="27" t="s">
        <v>116</v>
      </c>
      <c r="M363" s="10">
        <v>9.1585994669695116E-7</v>
      </c>
    </row>
    <row r="364" spans="11:13" x14ac:dyDescent="0.25">
      <c r="K364" s="26" t="s">
        <v>110</v>
      </c>
      <c r="L364" s="27" t="s">
        <v>117</v>
      </c>
      <c r="M364" s="10">
        <v>137.88348845225781</v>
      </c>
    </row>
    <row r="365" spans="11:13" x14ac:dyDescent="0.25">
      <c r="K365" s="26" t="s">
        <v>110</v>
      </c>
      <c r="L365" s="27" t="s">
        <v>118</v>
      </c>
      <c r="M365" s="10">
        <v>183.17198933939025</v>
      </c>
    </row>
    <row r="366" spans="11:13" x14ac:dyDescent="0.25">
      <c r="K366" s="26" t="s">
        <v>111</v>
      </c>
      <c r="L366" s="27" t="s">
        <v>119</v>
      </c>
      <c r="M366" s="10">
        <v>9.2421441774491679</v>
      </c>
    </row>
    <row r="367" spans="11:13" x14ac:dyDescent="0.25">
      <c r="K367" s="26" t="s">
        <v>110</v>
      </c>
      <c r="L367" s="27" t="s">
        <v>115</v>
      </c>
      <c r="M367" s="10">
        <v>10.45494841519664</v>
      </c>
    </row>
    <row r="368" spans="11:13" x14ac:dyDescent="0.25">
      <c r="K368" s="26" t="s">
        <v>111</v>
      </c>
      <c r="L368" s="27" t="s">
        <v>116</v>
      </c>
      <c r="M368" s="10">
        <v>4.529698199992291</v>
      </c>
    </row>
    <row r="369" spans="11:13" x14ac:dyDescent="0.25">
      <c r="K369" s="26" t="s">
        <v>111</v>
      </c>
      <c r="L369" s="27" t="s">
        <v>117</v>
      </c>
      <c r="M369" s="10">
        <v>329.04045223319753</v>
      </c>
    </row>
    <row r="370" spans="11:13" x14ac:dyDescent="0.25">
      <c r="K370" s="26" t="s">
        <v>112</v>
      </c>
      <c r="L370" s="27" t="s">
        <v>118</v>
      </c>
      <c r="M370" s="10">
        <v>39.049937979510275</v>
      </c>
    </row>
    <row r="371" spans="11:13" x14ac:dyDescent="0.25">
      <c r="K371" s="26" t="s">
        <v>112</v>
      </c>
      <c r="L371" s="27" t="s">
        <v>119</v>
      </c>
      <c r="M371" s="10">
        <v>91.882207010612404</v>
      </c>
    </row>
    <row r="372" spans="11:13" x14ac:dyDescent="0.25">
      <c r="K372" s="26" t="s">
        <v>111</v>
      </c>
      <c r="L372" s="27" t="s">
        <v>115</v>
      </c>
      <c r="M372" s="10">
        <v>132.27513227513228</v>
      </c>
    </row>
    <row r="373" spans="11:13" x14ac:dyDescent="0.25">
      <c r="K373" s="26" t="s">
        <v>110</v>
      </c>
      <c r="L373" s="27" t="s">
        <v>116</v>
      </c>
      <c r="M373" s="10">
        <v>70.546737213403873</v>
      </c>
    </row>
    <row r="374" spans="11:13" x14ac:dyDescent="0.25">
      <c r="K374" s="26" t="s">
        <v>110</v>
      </c>
      <c r="L374" s="27" t="s">
        <v>117</v>
      </c>
      <c r="M374" s="10">
        <v>132.27513227513228</v>
      </c>
    </row>
    <row r="375" spans="11:13" x14ac:dyDescent="0.25">
      <c r="K375" s="26" t="s">
        <v>111</v>
      </c>
      <c r="L375" s="27" t="s">
        <v>118</v>
      </c>
      <c r="M375" s="10">
        <v>263.23236178655804</v>
      </c>
    </row>
    <row r="376" spans="11:13" x14ac:dyDescent="0.25">
      <c r="K376" s="26" t="s">
        <v>111</v>
      </c>
      <c r="L376" s="27" t="s">
        <v>119</v>
      </c>
      <c r="M376" s="10">
        <v>19.27203114360233</v>
      </c>
    </row>
    <row r="377" spans="11:13" x14ac:dyDescent="0.25">
      <c r="K377" s="26" t="s">
        <v>111</v>
      </c>
      <c r="L377" s="27" t="s">
        <v>115</v>
      </c>
      <c r="M377" s="10">
        <v>329.04045223319753</v>
      </c>
    </row>
    <row r="378" spans="11:13" x14ac:dyDescent="0.25">
      <c r="K378" s="26" t="s">
        <v>110</v>
      </c>
      <c r="L378" s="27" t="s">
        <v>116</v>
      </c>
      <c r="M378" s="10">
        <v>131.61618089327902</v>
      </c>
    </row>
    <row r="379" spans="11:13" x14ac:dyDescent="0.25">
      <c r="K379" s="26" t="s">
        <v>110</v>
      </c>
      <c r="L379" s="27" t="s">
        <v>117</v>
      </c>
      <c r="M379" s="10">
        <v>132.27513227513228</v>
      </c>
    </row>
    <row r="380" spans="11:13" x14ac:dyDescent="0.25">
      <c r="K380" s="26" t="s">
        <v>110</v>
      </c>
      <c r="L380" s="27" t="s">
        <v>118</v>
      </c>
      <c r="M380" s="10">
        <v>658.08090446639505</v>
      </c>
    </row>
    <row r="381" spans="11:13" x14ac:dyDescent="0.25">
      <c r="K381" s="26" t="s">
        <v>110</v>
      </c>
      <c r="L381" s="27" t="s">
        <v>119</v>
      </c>
      <c r="M381" s="10">
        <v>329.04045223319753</v>
      </c>
    </row>
    <row r="382" spans="11:13" x14ac:dyDescent="0.25">
      <c r="K382" s="26" t="s">
        <v>114</v>
      </c>
      <c r="L382" s="27" t="s">
        <v>115</v>
      </c>
      <c r="M382" s="10">
        <v>220.45855379188714</v>
      </c>
    </row>
    <row r="383" spans="11:13" x14ac:dyDescent="0.25">
      <c r="K383" s="26" t="s">
        <v>112</v>
      </c>
      <c r="L383" s="27" t="s">
        <v>116</v>
      </c>
      <c r="M383" s="10">
        <v>97.767638911520294</v>
      </c>
    </row>
    <row r="384" spans="11:13" x14ac:dyDescent="0.25">
      <c r="K384" s="26" t="s">
        <v>111</v>
      </c>
      <c r="L384" s="27" t="s">
        <v>117</v>
      </c>
      <c r="M384" s="10">
        <v>52.949274594938046</v>
      </c>
    </row>
    <row r="385" spans="11:13" x14ac:dyDescent="0.25">
      <c r="K385" s="26" t="s">
        <v>111</v>
      </c>
      <c r="L385" s="27" t="s">
        <v>118</v>
      </c>
      <c r="M385" s="10">
        <v>52.949274594938046</v>
      </c>
    </row>
    <row r="386" spans="11:13" x14ac:dyDescent="0.25">
      <c r="K386" s="26" t="s">
        <v>112</v>
      </c>
      <c r="L386" s="27" t="s">
        <v>119</v>
      </c>
      <c r="M386" s="10">
        <v>33.06878306878307</v>
      </c>
    </row>
    <row r="387" spans="11:13" x14ac:dyDescent="0.25">
      <c r="K387" s="26" t="s">
        <v>112</v>
      </c>
      <c r="L387" s="27" t="s">
        <v>115</v>
      </c>
      <c r="M387" s="10">
        <v>136.68430335097003</v>
      </c>
    </row>
    <row r="388" spans="11:13" x14ac:dyDescent="0.25">
      <c r="K388" s="26" t="s">
        <v>112</v>
      </c>
      <c r="L388" s="27" t="s">
        <v>116</v>
      </c>
      <c r="M388" s="10">
        <v>10.341261633919338</v>
      </c>
    </row>
    <row r="389" spans="11:13" x14ac:dyDescent="0.25">
      <c r="K389" s="26" t="s">
        <v>110</v>
      </c>
      <c r="L389" s="27" t="s">
        <v>117</v>
      </c>
      <c r="M389" s="10">
        <v>260.71370376405412</v>
      </c>
    </row>
    <row r="390" spans="11:13" x14ac:dyDescent="0.25">
      <c r="K390" s="26" t="s">
        <v>111</v>
      </c>
      <c r="L390" s="27" t="s">
        <v>118</v>
      </c>
      <c r="M390" s="10">
        <v>39.682539682539684</v>
      </c>
    </row>
    <row r="391" spans="11:13" x14ac:dyDescent="0.25">
      <c r="K391" s="26" t="s">
        <v>110</v>
      </c>
      <c r="L391" s="27" t="s">
        <v>119</v>
      </c>
      <c r="M391" s="10">
        <v>14.690123456790122</v>
      </c>
    </row>
    <row r="392" spans="11:13" x14ac:dyDescent="0.25">
      <c r="K392" s="26" t="s">
        <v>110</v>
      </c>
      <c r="L392" s="27" t="s">
        <v>115</v>
      </c>
      <c r="M392" s="10">
        <v>734.5064594356262</v>
      </c>
    </row>
    <row r="393" spans="11:13" x14ac:dyDescent="0.25">
      <c r="K393" s="26" t="s">
        <v>113</v>
      </c>
      <c r="L393" s="27" t="s">
        <v>116</v>
      </c>
      <c r="M393" s="10">
        <v>105.89854918987609</v>
      </c>
    </row>
    <row r="394" spans="11:13" x14ac:dyDescent="0.25">
      <c r="K394" s="26" t="s">
        <v>113</v>
      </c>
      <c r="L394" s="27" t="s">
        <v>117</v>
      </c>
      <c r="M394" s="10">
        <v>28.659611992945326</v>
      </c>
    </row>
    <row r="395" spans="11:13" x14ac:dyDescent="0.25">
      <c r="K395" s="26" t="s">
        <v>110</v>
      </c>
      <c r="L395" s="27" t="s">
        <v>118</v>
      </c>
      <c r="M395" s="10">
        <v>25.696041524803107</v>
      </c>
    </row>
    <row r="396" spans="11:13" x14ac:dyDescent="0.25">
      <c r="K396" s="26" t="s">
        <v>110</v>
      </c>
      <c r="L396" s="27" t="s">
        <v>119</v>
      </c>
      <c r="M396" s="10">
        <v>10.45494841519664</v>
      </c>
    </row>
    <row r="397" spans="11:13" x14ac:dyDescent="0.25">
      <c r="K397" s="26" t="s">
        <v>113</v>
      </c>
      <c r="L397" s="27" t="s">
        <v>115</v>
      </c>
      <c r="M397" s="10">
        <v>132.27513227513228</v>
      </c>
    </row>
    <row r="398" spans="11:13" x14ac:dyDescent="0.25">
      <c r="K398" s="26" t="s">
        <v>114</v>
      </c>
      <c r="L398" s="27" t="s">
        <v>116</v>
      </c>
      <c r="M398" s="10">
        <v>583.30014261303052</v>
      </c>
    </row>
    <row r="399" spans="11:13" x14ac:dyDescent="0.25">
      <c r="K399" s="26" t="s">
        <v>112</v>
      </c>
      <c r="L399" s="27" t="s">
        <v>117</v>
      </c>
      <c r="M399" s="10">
        <v>100</v>
      </c>
    </row>
    <row r="400" spans="11:13" x14ac:dyDescent="0.25">
      <c r="K400" s="26" t="s">
        <v>111</v>
      </c>
      <c r="L400" s="27" t="s">
        <v>118</v>
      </c>
      <c r="M400" s="10">
        <v>11.022927689594356</v>
      </c>
    </row>
    <row r="401" spans="11:13" x14ac:dyDescent="0.25">
      <c r="K401" s="26" t="s">
        <v>109</v>
      </c>
      <c r="L401" s="27" t="s">
        <v>119</v>
      </c>
      <c r="M401" s="10">
        <v>66.137566137566139</v>
      </c>
    </row>
    <row r="402" spans="11:13" x14ac:dyDescent="0.25">
      <c r="K402" s="26" t="s">
        <v>110</v>
      </c>
      <c r="L402" s="27" t="s">
        <v>115</v>
      </c>
      <c r="M402" s="10">
        <v>17.5</v>
      </c>
    </row>
    <row r="403" spans="11:13" x14ac:dyDescent="0.25">
      <c r="K403" s="26" t="s">
        <v>111</v>
      </c>
      <c r="L403" s="27" t="s">
        <v>116</v>
      </c>
      <c r="M403" s="10">
        <v>0.35</v>
      </c>
    </row>
    <row r="404" spans="11:13" x14ac:dyDescent="0.25">
      <c r="K404" s="26" t="s">
        <v>111</v>
      </c>
      <c r="L404" s="27" t="s">
        <v>117</v>
      </c>
      <c r="M404" s="10">
        <v>47.5</v>
      </c>
    </row>
    <row r="405" spans="11:13" x14ac:dyDescent="0.25">
      <c r="K405" s="26" t="s">
        <v>111</v>
      </c>
      <c r="L405" s="27" t="s">
        <v>118</v>
      </c>
      <c r="M405" s="10">
        <v>39.107055564608117</v>
      </c>
    </row>
    <row r="406" spans="11:13" x14ac:dyDescent="0.25">
      <c r="K406" s="26" t="s">
        <v>109</v>
      </c>
      <c r="L406" s="27" t="s">
        <v>119</v>
      </c>
      <c r="M406" s="10">
        <v>132.27513227513228</v>
      </c>
    </row>
    <row r="407" spans="11:13" x14ac:dyDescent="0.25">
      <c r="K407" s="26" t="s">
        <v>111</v>
      </c>
      <c r="L407" s="27" t="s">
        <v>115</v>
      </c>
      <c r="M407" s="10">
        <v>102.73808976891625</v>
      </c>
    </row>
    <row r="408" spans="11:13" x14ac:dyDescent="0.25">
      <c r="K408" s="26" t="s">
        <v>113</v>
      </c>
      <c r="L408" s="27" t="s">
        <v>116</v>
      </c>
      <c r="M408" s="10">
        <v>79.423911892407062</v>
      </c>
    </row>
    <row r="409" spans="11:13" x14ac:dyDescent="0.25">
      <c r="K409" s="26" t="s">
        <v>113</v>
      </c>
      <c r="L409" s="27" t="s">
        <v>117</v>
      </c>
      <c r="M409" s="10">
        <v>195.868430335097</v>
      </c>
    </row>
    <row r="410" spans="11:13" x14ac:dyDescent="0.25">
      <c r="K410" s="26" t="s">
        <v>111</v>
      </c>
      <c r="L410" s="27" t="s">
        <v>118</v>
      </c>
      <c r="M410" s="10">
        <v>81.473032426266911</v>
      </c>
    </row>
    <row r="411" spans="11:13" x14ac:dyDescent="0.25">
      <c r="K411" s="26" t="s">
        <v>111</v>
      </c>
      <c r="L411" s="27" t="s">
        <v>119</v>
      </c>
      <c r="M411" s="10">
        <v>125.34046951807782</v>
      </c>
    </row>
    <row r="412" spans="11:13" x14ac:dyDescent="0.25">
      <c r="K412" s="26" t="s">
        <v>110</v>
      </c>
      <c r="L412" s="27" t="s">
        <v>115</v>
      </c>
      <c r="M412" s="10">
        <v>80</v>
      </c>
    </row>
    <row r="413" spans="11:13" x14ac:dyDescent="0.25">
      <c r="K413" s="26" t="s">
        <v>110</v>
      </c>
      <c r="L413" s="27" t="s">
        <v>116</v>
      </c>
      <c r="M413" s="10">
        <v>54.951596801817075</v>
      </c>
    </row>
    <row r="414" spans="11:13" x14ac:dyDescent="0.25">
      <c r="K414" s="26" t="s">
        <v>109</v>
      </c>
      <c r="L414" s="27" t="s">
        <v>117</v>
      </c>
      <c r="M414" s="10">
        <v>183.17198933939025</v>
      </c>
    </row>
    <row r="415" spans="11:13" x14ac:dyDescent="0.25">
      <c r="K415" s="26" t="s">
        <v>113</v>
      </c>
      <c r="L415" s="27" t="s">
        <v>118</v>
      </c>
      <c r="M415" s="10">
        <v>46.210720887245841</v>
      </c>
    </row>
    <row r="416" spans="11:13" x14ac:dyDescent="0.25">
      <c r="K416" s="26" t="s">
        <v>113</v>
      </c>
      <c r="L416" s="27" t="s">
        <v>119</v>
      </c>
      <c r="M416" s="10">
        <v>462.10720887245844</v>
      </c>
    </row>
    <row r="417" spans="11:13" x14ac:dyDescent="0.25">
      <c r="K417" s="26" t="s">
        <v>111</v>
      </c>
      <c r="L417" s="27" t="s">
        <v>115</v>
      </c>
      <c r="M417" s="10">
        <v>176.3668430335097</v>
      </c>
    </row>
    <row r="418" spans="11:13" x14ac:dyDescent="0.25">
      <c r="K418" s="26" t="s">
        <v>111</v>
      </c>
      <c r="L418" s="27" t="s">
        <v>116</v>
      </c>
      <c r="M418" s="10">
        <v>154.03573629081947</v>
      </c>
    </row>
    <row r="419" spans="11:13" x14ac:dyDescent="0.25">
      <c r="K419" s="26" t="s">
        <v>111</v>
      </c>
      <c r="L419" s="27" t="s">
        <v>117</v>
      </c>
      <c r="M419" s="10">
        <v>61.614294516327789</v>
      </c>
    </row>
    <row r="420" spans="11:13" x14ac:dyDescent="0.25">
      <c r="K420" s="26" t="s">
        <v>111</v>
      </c>
      <c r="L420" s="27" t="s">
        <v>118</v>
      </c>
      <c r="M420" s="10">
        <v>77.017868145409736</v>
      </c>
    </row>
    <row r="421" spans="11:13" x14ac:dyDescent="0.25">
      <c r="K421" s="26" t="s">
        <v>111</v>
      </c>
      <c r="L421" s="27" t="s">
        <v>119</v>
      </c>
      <c r="M421" s="10">
        <v>231.05360443622922</v>
      </c>
    </row>
    <row r="422" spans="11:13" x14ac:dyDescent="0.25">
      <c r="K422" s="26" t="s">
        <v>112</v>
      </c>
      <c r="L422" s="27" t="s">
        <v>115</v>
      </c>
      <c r="M422" s="10">
        <v>28.849588320953963</v>
      </c>
    </row>
    <row r="423" spans="11:13" x14ac:dyDescent="0.25">
      <c r="K423" s="26" t="s">
        <v>109</v>
      </c>
      <c r="L423" s="27" t="s">
        <v>116</v>
      </c>
      <c r="M423" s="10">
        <v>107.15561376354329</v>
      </c>
    </row>
    <row r="424" spans="11:13" x14ac:dyDescent="0.25">
      <c r="K424" s="26" t="s">
        <v>109</v>
      </c>
      <c r="L424" s="27" t="s">
        <v>117</v>
      </c>
      <c r="M424" s="10">
        <v>54.951596801817075</v>
      </c>
    </row>
    <row r="425" spans="11:13" x14ac:dyDescent="0.25">
      <c r="K425" s="26" t="s">
        <v>109</v>
      </c>
      <c r="L425" s="27" t="s">
        <v>118</v>
      </c>
      <c r="M425" s="10">
        <v>36.63439786787805</v>
      </c>
    </row>
    <row r="426" spans="11:13" x14ac:dyDescent="0.25">
      <c r="K426" s="26" t="s">
        <v>109</v>
      </c>
      <c r="L426" s="27" t="s">
        <v>119</v>
      </c>
      <c r="M426" s="10">
        <v>64.110196268786581</v>
      </c>
    </row>
    <row r="427" spans="11:13" x14ac:dyDescent="0.25">
      <c r="K427" s="26" t="s">
        <v>109</v>
      </c>
      <c r="L427" s="27" t="s">
        <v>115</v>
      </c>
      <c r="M427" s="10">
        <v>45.792997334847563</v>
      </c>
    </row>
    <row r="428" spans="11:13" x14ac:dyDescent="0.25">
      <c r="K428" s="26" t="s">
        <v>112</v>
      </c>
      <c r="L428" s="27" t="s">
        <v>116</v>
      </c>
      <c r="M428" s="10">
        <v>119.06179307060366</v>
      </c>
    </row>
    <row r="429" spans="11:13" x14ac:dyDescent="0.25">
      <c r="K429" s="26" t="s">
        <v>110</v>
      </c>
      <c r="L429" s="27" t="s">
        <v>117</v>
      </c>
      <c r="M429" s="10">
        <v>59.530896535301828</v>
      </c>
    </row>
    <row r="430" spans="11:13" x14ac:dyDescent="0.25">
      <c r="K430" s="26" t="s">
        <v>110</v>
      </c>
      <c r="L430" s="27" t="s">
        <v>118</v>
      </c>
      <c r="M430" s="10">
        <v>412.13697601362799</v>
      </c>
    </row>
    <row r="431" spans="11:13" x14ac:dyDescent="0.25">
      <c r="K431" s="26" t="s">
        <v>111</v>
      </c>
      <c r="L431" s="27" t="s">
        <v>119</v>
      </c>
      <c r="M431" s="10">
        <v>178.52766354969</v>
      </c>
    </row>
    <row r="432" spans="11:13" x14ac:dyDescent="0.25">
      <c r="K432" s="26" t="s">
        <v>111</v>
      </c>
      <c r="L432" s="27" t="s">
        <v>115</v>
      </c>
      <c r="M432" s="10">
        <v>45.792997334847563</v>
      </c>
    </row>
    <row r="433" spans="11:13" x14ac:dyDescent="0.25">
      <c r="K433" s="26" t="s">
        <v>110</v>
      </c>
      <c r="L433" s="27" t="s">
        <v>116</v>
      </c>
      <c r="M433" s="10">
        <v>27.475798400908538</v>
      </c>
    </row>
    <row r="434" spans="11:13" x14ac:dyDescent="0.25">
      <c r="K434" s="26" t="s">
        <v>109</v>
      </c>
      <c r="L434" s="27" t="s">
        <v>117</v>
      </c>
      <c r="M434" s="10">
        <v>34.470872113064452</v>
      </c>
    </row>
    <row r="435" spans="11:13" x14ac:dyDescent="0.25">
      <c r="K435" s="26" t="s">
        <v>109</v>
      </c>
      <c r="L435" s="27" t="s">
        <v>118</v>
      </c>
      <c r="M435" s="10">
        <v>44.091710758377424</v>
      </c>
    </row>
    <row r="436" spans="11:13" x14ac:dyDescent="0.25">
      <c r="K436" s="26" t="s">
        <v>109</v>
      </c>
      <c r="L436" s="27" t="s">
        <v>119</v>
      </c>
      <c r="M436" s="10">
        <v>238.95061728395061</v>
      </c>
    </row>
    <row r="437" spans="11:13" x14ac:dyDescent="0.25">
      <c r="K437" s="26" t="s">
        <v>109</v>
      </c>
      <c r="L437" s="27" t="s">
        <v>115</v>
      </c>
      <c r="M437" s="10">
        <v>61.85295414462081</v>
      </c>
    </row>
    <row r="438" spans="11:13" x14ac:dyDescent="0.25">
      <c r="K438" s="26" t="s">
        <v>109</v>
      </c>
      <c r="L438" s="27" t="s">
        <v>116</v>
      </c>
      <c r="M438" s="10">
        <v>18.04052028218695</v>
      </c>
    </row>
    <row r="439" spans="11:13" x14ac:dyDescent="0.25">
      <c r="K439" s="26" t="s">
        <v>110</v>
      </c>
      <c r="L439" s="27" t="s">
        <v>117</v>
      </c>
      <c r="M439" s="10">
        <v>16.20614212786646</v>
      </c>
    </row>
    <row r="440" spans="11:13" x14ac:dyDescent="0.25">
      <c r="K440" s="26" t="s">
        <v>109</v>
      </c>
      <c r="L440" s="27" t="s">
        <v>118</v>
      </c>
      <c r="M440" s="10">
        <v>35</v>
      </c>
    </row>
    <row r="441" spans="11:13" x14ac:dyDescent="0.25">
      <c r="K441" s="26" t="s">
        <v>111</v>
      </c>
      <c r="L441" s="27" t="s">
        <v>119</v>
      </c>
      <c r="M441" s="10">
        <v>44.091710758377424</v>
      </c>
    </row>
    <row r="442" spans="11:13" x14ac:dyDescent="0.25">
      <c r="K442" s="26" t="s">
        <v>111</v>
      </c>
      <c r="L442" s="27" t="s">
        <v>115</v>
      </c>
      <c r="M442" s="10">
        <v>351.24338624338623</v>
      </c>
    </row>
    <row r="443" spans="11:13" x14ac:dyDescent="0.25">
      <c r="K443" s="26" t="s">
        <v>110</v>
      </c>
      <c r="L443" s="27" t="s">
        <v>116</v>
      </c>
      <c r="M443" s="10">
        <v>98.118950627342358</v>
      </c>
    </row>
    <row r="444" spans="11:13" x14ac:dyDescent="0.25">
      <c r="K444" s="26" t="s">
        <v>111</v>
      </c>
      <c r="L444" s="27" t="s">
        <v>117</v>
      </c>
      <c r="M444" s="10">
        <v>35</v>
      </c>
    </row>
    <row r="445" spans="11:13" x14ac:dyDescent="0.25">
      <c r="K445" s="26" t="s">
        <v>111</v>
      </c>
      <c r="L445" s="27" t="s">
        <v>118</v>
      </c>
      <c r="M445" s="10">
        <v>103.41261633919338</v>
      </c>
    </row>
    <row r="446" spans="11:13" x14ac:dyDescent="0.25">
      <c r="K446" s="26" t="s">
        <v>110</v>
      </c>
      <c r="L446" s="27" t="s">
        <v>119</v>
      </c>
      <c r="M446" s="10">
        <v>220.45855379188714</v>
      </c>
    </row>
    <row r="447" spans="11:13" x14ac:dyDescent="0.25">
      <c r="K447" s="26" t="s">
        <v>111</v>
      </c>
      <c r="L447" s="27" t="s">
        <v>115</v>
      </c>
      <c r="M447" s="10">
        <v>160.6002595300194</v>
      </c>
    </row>
    <row r="448" spans="11:13" x14ac:dyDescent="0.25">
      <c r="K448" s="26" t="s">
        <v>109</v>
      </c>
      <c r="L448" s="27" t="s">
        <v>116</v>
      </c>
      <c r="M448" s="10">
        <v>200</v>
      </c>
    </row>
    <row r="449" spans="11:13" x14ac:dyDescent="0.25">
      <c r="K449" s="26" t="s">
        <v>109</v>
      </c>
      <c r="L449" s="27" t="s">
        <v>117</v>
      </c>
      <c r="M449" s="10">
        <v>24.483553791887125</v>
      </c>
    </row>
    <row r="450" spans="11:13" x14ac:dyDescent="0.25">
      <c r="K450" s="26" t="s">
        <v>111</v>
      </c>
      <c r="L450" s="27" t="s">
        <v>118</v>
      </c>
      <c r="M450" s="10">
        <v>65.178425941013529</v>
      </c>
    </row>
    <row r="451" spans="11:13" x14ac:dyDescent="0.25">
      <c r="K451" s="26" t="s">
        <v>111</v>
      </c>
      <c r="L451" s="27" t="s">
        <v>119</v>
      </c>
      <c r="M451" s="10">
        <v>1.1650585227345727</v>
      </c>
    </row>
    <row r="452" spans="11:13" x14ac:dyDescent="0.25">
      <c r="K452" s="26" t="s">
        <v>111</v>
      </c>
      <c r="L452" s="27" t="s">
        <v>115</v>
      </c>
      <c r="M452" s="10">
        <v>80.243941582410528</v>
      </c>
    </row>
    <row r="453" spans="11:13" x14ac:dyDescent="0.25">
      <c r="K453" s="26" t="s">
        <v>111</v>
      </c>
      <c r="L453" s="27" t="s">
        <v>116</v>
      </c>
      <c r="M453" s="10">
        <v>17.580144777662873</v>
      </c>
    </row>
    <row r="454" spans="11:13" x14ac:dyDescent="0.25">
      <c r="K454" s="26" t="s">
        <v>111</v>
      </c>
      <c r="L454" s="27" t="s">
        <v>117</v>
      </c>
      <c r="M454" s="10">
        <v>9.6518441916580482</v>
      </c>
    </row>
    <row r="455" spans="11:13" x14ac:dyDescent="0.25">
      <c r="K455" s="26" t="s">
        <v>111</v>
      </c>
      <c r="L455" s="27" t="s">
        <v>118</v>
      </c>
      <c r="M455" s="10">
        <v>2.8266115132712857</v>
      </c>
    </row>
    <row r="456" spans="11:13" x14ac:dyDescent="0.25">
      <c r="K456" s="26" t="s">
        <v>111</v>
      </c>
      <c r="L456" s="27" t="s">
        <v>119</v>
      </c>
      <c r="M456" s="10">
        <v>205.57760141093476</v>
      </c>
    </row>
    <row r="457" spans="11:13" x14ac:dyDescent="0.25">
      <c r="K457" s="26" t="s">
        <v>111</v>
      </c>
      <c r="L457" s="27" t="s">
        <v>115</v>
      </c>
      <c r="M457" s="10">
        <v>92.592592592592595</v>
      </c>
    </row>
    <row r="458" spans="11:13" x14ac:dyDescent="0.25">
      <c r="K458" s="26" t="s">
        <v>111</v>
      </c>
      <c r="L458" s="27" t="s">
        <v>116</v>
      </c>
      <c r="M458" s="10">
        <v>9.5139607032057896</v>
      </c>
    </row>
    <row r="459" spans="11:13" x14ac:dyDescent="0.25">
      <c r="K459" s="26" t="s">
        <v>110</v>
      </c>
      <c r="L459" s="27" t="s">
        <v>117</v>
      </c>
      <c r="M459" s="10">
        <v>10</v>
      </c>
    </row>
    <row r="460" spans="11:13" x14ac:dyDescent="0.25">
      <c r="K460" s="26" t="s">
        <v>110</v>
      </c>
      <c r="L460" s="27" t="s">
        <v>118</v>
      </c>
      <c r="M460" s="10">
        <v>126.41093474426808</v>
      </c>
    </row>
    <row r="461" spans="11:13" x14ac:dyDescent="0.25">
      <c r="K461" s="26" t="s">
        <v>111</v>
      </c>
      <c r="L461" s="27" t="s">
        <v>119</v>
      </c>
      <c r="M461" s="10">
        <v>44.091710758377424</v>
      </c>
    </row>
    <row r="462" spans="11:13" x14ac:dyDescent="0.25">
      <c r="K462" s="26" t="s">
        <v>111</v>
      </c>
      <c r="L462" s="27" t="s">
        <v>115</v>
      </c>
      <c r="M462" s="10">
        <v>166.25</v>
      </c>
    </row>
    <row r="463" spans="11:13" x14ac:dyDescent="0.25">
      <c r="K463" s="26" t="s">
        <v>110</v>
      </c>
      <c r="L463" s="27" t="s">
        <v>116</v>
      </c>
      <c r="M463" s="10">
        <v>166.25</v>
      </c>
    </row>
    <row r="464" spans="11:13" x14ac:dyDescent="0.25">
      <c r="K464" s="26" t="s">
        <v>110</v>
      </c>
      <c r="L464" s="27" t="s">
        <v>117</v>
      </c>
      <c r="M464" s="10">
        <v>10.45494841519664</v>
      </c>
    </row>
    <row r="465" spans="11:13" x14ac:dyDescent="0.25">
      <c r="K465" s="26" t="s">
        <v>111</v>
      </c>
      <c r="L465" s="27" t="s">
        <v>118</v>
      </c>
      <c r="M465" s="10">
        <v>25.352733686067019</v>
      </c>
    </row>
    <row r="466" spans="11:13" x14ac:dyDescent="0.25">
      <c r="K466" s="26" t="s">
        <v>111</v>
      </c>
      <c r="L466" s="27" t="s">
        <v>119</v>
      </c>
      <c r="M466" s="10">
        <v>20</v>
      </c>
    </row>
    <row r="467" spans="11:13" x14ac:dyDescent="0.25">
      <c r="K467" s="26" t="s">
        <v>110</v>
      </c>
      <c r="L467" s="27" t="s">
        <v>115</v>
      </c>
      <c r="M467" s="10">
        <v>46.210720887245841</v>
      </c>
    </row>
    <row r="468" spans="11:13" x14ac:dyDescent="0.25">
      <c r="K468" s="26" t="s">
        <v>110</v>
      </c>
      <c r="L468" s="27" t="s">
        <v>116</v>
      </c>
      <c r="M468" s="10">
        <v>22.975000000000001</v>
      </c>
    </row>
    <row r="469" spans="11:13" x14ac:dyDescent="0.25">
      <c r="K469" s="26" t="s">
        <v>111</v>
      </c>
      <c r="L469" s="27" t="s">
        <v>117</v>
      </c>
      <c r="M469" s="10">
        <v>167.54850088183423</v>
      </c>
    </row>
    <row r="470" spans="11:13" x14ac:dyDescent="0.25">
      <c r="K470" s="26" t="s">
        <v>111</v>
      </c>
      <c r="L470" s="27" t="s">
        <v>118</v>
      </c>
      <c r="M470" s="10">
        <v>53.968392374158483</v>
      </c>
    </row>
    <row r="471" spans="11:13" x14ac:dyDescent="0.25">
      <c r="K471" s="26" t="s">
        <v>111</v>
      </c>
      <c r="L471" s="27" t="s">
        <v>119</v>
      </c>
      <c r="M471" s="10">
        <v>587.60515873015868</v>
      </c>
    </row>
    <row r="472" spans="11:13" x14ac:dyDescent="0.25">
      <c r="K472" s="26" t="s">
        <v>111</v>
      </c>
      <c r="L472" s="27" t="s">
        <v>115</v>
      </c>
      <c r="M472" s="10">
        <v>372.8518820270491</v>
      </c>
    </row>
    <row r="473" spans="11:13" x14ac:dyDescent="0.25">
      <c r="K473" s="26" t="s">
        <v>114</v>
      </c>
      <c r="L473" s="27" t="s">
        <v>116</v>
      </c>
      <c r="M473" s="10">
        <v>465.95361643545482</v>
      </c>
    </row>
    <row r="474" spans="11:13" x14ac:dyDescent="0.25">
      <c r="K474" s="26" t="s">
        <v>111</v>
      </c>
      <c r="L474" s="27" t="s">
        <v>117</v>
      </c>
      <c r="M474" s="10">
        <v>43.082385384350225</v>
      </c>
    </row>
    <row r="475" spans="11:13" x14ac:dyDescent="0.25">
      <c r="K475" s="26" t="s">
        <v>111</v>
      </c>
      <c r="L475" s="27" t="s">
        <v>118</v>
      </c>
      <c r="M475" s="10">
        <v>9.2421441774491679</v>
      </c>
    </row>
    <row r="476" spans="11:13" x14ac:dyDescent="0.25">
      <c r="K476" s="26" t="s">
        <v>111</v>
      </c>
      <c r="L476" s="27" t="s">
        <v>119</v>
      </c>
      <c r="M476" s="10">
        <v>100.74459413666463</v>
      </c>
    </row>
    <row r="477" spans="11:13" x14ac:dyDescent="0.25">
      <c r="K477" s="26" t="s">
        <v>111</v>
      </c>
      <c r="L477" s="27" t="s">
        <v>115</v>
      </c>
      <c r="M477" s="10">
        <v>50.828665500471672</v>
      </c>
    </row>
    <row r="478" spans="11:13" x14ac:dyDescent="0.25">
      <c r="K478" s="26" t="s">
        <v>112</v>
      </c>
      <c r="L478" s="27" t="s">
        <v>116</v>
      </c>
      <c r="M478" s="10">
        <v>105.89854918987609</v>
      </c>
    </row>
    <row r="479" spans="11:13" x14ac:dyDescent="0.25">
      <c r="K479" s="26" t="s">
        <v>111</v>
      </c>
      <c r="L479" s="27" t="s">
        <v>117</v>
      </c>
      <c r="M479" s="10">
        <v>91.585994669695125</v>
      </c>
    </row>
    <row r="480" spans="11:13" x14ac:dyDescent="0.25">
      <c r="K480" s="26" t="s">
        <v>111</v>
      </c>
      <c r="L480" s="27" t="s">
        <v>118</v>
      </c>
      <c r="M480" s="10">
        <v>77.017868145409736</v>
      </c>
    </row>
    <row r="481" spans="11:13" x14ac:dyDescent="0.25">
      <c r="K481" s="26" t="s">
        <v>110</v>
      </c>
      <c r="L481" s="27" t="s">
        <v>119</v>
      </c>
      <c r="M481" s="10">
        <v>206.40788662969811</v>
      </c>
    </row>
    <row r="482" spans="11:13" x14ac:dyDescent="0.25">
      <c r="K482" s="26" t="s">
        <v>110</v>
      </c>
      <c r="L482" s="27" t="s">
        <v>115</v>
      </c>
      <c r="M482" s="10">
        <v>220.45855379188714</v>
      </c>
    </row>
    <row r="483" spans="11:13" x14ac:dyDescent="0.25">
      <c r="K483" s="26" t="s">
        <v>110</v>
      </c>
      <c r="L483" s="27" t="s">
        <v>116</v>
      </c>
      <c r="M483" s="10">
        <v>22</v>
      </c>
    </row>
    <row r="484" spans="11:13" x14ac:dyDescent="0.25">
      <c r="K484" s="26" t="s">
        <v>109</v>
      </c>
      <c r="L484" s="27" t="s">
        <v>117</v>
      </c>
      <c r="M484" s="10">
        <v>202.99872804594455</v>
      </c>
    </row>
    <row r="485" spans="11:13" x14ac:dyDescent="0.25">
      <c r="K485" s="26" t="s">
        <v>109</v>
      </c>
      <c r="L485" s="27" t="s">
        <v>118</v>
      </c>
      <c r="M485" s="10">
        <v>220.45855379188714</v>
      </c>
    </row>
    <row r="486" spans="11:13" x14ac:dyDescent="0.25">
      <c r="K486" s="26" t="s">
        <v>109</v>
      </c>
      <c r="L486" s="27" t="s">
        <v>119</v>
      </c>
      <c r="M486" s="10">
        <v>33.06878306878307</v>
      </c>
    </row>
    <row r="487" spans="11:13" x14ac:dyDescent="0.25">
      <c r="K487" s="26" t="s">
        <v>111</v>
      </c>
      <c r="L487" s="27" t="s">
        <v>115</v>
      </c>
      <c r="M487" s="10">
        <v>20.042912389346419</v>
      </c>
    </row>
    <row r="488" spans="11:13" x14ac:dyDescent="0.25">
      <c r="K488" s="26" t="s">
        <v>111</v>
      </c>
      <c r="L488" s="27" t="s">
        <v>116</v>
      </c>
      <c r="M488" s="10">
        <v>661.37566137566137</v>
      </c>
    </row>
    <row r="489" spans="11:13" x14ac:dyDescent="0.25">
      <c r="K489" s="26" t="s">
        <v>110</v>
      </c>
      <c r="L489" s="27" t="s">
        <v>117</v>
      </c>
      <c r="M489" s="10">
        <v>88.183421516754848</v>
      </c>
    </row>
    <row r="490" spans="11:13" x14ac:dyDescent="0.25">
      <c r="K490" s="26" t="s">
        <v>110</v>
      </c>
      <c r="L490" s="27" t="s">
        <v>118</v>
      </c>
      <c r="M490" s="10">
        <v>129.64913702293168</v>
      </c>
    </row>
    <row r="491" spans="11:13" x14ac:dyDescent="0.25">
      <c r="K491" s="26" t="s">
        <v>110</v>
      </c>
      <c r="L491" s="27" t="s">
        <v>119</v>
      </c>
      <c r="M491" s="10">
        <v>579.76927683489407</v>
      </c>
    </row>
    <row r="492" spans="11:13" x14ac:dyDescent="0.25">
      <c r="K492" s="26" t="s">
        <v>111</v>
      </c>
      <c r="L492" s="27" t="s">
        <v>115</v>
      </c>
      <c r="M492" s="10">
        <v>18.04052028218695</v>
      </c>
    </row>
    <row r="493" spans="11:13" x14ac:dyDescent="0.25">
      <c r="K493" s="26" t="s">
        <v>111</v>
      </c>
      <c r="L493" s="27" t="s">
        <v>116</v>
      </c>
      <c r="M493" s="10">
        <v>107.82501540357363</v>
      </c>
    </row>
    <row r="494" spans="11:13" x14ac:dyDescent="0.25">
      <c r="K494" s="26" t="s">
        <v>111</v>
      </c>
      <c r="L494" s="27" t="s">
        <v>117</v>
      </c>
      <c r="M494" s="10">
        <v>1.747459303894235</v>
      </c>
    </row>
    <row r="495" spans="11:13" x14ac:dyDescent="0.25">
      <c r="K495" s="26" t="s">
        <v>111</v>
      </c>
      <c r="L495" s="27" t="s">
        <v>118</v>
      </c>
      <c r="M495" s="10">
        <v>64.110196268786581</v>
      </c>
    </row>
    <row r="496" spans="11:13" x14ac:dyDescent="0.25">
      <c r="K496" s="26" t="s">
        <v>111</v>
      </c>
      <c r="L496" s="27" t="s">
        <v>119</v>
      </c>
      <c r="M496" s="10">
        <v>5.9791446208112875</v>
      </c>
    </row>
    <row r="497" spans="11:13" x14ac:dyDescent="0.25">
      <c r="K497" s="26" t="s">
        <v>111</v>
      </c>
      <c r="L497" s="27" t="s">
        <v>115</v>
      </c>
      <c r="M497" s="10">
        <v>23</v>
      </c>
    </row>
    <row r="498" spans="11:13" x14ac:dyDescent="0.25">
      <c r="K498" s="26" t="s">
        <v>111</v>
      </c>
      <c r="L498" s="27" t="s">
        <v>116</v>
      </c>
      <c r="M498" s="10">
        <v>0</v>
      </c>
    </row>
    <row r="499" spans="11:13" x14ac:dyDescent="0.25">
      <c r="K499" s="26" t="s">
        <v>109</v>
      </c>
      <c r="L499" s="27" t="s">
        <v>117</v>
      </c>
      <c r="M499" s="10">
        <v>385.08934072704869</v>
      </c>
    </row>
    <row r="500" spans="11:13" x14ac:dyDescent="0.25">
      <c r="K500" s="26" t="s">
        <v>111</v>
      </c>
      <c r="L500" s="27" t="s">
        <v>118</v>
      </c>
      <c r="M500" s="10">
        <v>22.045855379188712</v>
      </c>
    </row>
    <row r="501" spans="11:13" x14ac:dyDescent="0.25">
      <c r="K501" s="26" t="s">
        <v>110</v>
      </c>
      <c r="L501" s="27" t="s">
        <v>119</v>
      </c>
      <c r="M501" s="10">
        <v>22.045855379188712</v>
      </c>
    </row>
    <row r="502" spans="11:13" x14ac:dyDescent="0.25">
      <c r="K502" s="26" t="s">
        <v>110</v>
      </c>
      <c r="L502" s="27" t="s">
        <v>115</v>
      </c>
      <c r="M502" s="10">
        <v>50</v>
      </c>
    </row>
    <row r="503" spans="11:13" x14ac:dyDescent="0.25">
      <c r="K503" s="26" t="s">
        <v>110</v>
      </c>
      <c r="L503" s="27" t="s">
        <v>116</v>
      </c>
      <c r="M503" s="10">
        <v>66.137566137566139</v>
      </c>
    </row>
    <row r="504" spans="11:13" x14ac:dyDescent="0.25">
      <c r="K504" s="26" t="s">
        <v>110</v>
      </c>
      <c r="L504" s="27" t="s">
        <v>117</v>
      </c>
      <c r="M504" s="10">
        <v>220</v>
      </c>
    </row>
    <row r="505" spans="11:13" x14ac:dyDescent="0.25">
      <c r="K505" s="26" t="s">
        <v>110</v>
      </c>
      <c r="L505" s="27" t="s">
        <v>118</v>
      </c>
      <c r="M505" s="10">
        <v>0.5</v>
      </c>
    </row>
    <row r="506" spans="11:13" x14ac:dyDescent="0.25">
      <c r="K506" s="26" t="s">
        <v>110</v>
      </c>
      <c r="L506" s="27" t="s">
        <v>119</v>
      </c>
      <c r="M506" s="10">
        <v>6.8941744226128918</v>
      </c>
    </row>
    <row r="507" spans="11:13" x14ac:dyDescent="0.25">
      <c r="K507" s="26" t="s">
        <v>113</v>
      </c>
      <c r="L507" s="27" t="s">
        <v>115</v>
      </c>
      <c r="M507" s="10">
        <v>154.17624914881864</v>
      </c>
    </row>
    <row r="508" spans="11:13" x14ac:dyDescent="0.25">
      <c r="K508" s="26" t="s">
        <v>113</v>
      </c>
      <c r="L508" s="27" t="s">
        <v>116</v>
      </c>
      <c r="M508" s="10">
        <v>457.92997334847558</v>
      </c>
    </row>
    <row r="509" spans="11:13" x14ac:dyDescent="0.25">
      <c r="K509" s="26" t="s">
        <v>113</v>
      </c>
      <c r="L509" s="27" t="s">
        <v>117</v>
      </c>
      <c r="M509" s="10">
        <v>32.05509813439329</v>
      </c>
    </row>
    <row r="510" spans="11:13" x14ac:dyDescent="0.25">
      <c r="K510" s="26" t="s">
        <v>113</v>
      </c>
      <c r="L510" s="27" t="s">
        <v>118</v>
      </c>
      <c r="M510" s="10">
        <v>27.475798400908538</v>
      </c>
    </row>
    <row r="511" spans="11:13" x14ac:dyDescent="0.25">
      <c r="K511" s="26" t="s">
        <v>113</v>
      </c>
      <c r="L511" s="27" t="s">
        <v>119</v>
      </c>
      <c r="M511" s="10">
        <v>1.2322858903265557</v>
      </c>
    </row>
    <row r="512" spans="11:13" x14ac:dyDescent="0.25">
      <c r="K512" s="26" t="s">
        <v>110</v>
      </c>
      <c r="L512" s="27" t="s">
        <v>115</v>
      </c>
      <c r="M512" s="10">
        <v>230.75045289273189</v>
      </c>
    </row>
    <row r="513" spans="11:13" x14ac:dyDescent="0.25">
      <c r="K513" s="26" t="s">
        <v>110</v>
      </c>
      <c r="L513" s="27" t="s">
        <v>116</v>
      </c>
      <c r="M513" s="10">
        <v>21.615289199246568</v>
      </c>
    </row>
    <row r="514" spans="11:13" x14ac:dyDescent="0.25">
      <c r="K514" s="26" t="s">
        <v>110</v>
      </c>
      <c r="L514" s="27" t="s">
        <v>117</v>
      </c>
      <c r="M514" s="10">
        <v>12.423197960215004</v>
      </c>
    </row>
    <row r="515" spans="11:13" x14ac:dyDescent="0.25">
      <c r="K515" s="26" t="s">
        <v>110</v>
      </c>
      <c r="L515" s="27" t="s">
        <v>118</v>
      </c>
      <c r="M515" s="10">
        <v>1911.6761904761906</v>
      </c>
    </row>
    <row r="516" spans="11:13" x14ac:dyDescent="0.25">
      <c r="K516" s="26" t="s">
        <v>110</v>
      </c>
      <c r="L516" s="27" t="s">
        <v>119</v>
      </c>
      <c r="M516" s="10">
        <v>503.06172839506172</v>
      </c>
    </row>
    <row r="517" spans="11:13" x14ac:dyDescent="0.25">
      <c r="K517" s="26" t="s">
        <v>110</v>
      </c>
      <c r="L517" s="27" t="s">
        <v>115</v>
      </c>
      <c r="M517" s="10">
        <v>36.584889146271642</v>
      </c>
    </row>
    <row r="518" spans="11:13" x14ac:dyDescent="0.25">
      <c r="K518" s="26" t="s">
        <v>112</v>
      </c>
      <c r="L518" s="27" t="s">
        <v>116</v>
      </c>
      <c r="M518" s="10">
        <v>50</v>
      </c>
    </row>
    <row r="519" spans="11:13" x14ac:dyDescent="0.25">
      <c r="K519" s="26" t="s">
        <v>111</v>
      </c>
      <c r="L519" s="27" t="s">
        <v>117</v>
      </c>
      <c r="M519" s="10">
        <v>370.64492216456637</v>
      </c>
    </row>
    <row r="520" spans="11:13" x14ac:dyDescent="0.25">
      <c r="K520" s="26" t="s">
        <v>111</v>
      </c>
      <c r="L520" s="27" t="s">
        <v>118</v>
      </c>
      <c r="M520" s="10">
        <v>155.45092364475624</v>
      </c>
    </row>
    <row r="521" spans="11:13" x14ac:dyDescent="0.25">
      <c r="K521" s="26" t="s">
        <v>111</v>
      </c>
      <c r="L521" s="27" t="s">
        <v>119</v>
      </c>
      <c r="M521" s="10">
        <v>11.855158730158729</v>
      </c>
    </row>
    <row r="522" spans="11:13" x14ac:dyDescent="0.25">
      <c r="K522" s="26" t="s">
        <v>111</v>
      </c>
      <c r="L522" s="27" t="s">
        <v>115</v>
      </c>
      <c r="M522" s="10">
        <v>27.268240357469544</v>
      </c>
    </row>
    <row r="523" spans="11:13" x14ac:dyDescent="0.25">
      <c r="K523" s="26" t="s">
        <v>111</v>
      </c>
      <c r="L523" s="27" t="s">
        <v>116</v>
      </c>
      <c r="M523" s="10">
        <v>55.114638447971785</v>
      </c>
    </row>
    <row r="524" spans="11:13" x14ac:dyDescent="0.25">
      <c r="K524" s="26" t="s">
        <v>112</v>
      </c>
      <c r="L524" s="27" t="s">
        <v>117</v>
      </c>
      <c r="M524" s="10">
        <v>291.78225308641976</v>
      </c>
    </row>
    <row r="525" spans="11:13" x14ac:dyDescent="0.25">
      <c r="K525" s="26" t="s">
        <v>111</v>
      </c>
      <c r="L525" s="27" t="s">
        <v>118</v>
      </c>
      <c r="M525" s="10">
        <v>186.28747795414461</v>
      </c>
    </row>
    <row r="526" spans="11:13" x14ac:dyDescent="0.25">
      <c r="K526" s="26" t="s">
        <v>111</v>
      </c>
      <c r="L526" s="27" t="s">
        <v>119</v>
      </c>
      <c r="M526" s="10">
        <v>57.816093430806987</v>
      </c>
    </row>
    <row r="527" spans="11:13" x14ac:dyDescent="0.25">
      <c r="K527" s="26" t="s">
        <v>111</v>
      </c>
      <c r="L527" s="27" t="s">
        <v>115</v>
      </c>
      <c r="M527" s="10">
        <v>52.949274594938046</v>
      </c>
    </row>
    <row r="528" spans="11:13" x14ac:dyDescent="0.25">
      <c r="K528" s="26" t="s">
        <v>111</v>
      </c>
      <c r="L528" s="27" t="s">
        <v>116</v>
      </c>
      <c r="M528" s="10">
        <v>366.3439786787805</v>
      </c>
    </row>
    <row r="529" spans="11:13" x14ac:dyDescent="0.25">
      <c r="K529" s="26" t="s">
        <v>111</v>
      </c>
      <c r="L529" s="27" t="s">
        <v>117</v>
      </c>
      <c r="M529" s="10">
        <v>2.2970551752653098E-2</v>
      </c>
    </row>
    <row r="530" spans="11:13" x14ac:dyDescent="0.25">
      <c r="K530" s="26" t="s">
        <v>110</v>
      </c>
      <c r="L530" s="27" t="s">
        <v>118</v>
      </c>
      <c r="M530" s="10">
        <v>180.02753362278938</v>
      </c>
    </row>
    <row r="531" spans="11:13" x14ac:dyDescent="0.25">
      <c r="K531" s="26" t="s">
        <v>110</v>
      </c>
      <c r="L531" s="27" t="s">
        <v>119</v>
      </c>
      <c r="M531" s="10">
        <v>52.949274594938046</v>
      </c>
    </row>
    <row r="532" spans="11:13" x14ac:dyDescent="0.25">
      <c r="K532" s="26" t="s">
        <v>110</v>
      </c>
      <c r="L532" s="27" t="s">
        <v>115</v>
      </c>
      <c r="M532" s="10">
        <v>52.949274594938046</v>
      </c>
    </row>
    <row r="533" spans="11:13" x14ac:dyDescent="0.25">
      <c r="K533" s="26" t="s">
        <v>110</v>
      </c>
      <c r="L533" s="27" t="s">
        <v>116</v>
      </c>
      <c r="M533" s="10">
        <v>52.949274594938046</v>
      </c>
    </row>
    <row r="534" spans="11:13" x14ac:dyDescent="0.25">
      <c r="K534" s="26" t="s">
        <v>111</v>
      </c>
      <c r="L534" s="27" t="s">
        <v>117</v>
      </c>
      <c r="M534" s="10">
        <v>551.14638447971777</v>
      </c>
    </row>
    <row r="535" spans="11:13" x14ac:dyDescent="0.25">
      <c r="K535" s="26" t="s">
        <v>111</v>
      </c>
      <c r="L535" s="27" t="s">
        <v>118</v>
      </c>
      <c r="M535" s="10">
        <v>52.949274594938046</v>
      </c>
    </row>
    <row r="536" spans="11:13" x14ac:dyDescent="0.25">
      <c r="K536" s="26" t="s">
        <v>111</v>
      </c>
      <c r="L536" s="27" t="s">
        <v>119</v>
      </c>
      <c r="M536" s="10">
        <v>52.949274594938046</v>
      </c>
    </row>
    <row r="537" spans="11:13" x14ac:dyDescent="0.25">
      <c r="K537" s="26" t="s">
        <v>111</v>
      </c>
      <c r="L537" s="27" t="s">
        <v>115</v>
      </c>
      <c r="M537" s="10">
        <v>0.58499999999999996</v>
      </c>
    </row>
    <row r="538" spans="11:13" x14ac:dyDescent="0.25">
      <c r="K538" s="26" t="s">
        <v>111</v>
      </c>
      <c r="L538" s="27" t="s">
        <v>116</v>
      </c>
      <c r="M538" s="10">
        <v>52.949274594938046</v>
      </c>
    </row>
    <row r="539" spans="11:13" x14ac:dyDescent="0.25">
      <c r="K539" s="26" t="s">
        <v>111</v>
      </c>
      <c r="L539" s="27" t="s">
        <v>117</v>
      </c>
      <c r="M539" s="10">
        <v>52.949274594938046</v>
      </c>
    </row>
    <row r="540" spans="11:13" x14ac:dyDescent="0.25">
      <c r="K540" s="26" t="s">
        <v>113</v>
      </c>
      <c r="L540" s="27" t="s">
        <v>118</v>
      </c>
      <c r="M540" s="10">
        <v>52.949274594938046</v>
      </c>
    </row>
    <row r="541" spans="11:13" x14ac:dyDescent="0.25">
      <c r="K541" s="26" t="s">
        <v>110</v>
      </c>
      <c r="L541" s="27" t="s">
        <v>119</v>
      </c>
      <c r="M541" s="10">
        <v>52.949274594938046</v>
      </c>
    </row>
    <row r="542" spans="11:13" x14ac:dyDescent="0.25">
      <c r="K542" s="26" t="s">
        <v>110</v>
      </c>
      <c r="L542" s="27" t="s">
        <v>115</v>
      </c>
      <c r="M542" s="10">
        <v>52.949274594938046</v>
      </c>
    </row>
    <row r="543" spans="11:13" x14ac:dyDescent="0.25">
      <c r="K543" s="26" t="s">
        <v>110</v>
      </c>
      <c r="L543" s="27" t="s">
        <v>116</v>
      </c>
      <c r="M543" s="10">
        <v>52.949274594938046</v>
      </c>
    </row>
    <row r="544" spans="11:13" x14ac:dyDescent="0.25">
      <c r="K544" s="26" t="s">
        <v>110</v>
      </c>
      <c r="L544" s="27" t="s">
        <v>117</v>
      </c>
      <c r="M544" s="10">
        <v>52.949274594938046</v>
      </c>
    </row>
    <row r="545" spans="11:13" x14ac:dyDescent="0.25">
      <c r="K545" s="26" t="s">
        <v>111</v>
      </c>
      <c r="L545" s="27" t="s">
        <v>118</v>
      </c>
      <c r="M545" s="10">
        <v>1.1375</v>
      </c>
    </row>
    <row r="546" spans="11:13" x14ac:dyDescent="0.25">
      <c r="K546" s="26" t="s">
        <v>111</v>
      </c>
      <c r="L546" s="27" t="s">
        <v>119</v>
      </c>
      <c r="M546" s="10">
        <v>5.2</v>
      </c>
    </row>
    <row r="547" spans="11:13" x14ac:dyDescent="0.25">
      <c r="K547" s="26" t="s">
        <v>111</v>
      </c>
      <c r="L547" s="27" t="s">
        <v>115</v>
      </c>
      <c r="M547" s="10">
        <v>5.2</v>
      </c>
    </row>
    <row r="548" spans="11:13" x14ac:dyDescent="0.25">
      <c r="K548" s="26" t="s">
        <v>111</v>
      </c>
      <c r="L548" s="27" t="s">
        <v>116</v>
      </c>
      <c r="M548" s="10">
        <v>154.03573629081947</v>
      </c>
    </row>
    <row r="549" spans="11:13" x14ac:dyDescent="0.25">
      <c r="K549" s="26" t="s">
        <v>111</v>
      </c>
      <c r="L549" s="27" t="s">
        <v>117</v>
      </c>
      <c r="M549" s="10">
        <v>154.03573629081947</v>
      </c>
    </row>
    <row r="550" spans="11:13" x14ac:dyDescent="0.25">
      <c r="K550" s="26" t="s">
        <v>113</v>
      </c>
      <c r="L550" s="27" t="s">
        <v>118</v>
      </c>
      <c r="M550" s="10">
        <v>411.13666439684971</v>
      </c>
    </row>
    <row r="551" spans="11:13" x14ac:dyDescent="0.25">
      <c r="K551" s="26" t="s">
        <v>113</v>
      </c>
      <c r="L551" s="27" t="s">
        <v>119</v>
      </c>
      <c r="M551" s="10">
        <v>6.6137566137566139</v>
      </c>
    </row>
    <row r="552" spans="11:13" x14ac:dyDescent="0.25">
      <c r="K552" s="26" t="s">
        <v>113</v>
      </c>
      <c r="L552" s="27" t="s">
        <v>115</v>
      </c>
      <c r="M552" s="10">
        <v>55.114638447971785</v>
      </c>
    </row>
    <row r="553" spans="11:13" x14ac:dyDescent="0.25">
      <c r="K553" s="26" t="s">
        <v>113</v>
      </c>
      <c r="L553" s="27" t="s">
        <v>116</v>
      </c>
      <c r="M553" s="10">
        <v>20.682523267838675</v>
      </c>
    </row>
    <row r="554" spans="11:13" x14ac:dyDescent="0.25">
      <c r="K554" s="26" t="s">
        <v>113</v>
      </c>
      <c r="L554" s="27" t="s">
        <v>117</v>
      </c>
      <c r="M554" s="10">
        <v>151.19999999999999</v>
      </c>
    </row>
    <row r="555" spans="11:13" x14ac:dyDescent="0.25">
      <c r="K555" s="26" t="s">
        <v>113</v>
      </c>
      <c r="L555" s="27" t="s">
        <v>118</v>
      </c>
      <c r="M555" s="10">
        <v>30</v>
      </c>
    </row>
    <row r="556" spans="11:13" x14ac:dyDescent="0.25">
      <c r="K556" s="26" t="s">
        <v>110</v>
      </c>
      <c r="L556" s="27" t="s">
        <v>119</v>
      </c>
      <c r="M556" s="10">
        <v>500</v>
      </c>
    </row>
    <row r="557" spans="11:13" x14ac:dyDescent="0.25">
      <c r="K557" s="26" t="s">
        <v>110</v>
      </c>
      <c r="L557" s="27" t="s">
        <v>115</v>
      </c>
      <c r="M557" s="10">
        <v>5.6875</v>
      </c>
    </row>
    <row r="558" spans="11:13" x14ac:dyDescent="0.25">
      <c r="K558" s="26" t="s">
        <v>110</v>
      </c>
      <c r="L558" s="27" t="s">
        <v>116</v>
      </c>
      <c r="M558" s="10">
        <v>325.89212970506765</v>
      </c>
    </row>
    <row r="559" spans="11:13" x14ac:dyDescent="0.25">
      <c r="K559" s="26" t="s">
        <v>110</v>
      </c>
      <c r="L559" s="27" t="s">
        <v>117</v>
      </c>
      <c r="M559" s="10">
        <v>3.7538062261508616</v>
      </c>
    </row>
    <row r="560" spans="11:13" x14ac:dyDescent="0.25">
      <c r="K560" s="26" t="s">
        <v>111</v>
      </c>
      <c r="L560" s="27" t="s">
        <v>118</v>
      </c>
      <c r="M560" s="10">
        <v>66.137566137566139</v>
      </c>
    </row>
    <row r="561" spans="11:13" x14ac:dyDescent="0.25">
      <c r="K561" s="26" t="s">
        <v>110</v>
      </c>
      <c r="L561" s="27" t="s">
        <v>119</v>
      </c>
      <c r="M561" s="10">
        <v>44.091710758377424</v>
      </c>
    </row>
    <row r="562" spans="11:13" x14ac:dyDescent="0.25">
      <c r="K562" s="26" t="s">
        <v>111</v>
      </c>
      <c r="L562" s="27" t="s">
        <v>115</v>
      </c>
      <c r="M562" s="10">
        <v>33.960297979033548</v>
      </c>
    </row>
    <row r="563" spans="11:13" x14ac:dyDescent="0.25">
      <c r="K563" s="26" t="s">
        <v>113</v>
      </c>
      <c r="L563" s="27" t="s">
        <v>116</v>
      </c>
      <c r="M563" s="10">
        <v>2.2749999999999999</v>
      </c>
    </row>
    <row r="564" spans="11:13" x14ac:dyDescent="0.25">
      <c r="K564" s="26" t="s">
        <v>113</v>
      </c>
      <c r="L564" s="27" t="s">
        <v>117</v>
      </c>
      <c r="M564" s="10">
        <v>52.949274594938046</v>
      </c>
    </row>
    <row r="565" spans="11:13" x14ac:dyDescent="0.25">
      <c r="K565" s="26" t="s">
        <v>113</v>
      </c>
      <c r="L565" s="27" t="s">
        <v>118</v>
      </c>
      <c r="M565" s="10">
        <v>360.93721036336979</v>
      </c>
    </row>
    <row r="566" spans="11:13" x14ac:dyDescent="0.25">
      <c r="K566" s="26" t="s">
        <v>109</v>
      </c>
      <c r="L566" s="27" t="s">
        <v>119</v>
      </c>
      <c r="M566" s="10">
        <v>10.341261633919338</v>
      </c>
    </row>
    <row r="567" spans="11:13" x14ac:dyDescent="0.25">
      <c r="K567" s="26" t="s">
        <v>109</v>
      </c>
      <c r="L567" s="27" t="s">
        <v>115</v>
      </c>
      <c r="M567" s="10">
        <v>66.137566137566139</v>
      </c>
    </row>
    <row r="568" spans="11:13" x14ac:dyDescent="0.25">
      <c r="K568" s="26" t="s">
        <v>110</v>
      </c>
      <c r="L568" s="27" t="s">
        <v>116</v>
      </c>
      <c r="M568" s="10">
        <v>264.55026455026456</v>
      </c>
    </row>
    <row r="569" spans="11:13" x14ac:dyDescent="0.25">
      <c r="K569" s="26" t="s">
        <v>109</v>
      </c>
      <c r="L569" s="27" t="s">
        <v>117</v>
      </c>
      <c r="M569" s="10">
        <v>110.22927689594357</v>
      </c>
    </row>
    <row r="570" spans="11:13" x14ac:dyDescent="0.25">
      <c r="K570" s="26" t="s">
        <v>109</v>
      </c>
      <c r="L570" s="27" t="s">
        <v>118</v>
      </c>
      <c r="M570" s="10">
        <v>6.4721904590597825</v>
      </c>
    </row>
    <row r="571" spans="11:13" x14ac:dyDescent="0.25">
      <c r="K571" s="26" t="s">
        <v>110</v>
      </c>
      <c r="L571" s="27" t="s">
        <v>119</v>
      </c>
      <c r="M571" s="10">
        <v>66.137566137566139</v>
      </c>
    </row>
    <row r="572" spans="11:13" x14ac:dyDescent="0.25">
      <c r="K572" s="26" t="s">
        <v>109</v>
      </c>
      <c r="L572" s="27" t="s">
        <v>115</v>
      </c>
      <c r="M572" s="10">
        <v>22.045855379188712</v>
      </c>
    </row>
    <row r="573" spans="11:13" x14ac:dyDescent="0.25">
      <c r="K573" s="26" t="s">
        <v>109</v>
      </c>
      <c r="L573" s="27" t="s">
        <v>116</v>
      </c>
      <c r="M573" s="10">
        <v>110.22927689594357</v>
      </c>
    </row>
    <row r="574" spans="11:13" x14ac:dyDescent="0.25">
      <c r="K574" s="26" t="s">
        <v>110</v>
      </c>
      <c r="L574" s="27" t="s">
        <v>117</v>
      </c>
      <c r="M574" s="10">
        <v>66.137566137566139</v>
      </c>
    </row>
    <row r="575" spans="11:13" x14ac:dyDescent="0.25">
      <c r="K575" s="26" t="s">
        <v>110</v>
      </c>
      <c r="L575" s="27" t="s">
        <v>118</v>
      </c>
      <c r="M575" s="10">
        <v>66.137566137566139</v>
      </c>
    </row>
    <row r="576" spans="11:13" x14ac:dyDescent="0.25">
      <c r="K576" s="26" t="s">
        <v>110</v>
      </c>
      <c r="L576" s="27" t="s">
        <v>119</v>
      </c>
      <c r="M576" s="10">
        <v>264.55026455026456</v>
      </c>
    </row>
    <row r="577" spans="11:13" x14ac:dyDescent="0.25">
      <c r="K577" s="26" t="s">
        <v>110</v>
      </c>
      <c r="L577" s="27" t="s">
        <v>115</v>
      </c>
      <c r="M577" s="10">
        <v>91.585994669695125</v>
      </c>
    </row>
    <row r="578" spans="11:13" x14ac:dyDescent="0.25">
      <c r="K578" s="26" t="s">
        <v>110</v>
      </c>
      <c r="L578" s="27" t="s">
        <v>116</v>
      </c>
      <c r="M578" s="10">
        <v>18.317198933939025</v>
      </c>
    </row>
    <row r="579" spans="11:13" x14ac:dyDescent="0.25">
      <c r="K579" s="26" t="s">
        <v>110</v>
      </c>
      <c r="L579" s="27" t="s">
        <v>117</v>
      </c>
      <c r="M579" s="10">
        <v>137.37899200454268</v>
      </c>
    </row>
    <row r="580" spans="11:13" x14ac:dyDescent="0.25">
      <c r="K580" s="26" t="s">
        <v>111</v>
      </c>
      <c r="L580" s="27" t="s">
        <v>118</v>
      </c>
      <c r="M580" s="10">
        <v>46.210720887245841</v>
      </c>
    </row>
    <row r="581" spans="11:13" x14ac:dyDescent="0.25">
      <c r="K581" s="26" t="s">
        <v>111</v>
      </c>
      <c r="L581" s="27" t="s">
        <v>119</v>
      </c>
      <c r="M581" s="10">
        <v>385.08934072704869</v>
      </c>
    </row>
    <row r="582" spans="11:13" x14ac:dyDescent="0.25">
      <c r="K582" s="26" t="s">
        <v>109</v>
      </c>
      <c r="L582" s="27" t="s">
        <v>115</v>
      </c>
      <c r="M582" s="10">
        <v>81.030710639332298</v>
      </c>
    </row>
    <row r="583" spans="11:13" x14ac:dyDescent="0.25">
      <c r="K583" s="26" t="s">
        <v>110</v>
      </c>
      <c r="L583" s="27" t="s">
        <v>116</v>
      </c>
      <c r="M583" s="10">
        <v>19.841269841269842</v>
      </c>
    </row>
    <row r="584" spans="11:13" x14ac:dyDescent="0.25">
      <c r="K584" s="26" t="s">
        <v>110</v>
      </c>
      <c r="L584" s="27" t="s">
        <v>117</v>
      </c>
      <c r="M584" s="10">
        <v>32.05509813439329</v>
      </c>
    </row>
    <row r="585" spans="11:13" x14ac:dyDescent="0.25">
      <c r="K585" s="26" t="s">
        <v>111</v>
      </c>
      <c r="L585" s="27" t="s">
        <v>118</v>
      </c>
      <c r="M585" s="10">
        <v>732.687957357561</v>
      </c>
    </row>
    <row r="586" spans="11:13" x14ac:dyDescent="0.25">
      <c r="K586" s="26" t="s">
        <v>113</v>
      </c>
      <c r="L586" s="27" t="s">
        <v>119</v>
      </c>
      <c r="M586" s="10">
        <v>344.70872113064462</v>
      </c>
    </row>
    <row r="587" spans="11:13" x14ac:dyDescent="0.25">
      <c r="K587" s="26" t="s">
        <v>113</v>
      </c>
      <c r="L587" s="27" t="s">
        <v>115</v>
      </c>
      <c r="M587" s="10">
        <v>517.06308169596684</v>
      </c>
    </row>
    <row r="588" spans="11:13" x14ac:dyDescent="0.25">
      <c r="K588" s="26" t="s">
        <v>113</v>
      </c>
      <c r="L588" s="27" t="s">
        <v>116</v>
      </c>
      <c r="M588" s="10">
        <v>60</v>
      </c>
    </row>
    <row r="589" spans="11:13" x14ac:dyDescent="0.25">
      <c r="K589" s="26" t="s">
        <v>113</v>
      </c>
      <c r="L589" s="27" t="s">
        <v>117</v>
      </c>
      <c r="M589" s="10">
        <v>32.850293002412961</v>
      </c>
    </row>
    <row r="590" spans="11:13" x14ac:dyDescent="0.25">
      <c r="K590" s="26" t="s">
        <v>113</v>
      </c>
      <c r="L590" s="27" t="s">
        <v>118</v>
      </c>
      <c r="M590" s="10">
        <v>661.37566137566137</v>
      </c>
    </row>
    <row r="591" spans="11:13" x14ac:dyDescent="0.25">
      <c r="K591" s="26" t="s">
        <v>109</v>
      </c>
      <c r="L591" s="27" t="s">
        <v>119</v>
      </c>
      <c r="M591" s="10">
        <v>44.091710758377424</v>
      </c>
    </row>
    <row r="592" spans="11:13" x14ac:dyDescent="0.25">
      <c r="K592" s="26" t="s">
        <v>109</v>
      </c>
      <c r="L592" s="27" t="s">
        <v>115</v>
      </c>
      <c r="M592" s="10">
        <v>6.6137566137566139</v>
      </c>
    </row>
    <row r="593" spans="11:13" x14ac:dyDescent="0.25">
      <c r="K593" s="26" t="s">
        <v>110</v>
      </c>
      <c r="L593" s="27" t="s">
        <v>116</v>
      </c>
      <c r="M593" s="10">
        <v>98.118455271305194</v>
      </c>
    </row>
    <row r="594" spans="11:13" x14ac:dyDescent="0.25">
      <c r="K594" s="26" t="s">
        <v>110</v>
      </c>
      <c r="L594" s="27" t="s">
        <v>117</v>
      </c>
      <c r="M594" s="10">
        <v>90</v>
      </c>
    </row>
    <row r="595" spans="11:13" x14ac:dyDescent="0.25">
      <c r="K595" s="26" t="s">
        <v>110</v>
      </c>
      <c r="L595" s="27" t="s">
        <v>118</v>
      </c>
      <c r="M595" s="10">
        <v>300</v>
      </c>
    </row>
    <row r="596" spans="11:13" x14ac:dyDescent="0.25">
      <c r="K596" s="26" t="s">
        <v>110</v>
      </c>
      <c r="L596" s="27" t="s">
        <v>119</v>
      </c>
      <c r="M596" s="10">
        <v>607.73032979499237</v>
      </c>
    </row>
    <row r="597" spans="11:13" x14ac:dyDescent="0.25">
      <c r="K597" s="26" t="s">
        <v>110</v>
      </c>
      <c r="L597" s="27" t="s">
        <v>115</v>
      </c>
      <c r="M597" s="10">
        <v>587.60515873015868</v>
      </c>
    </row>
    <row r="598" spans="11:13" x14ac:dyDescent="0.25">
      <c r="K598" s="26" t="s">
        <v>109</v>
      </c>
      <c r="L598" s="27" t="s">
        <v>116</v>
      </c>
      <c r="M598" s="10">
        <v>102.73808976891625</v>
      </c>
    </row>
    <row r="599" spans="11:13" x14ac:dyDescent="0.25">
      <c r="K599" s="26" t="s">
        <v>109</v>
      </c>
      <c r="L599" s="27" t="s">
        <v>117</v>
      </c>
      <c r="M599" s="10">
        <v>44.091710758377424</v>
      </c>
    </row>
    <row r="600" spans="11:13" x14ac:dyDescent="0.25">
      <c r="K600" s="26" t="s">
        <v>111</v>
      </c>
      <c r="L600" s="27" t="s">
        <v>118</v>
      </c>
      <c r="M600" s="10">
        <v>21.179709837975221</v>
      </c>
    </row>
    <row r="601" spans="11:13" x14ac:dyDescent="0.25">
      <c r="K601" s="26" t="s">
        <v>113</v>
      </c>
      <c r="L601" s="27" t="s">
        <v>119</v>
      </c>
      <c r="M601" s="10">
        <v>31.769564756962826</v>
      </c>
    </row>
    <row r="602" spans="11:13" x14ac:dyDescent="0.25">
      <c r="K602" s="26" t="s">
        <v>113</v>
      </c>
      <c r="L602" s="27" t="s">
        <v>115</v>
      </c>
      <c r="M602" s="10">
        <v>44.091710758377424</v>
      </c>
    </row>
    <row r="603" spans="11:13" x14ac:dyDescent="0.25">
      <c r="K603" s="26" t="s">
        <v>113</v>
      </c>
      <c r="L603" s="27" t="s">
        <v>116</v>
      </c>
      <c r="M603" s="10">
        <v>48.883819455760147</v>
      </c>
    </row>
    <row r="604" spans="11:13" x14ac:dyDescent="0.25">
      <c r="K604" s="26" t="s">
        <v>113</v>
      </c>
      <c r="L604" s="27" t="s">
        <v>117</v>
      </c>
      <c r="M604" s="10">
        <v>105.89854918987609</v>
      </c>
    </row>
    <row r="605" spans="11:13" x14ac:dyDescent="0.25">
      <c r="K605" s="26" t="s">
        <v>113</v>
      </c>
      <c r="L605" s="27" t="s">
        <v>118</v>
      </c>
      <c r="M605" s="10">
        <v>391.73686067019401</v>
      </c>
    </row>
    <row r="606" spans="11:13" x14ac:dyDescent="0.25">
      <c r="K606" s="26" t="s">
        <v>109</v>
      </c>
      <c r="L606" s="27" t="s">
        <v>119</v>
      </c>
      <c r="M606" s="10">
        <v>11.485275876326551</v>
      </c>
    </row>
    <row r="607" spans="11:13" x14ac:dyDescent="0.25">
      <c r="K607" s="26" t="s">
        <v>109</v>
      </c>
      <c r="L607" s="27" t="s">
        <v>115</v>
      </c>
      <c r="M607" s="10">
        <v>12.848020762401553</v>
      </c>
    </row>
    <row r="608" spans="11:13" x14ac:dyDescent="0.25">
      <c r="K608" s="26" t="s">
        <v>110</v>
      </c>
      <c r="L608" s="27" t="s">
        <v>116</v>
      </c>
      <c r="M608" s="10">
        <v>66.137566137566139</v>
      </c>
    </row>
    <row r="609" spans="11:13" x14ac:dyDescent="0.25">
      <c r="K609" s="26" t="s">
        <v>110</v>
      </c>
      <c r="L609" s="27" t="s">
        <v>117</v>
      </c>
      <c r="M609" s="10">
        <v>462.96296296296299</v>
      </c>
    </row>
    <row r="610" spans="11:13" x14ac:dyDescent="0.25">
      <c r="K610" s="26" t="s">
        <v>110</v>
      </c>
      <c r="L610" s="27" t="s">
        <v>118</v>
      </c>
      <c r="M610" s="10">
        <v>18.738977072310405</v>
      </c>
    </row>
    <row r="611" spans="11:13" x14ac:dyDescent="0.25">
      <c r="K611" s="26" t="s">
        <v>110</v>
      </c>
      <c r="L611" s="27" t="s">
        <v>119</v>
      </c>
      <c r="M611" s="10">
        <v>89.340727048675291</v>
      </c>
    </row>
    <row r="612" spans="11:13" x14ac:dyDescent="0.25">
      <c r="K612" s="26" t="s">
        <v>110</v>
      </c>
      <c r="L612" s="27" t="s">
        <v>115</v>
      </c>
      <c r="M612" s="10">
        <v>34.470872113064452</v>
      </c>
    </row>
    <row r="613" spans="11:13" x14ac:dyDescent="0.25">
      <c r="K613" s="26" t="s">
        <v>111</v>
      </c>
      <c r="L613" s="27" t="s">
        <v>116</v>
      </c>
      <c r="M613" s="10">
        <v>18.958979662185452</v>
      </c>
    </row>
    <row r="614" spans="11:13" x14ac:dyDescent="0.25">
      <c r="K614" s="26" t="s">
        <v>109</v>
      </c>
      <c r="L614" s="27" t="s">
        <v>117</v>
      </c>
      <c r="M614" s="10">
        <v>3.4470872113064459</v>
      </c>
    </row>
    <row r="615" spans="11:13" x14ac:dyDescent="0.25">
      <c r="K615" s="26" t="s">
        <v>113</v>
      </c>
      <c r="L615" s="27" t="s">
        <v>118</v>
      </c>
      <c r="M615" s="10">
        <v>9.6518441916580482</v>
      </c>
    </row>
    <row r="616" spans="11:13" x14ac:dyDescent="0.25">
      <c r="K616" s="26" t="s">
        <v>113</v>
      </c>
      <c r="L616" s="27" t="s">
        <v>119</v>
      </c>
      <c r="M616" s="10">
        <v>329.04045223319753</v>
      </c>
    </row>
    <row r="617" spans="11:13" x14ac:dyDescent="0.25">
      <c r="K617" s="26" t="s">
        <v>113</v>
      </c>
      <c r="L617" s="27" t="s">
        <v>115</v>
      </c>
      <c r="M617" s="10">
        <v>34.470872113064452</v>
      </c>
    </row>
    <row r="618" spans="11:13" x14ac:dyDescent="0.25">
      <c r="K618" s="26" t="s">
        <v>113</v>
      </c>
      <c r="L618" s="27" t="s">
        <v>116</v>
      </c>
      <c r="M618" s="10">
        <v>34.470872113064452</v>
      </c>
    </row>
    <row r="619" spans="11:13" x14ac:dyDescent="0.25">
      <c r="K619" s="26" t="s">
        <v>113</v>
      </c>
      <c r="L619" s="27" t="s">
        <v>117</v>
      </c>
      <c r="M619" s="10">
        <v>20.682523267838675</v>
      </c>
    </row>
    <row r="620" spans="11:13" x14ac:dyDescent="0.25">
      <c r="K620" s="26" t="s">
        <v>113</v>
      </c>
      <c r="L620" s="27" t="s">
        <v>118</v>
      </c>
      <c r="M620" s="10">
        <v>20.682523267838675</v>
      </c>
    </row>
    <row r="621" spans="11:13" x14ac:dyDescent="0.25">
      <c r="K621" s="26" t="s">
        <v>109</v>
      </c>
      <c r="L621" s="27" t="s">
        <v>119</v>
      </c>
      <c r="M621" s="10">
        <v>3.4470872113064459</v>
      </c>
    </row>
    <row r="622" spans="11:13" x14ac:dyDescent="0.25">
      <c r="K622" s="26" t="s">
        <v>109</v>
      </c>
      <c r="L622" s="27" t="s">
        <v>115</v>
      </c>
      <c r="M622" s="10">
        <v>9.5139607032057896</v>
      </c>
    </row>
    <row r="623" spans="11:13" x14ac:dyDescent="0.25">
      <c r="K623" s="26" t="s">
        <v>109</v>
      </c>
      <c r="L623" s="27" t="s">
        <v>116</v>
      </c>
      <c r="M623" s="10">
        <v>15.167183729748361</v>
      </c>
    </row>
    <row r="624" spans="11:13" x14ac:dyDescent="0.25">
      <c r="K624" s="26" t="s">
        <v>109</v>
      </c>
      <c r="L624" s="27" t="s">
        <v>117</v>
      </c>
      <c r="M624" s="10">
        <v>24.129610479145121</v>
      </c>
    </row>
    <row r="625" spans="11:13" x14ac:dyDescent="0.25">
      <c r="K625" s="26" t="s">
        <v>109</v>
      </c>
      <c r="L625" s="27" t="s">
        <v>118</v>
      </c>
      <c r="M625" s="10">
        <v>17.235436056532226</v>
      </c>
    </row>
    <row r="626" spans="11:13" x14ac:dyDescent="0.25">
      <c r="K626" s="26" t="s">
        <v>111</v>
      </c>
      <c r="L626" s="27" t="s">
        <v>119</v>
      </c>
      <c r="M626" s="10">
        <v>59.530896535301828</v>
      </c>
    </row>
    <row r="627" spans="11:13" x14ac:dyDescent="0.25">
      <c r="K627" s="26" t="s">
        <v>110</v>
      </c>
      <c r="L627" s="27" t="s">
        <v>115</v>
      </c>
      <c r="M627" s="10">
        <v>9.2421441774491679</v>
      </c>
    </row>
    <row r="628" spans="11:13" x14ac:dyDescent="0.25">
      <c r="K628" s="26" t="s">
        <v>110</v>
      </c>
      <c r="L628" s="27" t="s">
        <v>116</v>
      </c>
      <c r="M628" s="10">
        <v>34.470872113064452</v>
      </c>
    </row>
    <row r="629" spans="11:13" x14ac:dyDescent="0.25">
      <c r="K629" s="26" t="s">
        <v>110</v>
      </c>
      <c r="L629" s="27" t="s">
        <v>117</v>
      </c>
      <c r="M629" s="10">
        <v>2117.970983797522</v>
      </c>
    </row>
    <row r="630" spans="11:13" x14ac:dyDescent="0.25">
      <c r="K630" s="26" t="s">
        <v>110</v>
      </c>
      <c r="L630" s="27" t="s">
        <v>118</v>
      </c>
      <c r="M630" s="10">
        <v>5.6870000000000003</v>
      </c>
    </row>
    <row r="631" spans="11:13" x14ac:dyDescent="0.25">
      <c r="K631" s="26" t="s">
        <v>110</v>
      </c>
      <c r="L631" s="27" t="s">
        <v>119</v>
      </c>
      <c r="M631" s="10">
        <v>97.934215167548501</v>
      </c>
    </row>
    <row r="632" spans="11:13" x14ac:dyDescent="0.25">
      <c r="K632" s="26" t="s">
        <v>112</v>
      </c>
      <c r="L632" s="27" t="s">
        <v>115</v>
      </c>
      <c r="M632" s="10">
        <v>296.37985008818345</v>
      </c>
    </row>
    <row r="633" spans="11:13" x14ac:dyDescent="0.25">
      <c r="K633" s="26" t="s">
        <v>109</v>
      </c>
      <c r="L633" s="27" t="s">
        <v>116</v>
      </c>
      <c r="M633" s="10">
        <v>36.0810405643739</v>
      </c>
    </row>
    <row r="634" spans="11:13" x14ac:dyDescent="0.25">
      <c r="K634" s="26" t="s">
        <v>109</v>
      </c>
      <c r="L634" s="27" t="s">
        <v>117</v>
      </c>
      <c r="M634" s="10">
        <v>13.737899200454269</v>
      </c>
    </row>
    <row r="635" spans="11:13" x14ac:dyDescent="0.25">
      <c r="K635" s="26" t="s">
        <v>109</v>
      </c>
      <c r="L635" s="27" t="s">
        <v>118</v>
      </c>
      <c r="M635" s="10">
        <v>109.90319360363415</v>
      </c>
    </row>
    <row r="636" spans="11:13" x14ac:dyDescent="0.25">
      <c r="K636" s="26" t="s">
        <v>109</v>
      </c>
      <c r="L636" s="27" t="s">
        <v>119</v>
      </c>
      <c r="M636" s="10">
        <v>457.92997334847558</v>
      </c>
    </row>
    <row r="637" spans="11:13" x14ac:dyDescent="0.25">
      <c r="K637" s="26" t="s">
        <v>109</v>
      </c>
      <c r="L637" s="27" t="s">
        <v>115</v>
      </c>
      <c r="M637" s="10">
        <v>211.79709837975219</v>
      </c>
    </row>
    <row r="638" spans="11:13" x14ac:dyDescent="0.25">
      <c r="K638" s="26" t="s">
        <v>110</v>
      </c>
      <c r="L638" s="27" t="s">
        <v>116</v>
      </c>
      <c r="M638" s="10">
        <v>274.75798400908536</v>
      </c>
    </row>
    <row r="639" spans="11:13" x14ac:dyDescent="0.25">
      <c r="K639" s="26" t="s">
        <v>109</v>
      </c>
      <c r="L639" s="27" t="s">
        <v>117</v>
      </c>
      <c r="M639" s="10">
        <v>7.5835918648741805</v>
      </c>
    </row>
    <row r="640" spans="11:13" x14ac:dyDescent="0.25">
      <c r="K640" s="26" t="s">
        <v>109</v>
      </c>
      <c r="L640" s="27" t="s">
        <v>118</v>
      </c>
      <c r="M640" s="10">
        <v>121.25220458553792</v>
      </c>
    </row>
    <row r="641" spans="11:13" x14ac:dyDescent="0.25">
      <c r="K641" s="26" t="s">
        <v>109</v>
      </c>
      <c r="L641" s="27" t="s">
        <v>119</v>
      </c>
      <c r="M641" s="10">
        <v>0</v>
      </c>
    </row>
    <row r="642" spans="11:13" x14ac:dyDescent="0.25">
      <c r="K642" s="26" t="s">
        <v>109</v>
      </c>
      <c r="L642" s="27" t="s">
        <v>115</v>
      </c>
      <c r="M642" s="10">
        <v>55.114638447971785</v>
      </c>
    </row>
    <row r="643" spans="11:13" x14ac:dyDescent="0.25">
      <c r="K643" s="26" t="s">
        <v>109</v>
      </c>
      <c r="L643" s="27" t="s">
        <v>116</v>
      </c>
      <c r="M643" s="10">
        <v>28.659611992945326</v>
      </c>
    </row>
    <row r="644" spans="11:13" x14ac:dyDescent="0.25">
      <c r="K644" s="26" t="s">
        <v>109</v>
      </c>
      <c r="L644" s="27" t="s">
        <v>117</v>
      </c>
      <c r="M644" s="10">
        <v>44.091710758377424</v>
      </c>
    </row>
    <row r="645" spans="11:13" x14ac:dyDescent="0.25">
      <c r="K645" s="26" t="s">
        <v>109</v>
      </c>
      <c r="L645" s="27" t="s">
        <v>118</v>
      </c>
      <c r="M645" s="10">
        <v>400.1141975308642</v>
      </c>
    </row>
    <row r="646" spans="11:13" x14ac:dyDescent="0.25">
      <c r="K646" s="26" t="s">
        <v>110</v>
      </c>
      <c r="L646" s="27" t="s">
        <v>119</v>
      </c>
      <c r="M646" s="10">
        <v>44.091710758377424</v>
      </c>
    </row>
    <row r="647" spans="11:13" x14ac:dyDescent="0.25">
      <c r="K647" s="26" t="s">
        <v>109</v>
      </c>
      <c r="L647" s="27" t="s">
        <v>115</v>
      </c>
      <c r="M647" s="10">
        <v>661.37566137566137</v>
      </c>
    </row>
    <row r="648" spans="11:13" x14ac:dyDescent="0.25">
      <c r="K648" s="26" t="s">
        <v>109</v>
      </c>
      <c r="L648" s="27" t="s">
        <v>116</v>
      </c>
      <c r="M648" s="10">
        <v>372.8518820270491</v>
      </c>
    </row>
    <row r="649" spans="11:13" x14ac:dyDescent="0.25">
      <c r="K649" s="26" t="s">
        <v>109</v>
      </c>
      <c r="L649" s="27" t="s">
        <v>117</v>
      </c>
      <c r="M649" s="10">
        <v>36.0810405643739</v>
      </c>
    </row>
    <row r="650" spans="11:13" x14ac:dyDescent="0.25">
      <c r="K650" s="26" t="s">
        <v>109</v>
      </c>
      <c r="L650" s="27" t="s">
        <v>118</v>
      </c>
      <c r="M650" s="10">
        <v>304.11144179894183</v>
      </c>
    </row>
    <row r="651" spans="11:13" x14ac:dyDescent="0.25">
      <c r="K651" s="26" t="s">
        <v>109</v>
      </c>
      <c r="L651" s="27" t="s">
        <v>119</v>
      </c>
      <c r="M651" s="10">
        <v>158.73015873015873</v>
      </c>
    </row>
    <row r="652" spans="11:13" x14ac:dyDescent="0.25">
      <c r="K652" s="26" t="s">
        <v>109</v>
      </c>
      <c r="L652" s="27" t="s">
        <v>115</v>
      </c>
      <c r="M652" s="10">
        <v>110.22927689594357</v>
      </c>
    </row>
    <row r="653" spans="11:13" x14ac:dyDescent="0.25">
      <c r="K653" s="26" t="s">
        <v>109</v>
      </c>
      <c r="L653" s="27" t="s">
        <v>116</v>
      </c>
      <c r="M653" s="10">
        <v>55.114638447971785</v>
      </c>
    </row>
    <row r="654" spans="11:13" x14ac:dyDescent="0.25">
      <c r="K654" s="26" t="s">
        <v>109</v>
      </c>
      <c r="L654" s="27" t="s">
        <v>117</v>
      </c>
      <c r="M654" s="10">
        <v>2546.2918871252205</v>
      </c>
    </row>
    <row r="655" spans="11:13" x14ac:dyDescent="0.25">
      <c r="K655" s="26" t="s">
        <v>109</v>
      </c>
      <c r="L655" s="27" t="s">
        <v>118</v>
      </c>
      <c r="M655" s="10">
        <v>38.508934072704868</v>
      </c>
    </row>
    <row r="656" spans="11:13" x14ac:dyDescent="0.25">
      <c r="K656" s="26" t="s">
        <v>114</v>
      </c>
      <c r="L656" s="27" t="s">
        <v>119</v>
      </c>
      <c r="M656" s="10">
        <v>0</v>
      </c>
    </row>
    <row r="657" spans="11:13" x14ac:dyDescent="0.25">
      <c r="K657" s="26" t="s">
        <v>109</v>
      </c>
      <c r="L657" s="27" t="s">
        <v>115</v>
      </c>
      <c r="M657" s="10">
        <v>36.265432098765437</v>
      </c>
    </row>
    <row r="658" spans="11:13" x14ac:dyDescent="0.25">
      <c r="K658" s="26" t="s">
        <v>109</v>
      </c>
      <c r="L658" s="27" t="s">
        <v>116</v>
      </c>
      <c r="M658" s="10">
        <v>40.515355319666149</v>
      </c>
    </row>
    <row r="659" spans="11:13" x14ac:dyDescent="0.25">
      <c r="K659" s="26" t="s">
        <v>110</v>
      </c>
      <c r="L659" s="27" t="s">
        <v>117</v>
      </c>
      <c r="M659" s="10">
        <v>86.177180282661155</v>
      </c>
    </row>
    <row r="660" spans="11:13" x14ac:dyDescent="0.25">
      <c r="K660" s="26" t="s">
        <v>110</v>
      </c>
      <c r="L660" s="27" t="s">
        <v>118</v>
      </c>
      <c r="M660" s="10">
        <v>28.975000000000001</v>
      </c>
    </row>
    <row r="661" spans="11:13" x14ac:dyDescent="0.25">
      <c r="K661" s="26" t="s">
        <v>109</v>
      </c>
      <c r="L661" s="27" t="s">
        <v>119</v>
      </c>
      <c r="M661" s="10">
        <v>4.4477390659747957</v>
      </c>
    </row>
    <row r="662" spans="11:13" x14ac:dyDescent="0.25">
      <c r="K662" s="26" t="s">
        <v>109</v>
      </c>
      <c r="L662" s="27" t="s">
        <v>115</v>
      </c>
      <c r="M662" s="10">
        <v>33.06878306878307</v>
      </c>
    </row>
    <row r="663" spans="11:13" x14ac:dyDescent="0.25">
      <c r="K663" s="26" t="s">
        <v>109</v>
      </c>
      <c r="L663" s="27" t="s">
        <v>116</v>
      </c>
      <c r="M663" s="10">
        <v>110.22927689594357</v>
      </c>
    </row>
    <row r="664" spans="11:13" x14ac:dyDescent="0.25">
      <c r="K664" s="26" t="s">
        <v>109</v>
      </c>
      <c r="L664" s="27" t="s">
        <v>117</v>
      </c>
      <c r="M664" s="10">
        <v>26.455026455026456</v>
      </c>
    </row>
    <row r="665" spans="11:13" x14ac:dyDescent="0.25">
      <c r="K665" s="26" t="s">
        <v>109</v>
      </c>
      <c r="L665" s="27" t="s">
        <v>118</v>
      </c>
      <c r="M665" s="10">
        <v>11.52</v>
      </c>
    </row>
    <row r="666" spans="11:13" x14ac:dyDescent="0.25">
      <c r="K666" s="26" t="s">
        <v>109</v>
      </c>
      <c r="L666" s="27" t="s">
        <v>119</v>
      </c>
      <c r="M666" s="10">
        <v>661.37566137566137</v>
      </c>
    </row>
    <row r="667" spans="11:13" x14ac:dyDescent="0.25">
      <c r="K667" s="26" t="s">
        <v>109</v>
      </c>
      <c r="L667" s="27" t="s">
        <v>115</v>
      </c>
      <c r="M667" s="10">
        <v>81.569664902998241</v>
      </c>
    </row>
    <row r="668" spans="11:13" x14ac:dyDescent="0.25">
      <c r="K668" s="26" t="s">
        <v>109</v>
      </c>
      <c r="L668" s="27" t="s">
        <v>116</v>
      </c>
      <c r="M668" s="10">
        <v>192.54467036352435</v>
      </c>
    </row>
    <row r="669" spans="11:13" x14ac:dyDescent="0.25">
      <c r="K669" s="26" t="s">
        <v>109</v>
      </c>
      <c r="L669" s="27" t="s">
        <v>117</v>
      </c>
      <c r="M669" s="10">
        <v>105.33979276895944</v>
      </c>
    </row>
    <row r="670" spans="11:13" x14ac:dyDescent="0.25">
      <c r="K670" s="26" t="s">
        <v>109</v>
      </c>
      <c r="L670" s="27" t="s">
        <v>118</v>
      </c>
      <c r="M670" s="10">
        <v>44.091710758377424</v>
      </c>
    </row>
    <row r="671" spans="11:13" x14ac:dyDescent="0.25">
      <c r="K671" s="26" t="s">
        <v>109</v>
      </c>
      <c r="L671" s="27" t="s">
        <v>119</v>
      </c>
      <c r="M671" s="10">
        <v>195.53527782304059</v>
      </c>
    </row>
    <row r="672" spans="11:13" x14ac:dyDescent="0.25">
      <c r="K672" s="26" t="s">
        <v>109</v>
      </c>
      <c r="L672" s="27" t="s">
        <v>115</v>
      </c>
      <c r="M672" s="10">
        <v>35.56547619047619</v>
      </c>
    </row>
    <row r="673" spans="11:13" x14ac:dyDescent="0.25">
      <c r="K673" s="26" t="s">
        <v>114</v>
      </c>
      <c r="L673" s="27" t="s">
        <v>116</v>
      </c>
      <c r="M673" s="10">
        <v>132.27513227513228</v>
      </c>
    </row>
    <row r="674" spans="11:13" x14ac:dyDescent="0.25">
      <c r="K674" s="26" t="s">
        <v>114</v>
      </c>
      <c r="L674" s="27" t="s">
        <v>117</v>
      </c>
      <c r="M674" s="10">
        <v>88.183421516754848</v>
      </c>
    </row>
    <row r="675" spans="11:13" x14ac:dyDescent="0.25">
      <c r="K675" s="26" t="s">
        <v>109</v>
      </c>
      <c r="L675" s="27" t="s">
        <v>118</v>
      </c>
      <c r="M675" s="10">
        <v>66.137566137566139</v>
      </c>
    </row>
    <row r="676" spans="11:13" x14ac:dyDescent="0.25">
      <c r="K676" s="26" t="s">
        <v>109</v>
      </c>
      <c r="L676" s="27" t="s">
        <v>119</v>
      </c>
      <c r="M676" s="10">
        <v>352.73368606701939</v>
      </c>
    </row>
    <row r="677" spans="11:13" x14ac:dyDescent="0.25">
      <c r="K677" s="26" t="s">
        <v>109</v>
      </c>
      <c r="L677" s="27" t="s">
        <v>115</v>
      </c>
      <c r="M677" s="10">
        <v>66.137566137566139</v>
      </c>
    </row>
    <row r="678" spans="11:13" x14ac:dyDescent="0.25">
      <c r="K678" s="26" t="s">
        <v>112</v>
      </c>
      <c r="L678" s="27" t="s">
        <v>116</v>
      </c>
      <c r="M678" s="10">
        <v>202.99872804594455</v>
      </c>
    </row>
    <row r="679" spans="11:13" x14ac:dyDescent="0.25">
      <c r="K679" s="26" t="s">
        <v>112</v>
      </c>
      <c r="L679" s="27" t="s">
        <v>117</v>
      </c>
      <c r="M679" s="10">
        <v>231.8</v>
      </c>
    </row>
    <row r="680" spans="11:13" x14ac:dyDescent="0.25">
      <c r="K680" s="26" t="s">
        <v>112</v>
      </c>
      <c r="L680" s="27" t="s">
        <v>118</v>
      </c>
      <c r="M680" s="10">
        <v>231.8</v>
      </c>
    </row>
    <row r="681" spans="11:13" x14ac:dyDescent="0.25">
      <c r="K681" s="26" t="s">
        <v>109</v>
      </c>
      <c r="L681" s="27" t="s">
        <v>119</v>
      </c>
      <c r="M681" s="10">
        <v>115.9</v>
      </c>
    </row>
    <row r="682" spans="11:13" x14ac:dyDescent="0.25">
      <c r="K682" s="26" t="s">
        <v>109</v>
      </c>
      <c r="L682" s="27" t="s">
        <v>115</v>
      </c>
      <c r="M682" s="10">
        <v>231.8</v>
      </c>
    </row>
    <row r="683" spans="11:13" x14ac:dyDescent="0.25">
      <c r="K683" s="26" t="s">
        <v>109</v>
      </c>
      <c r="L683" s="27" t="s">
        <v>116</v>
      </c>
      <c r="M683" s="10">
        <v>231.8</v>
      </c>
    </row>
    <row r="684" spans="11:13" x14ac:dyDescent="0.25">
      <c r="K684" s="26" t="s">
        <v>114</v>
      </c>
      <c r="L684" s="27" t="s">
        <v>117</v>
      </c>
      <c r="M684" s="10">
        <v>231.8</v>
      </c>
    </row>
    <row r="685" spans="11:13" x14ac:dyDescent="0.25">
      <c r="K685" s="26" t="s">
        <v>109</v>
      </c>
      <c r="L685" s="27" t="s">
        <v>118</v>
      </c>
      <c r="M685" s="10">
        <v>49.291435613062234</v>
      </c>
    </row>
    <row r="686" spans="11:13" x14ac:dyDescent="0.25">
      <c r="K686" s="26" t="s">
        <v>114</v>
      </c>
      <c r="L686" s="27" t="s">
        <v>119</v>
      </c>
      <c r="M686" s="10">
        <v>61.614294516327789</v>
      </c>
    </row>
    <row r="687" spans="11:13" x14ac:dyDescent="0.25">
      <c r="K687" s="26" t="s">
        <v>109</v>
      </c>
      <c r="L687" s="27" t="s">
        <v>115</v>
      </c>
      <c r="M687" s="10">
        <v>3.5428219346888473E-2</v>
      </c>
    </row>
    <row r="688" spans="11:13" x14ac:dyDescent="0.25">
      <c r="K688" s="26" t="s">
        <v>110</v>
      </c>
      <c r="L688" s="27" t="s">
        <v>116</v>
      </c>
      <c r="M688" s="10">
        <v>12.322858903265558</v>
      </c>
    </row>
    <row r="689" spans="11:13" x14ac:dyDescent="0.25">
      <c r="K689" s="26" t="s">
        <v>110</v>
      </c>
      <c r="L689" s="27" t="s">
        <v>117</v>
      </c>
      <c r="M689" s="10">
        <v>46.210720887245841</v>
      </c>
    </row>
    <row r="690" spans="11:13" x14ac:dyDescent="0.25">
      <c r="K690" s="26" t="s">
        <v>114</v>
      </c>
      <c r="L690" s="27" t="s">
        <v>118</v>
      </c>
      <c r="M690" s="10">
        <v>184</v>
      </c>
    </row>
    <row r="691" spans="11:13" x14ac:dyDescent="0.25">
      <c r="K691" s="26" t="s">
        <v>114</v>
      </c>
      <c r="L691" s="27" t="s">
        <v>119</v>
      </c>
      <c r="M691" s="10">
        <v>64.110196268786581</v>
      </c>
    </row>
    <row r="692" spans="11:13" x14ac:dyDescent="0.25">
      <c r="K692" s="26" t="s">
        <v>110</v>
      </c>
      <c r="L692" s="27" t="s">
        <v>115</v>
      </c>
      <c r="M692" s="10">
        <v>25.853154084798344</v>
      </c>
    </row>
    <row r="693" spans="11:13" x14ac:dyDescent="0.25">
      <c r="K693" s="26" t="s">
        <v>110</v>
      </c>
      <c r="L693" s="27" t="s">
        <v>116</v>
      </c>
      <c r="M693" s="10">
        <v>128.13724451975008</v>
      </c>
    </row>
    <row r="694" spans="11:13" x14ac:dyDescent="0.25">
      <c r="K694" s="26" t="s">
        <v>112</v>
      </c>
      <c r="L694" s="27" t="s">
        <v>117</v>
      </c>
      <c r="M694" s="10">
        <v>195.86838624338625</v>
      </c>
    </row>
    <row r="695" spans="11:13" x14ac:dyDescent="0.25">
      <c r="K695" s="26" t="s">
        <v>110</v>
      </c>
      <c r="L695" s="27" t="s">
        <v>118</v>
      </c>
      <c r="M695" s="10">
        <v>88.183421516754848</v>
      </c>
    </row>
    <row r="696" spans="11:13" x14ac:dyDescent="0.25">
      <c r="K696" s="26" t="s">
        <v>109</v>
      </c>
      <c r="L696" s="27" t="s">
        <v>119</v>
      </c>
      <c r="M696" s="10">
        <v>1.6048788316482105</v>
      </c>
    </row>
    <row r="697" spans="11:13" x14ac:dyDescent="0.25">
      <c r="K697" s="26" t="s">
        <v>110</v>
      </c>
      <c r="L697" s="27" t="s">
        <v>115</v>
      </c>
      <c r="M697" s="10">
        <v>55.114638447971785</v>
      </c>
    </row>
    <row r="698" spans="11:13" x14ac:dyDescent="0.25">
      <c r="K698" s="26" t="s">
        <v>110</v>
      </c>
      <c r="L698" s="27" t="s">
        <v>116</v>
      </c>
      <c r="M698" s="10">
        <v>77.160493827160494</v>
      </c>
    </row>
    <row r="699" spans="11:13" x14ac:dyDescent="0.25">
      <c r="K699" s="26" t="s">
        <v>109</v>
      </c>
      <c r="L699" s="27" t="s">
        <v>117</v>
      </c>
      <c r="M699" s="10">
        <v>13.227513227513228</v>
      </c>
    </row>
    <row r="700" spans="11:13" x14ac:dyDescent="0.25">
      <c r="K700" s="26" t="s">
        <v>109</v>
      </c>
      <c r="L700" s="27" t="s">
        <v>118</v>
      </c>
      <c r="M700" s="10">
        <v>92.421441774491683</v>
      </c>
    </row>
    <row r="701" spans="11:13" x14ac:dyDescent="0.25">
      <c r="K701" s="26" t="s">
        <v>110</v>
      </c>
      <c r="L701" s="27" t="s">
        <v>119</v>
      </c>
      <c r="M701" s="10">
        <v>64.824568511465841</v>
      </c>
    </row>
    <row r="702" spans="11:13" x14ac:dyDescent="0.25">
      <c r="K702" s="26" t="s">
        <v>109</v>
      </c>
      <c r="L702" s="27" t="s">
        <v>115</v>
      </c>
      <c r="M702" s="10">
        <v>52.949274594938046</v>
      </c>
    </row>
    <row r="703" spans="11:13" x14ac:dyDescent="0.25">
      <c r="K703" s="26" t="s">
        <v>109</v>
      </c>
      <c r="L703" s="27" t="s">
        <v>116</v>
      </c>
      <c r="M703" s="10">
        <v>44.091710758377424</v>
      </c>
    </row>
    <row r="704" spans="11:13" x14ac:dyDescent="0.25">
      <c r="K704" s="26" t="s">
        <v>109</v>
      </c>
      <c r="L704" s="27" t="s">
        <v>117</v>
      </c>
      <c r="M704" s="10">
        <v>356.12522045855383</v>
      </c>
    </row>
    <row r="705" spans="11:13" x14ac:dyDescent="0.25">
      <c r="K705" s="26" t="s">
        <v>109</v>
      </c>
      <c r="L705" s="27" t="s">
        <v>118</v>
      </c>
      <c r="M705" s="10">
        <v>12.75422268183385</v>
      </c>
    </row>
    <row r="706" spans="11:13" x14ac:dyDescent="0.25">
      <c r="K706" s="26" t="s">
        <v>109</v>
      </c>
      <c r="L706" s="27" t="s">
        <v>119</v>
      </c>
      <c r="M706" s="10">
        <v>25.415651805570263</v>
      </c>
    </row>
    <row r="707" spans="11:13" x14ac:dyDescent="0.25">
      <c r="K707" s="26" t="s">
        <v>110</v>
      </c>
      <c r="L707" s="27" t="s">
        <v>115</v>
      </c>
      <c r="M707" s="10">
        <v>66.137566137566139</v>
      </c>
    </row>
    <row r="708" spans="11:13" x14ac:dyDescent="0.25">
      <c r="K708" s="26" t="s">
        <v>109</v>
      </c>
      <c r="L708" s="27" t="s">
        <v>116</v>
      </c>
      <c r="M708" s="10">
        <v>191.14688128772633</v>
      </c>
    </row>
    <row r="709" spans="11:13" x14ac:dyDescent="0.25">
      <c r="K709" s="26" t="s">
        <v>109</v>
      </c>
      <c r="L709" s="27" t="s">
        <v>117</v>
      </c>
      <c r="M709" s="10">
        <v>52.949274594938046</v>
      </c>
    </row>
    <row r="710" spans="11:13" x14ac:dyDescent="0.25">
      <c r="K710" s="26" t="s">
        <v>109</v>
      </c>
      <c r="L710" s="27" t="s">
        <v>118</v>
      </c>
      <c r="M710" s="10">
        <v>52.949274594938046</v>
      </c>
    </row>
    <row r="711" spans="11:13" x14ac:dyDescent="0.25">
      <c r="K711" s="26" t="s">
        <v>109</v>
      </c>
      <c r="L711" s="27" t="s">
        <v>119</v>
      </c>
      <c r="M711" s="10">
        <v>52.949274594938046</v>
      </c>
    </row>
    <row r="712" spans="11:13" x14ac:dyDescent="0.25">
      <c r="K712" s="26" t="s">
        <v>109</v>
      </c>
      <c r="L712" s="27" t="s">
        <v>115</v>
      </c>
      <c r="M712" s="10">
        <v>191.14688128772633</v>
      </c>
    </row>
    <row r="713" spans="11:13" x14ac:dyDescent="0.25">
      <c r="K713" s="26" t="s">
        <v>109</v>
      </c>
      <c r="L713" s="27" t="s">
        <v>116</v>
      </c>
      <c r="M713" s="10">
        <v>148.25796886582651</v>
      </c>
    </row>
    <row r="714" spans="11:13" x14ac:dyDescent="0.25">
      <c r="K714" s="26" t="s">
        <v>109</v>
      </c>
      <c r="L714" s="27" t="s">
        <v>117</v>
      </c>
      <c r="M714" s="10">
        <v>132.27513227513228</v>
      </c>
    </row>
    <row r="715" spans="11:13" x14ac:dyDescent="0.25">
      <c r="K715" s="26" t="s">
        <v>109</v>
      </c>
      <c r="L715" s="27" t="s">
        <v>118</v>
      </c>
      <c r="M715" s="10">
        <v>154.32098765432099</v>
      </c>
    </row>
    <row r="716" spans="11:13" x14ac:dyDescent="0.25">
      <c r="K716" s="26" t="s">
        <v>110</v>
      </c>
      <c r="L716" s="27" t="s">
        <v>119</v>
      </c>
      <c r="M716" s="10">
        <v>125.66137566137566</v>
      </c>
    </row>
    <row r="717" spans="11:13" x14ac:dyDescent="0.25">
      <c r="K717" s="26" t="s">
        <v>110</v>
      </c>
      <c r="L717" s="27" t="s">
        <v>115</v>
      </c>
      <c r="M717" s="10">
        <v>63.539129513925651</v>
      </c>
    </row>
    <row r="718" spans="11:13" x14ac:dyDescent="0.25">
      <c r="K718" s="26" t="s">
        <v>109</v>
      </c>
      <c r="L718" s="27" t="s">
        <v>116</v>
      </c>
      <c r="M718" s="10">
        <v>97.934303350970012</v>
      </c>
    </row>
    <row r="719" spans="11:13" x14ac:dyDescent="0.25">
      <c r="K719" s="26" t="s">
        <v>109</v>
      </c>
      <c r="L719" s="27" t="s">
        <v>117</v>
      </c>
      <c r="M719" s="10">
        <v>49.21917384523254</v>
      </c>
    </row>
    <row r="720" spans="11:13" x14ac:dyDescent="0.25">
      <c r="K720" s="26" t="s">
        <v>109</v>
      </c>
      <c r="L720" s="27" t="s">
        <v>118</v>
      </c>
      <c r="M720" s="10">
        <v>65.808090446639511</v>
      </c>
    </row>
    <row r="721" spans="11:13" x14ac:dyDescent="0.25">
      <c r="K721" s="26" t="s">
        <v>109</v>
      </c>
      <c r="L721" s="27" t="s">
        <v>119</v>
      </c>
      <c r="M721" s="10">
        <v>0</v>
      </c>
    </row>
    <row r="722" spans="11:13" x14ac:dyDescent="0.25">
      <c r="K722" s="26" t="s">
        <v>110</v>
      </c>
      <c r="L722" s="27" t="s">
        <v>115</v>
      </c>
      <c r="M722" s="10">
        <v>1106.2998084984567</v>
      </c>
    </row>
    <row r="723" spans="11:13" x14ac:dyDescent="0.25">
      <c r="K723" s="26" t="s">
        <v>109</v>
      </c>
      <c r="L723" s="27" t="s">
        <v>116</v>
      </c>
      <c r="M723" s="10">
        <v>110.22927689594357</v>
      </c>
    </row>
    <row r="724" spans="11:13" x14ac:dyDescent="0.25">
      <c r="K724" s="26" t="s">
        <v>110</v>
      </c>
      <c r="L724" s="27" t="s">
        <v>117</v>
      </c>
      <c r="M724" s="10">
        <v>1984.1269841269841</v>
      </c>
    </row>
    <row r="725" spans="11:13" x14ac:dyDescent="0.25">
      <c r="K725" s="26" t="s">
        <v>110</v>
      </c>
      <c r="L725" s="27" t="s">
        <v>118</v>
      </c>
      <c r="M725" s="10">
        <v>197.4242713399185</v>
      </c>
    </row>
    <row r="726" spans="11:13" x14ac:dyDescent="0.25">
      <c r="K726" s="26" t="s">
        <v>113</v>
      </c>
      <c r="L726" s="27" t="s">
        <v>119</v>
      </c>
      <c r="M726" s="10">
        <v>658.08090446639505</v>
      </c>
    </row>
    <row r="727" spans="11:13" x14ac:dyDescent="0.25">
      <c r="K727" s="26" t="s">
        <v>109</v>
      </c>
      <c r="L727" s="27" t="s">
        <v>115</v>
      </c>
      <c r="M727" s="10">
        <v>13.098931402964494</v>
      </c>
    </row>
    <row r="728" spans="11:13" x14ac:dyDescent="0.25">
      <c r="K728" s="26" t="s">
        <v>109</v>
      </c>
      <c r="L728" s="27" t="s">
        <v>116</v>
      </c>
      <c r="M728" s="10">
        <v>137.37899200454268</v>
      </c>
    </row>
    <row r="729" spans="11:13" x14ac:dyDescent="0.25">
      <c r="K729" s="26" t="s">
        <v>113</v>
      </c>
      <c r="L729" s="27" t="s">
        <v>117</v>
      </c>
      <c r="M729" s="10">
        <v>55.153395380903135</v>
      </c>
    </row>
    <row r="730" spans="11:13" x14ac:dyDescent="0.25">
      <c r="K730" s="26" t="s">
        <v>113</v>
      </c>
      <c r="L730" s="27" t="s">
        <v>118</v>
      </c>
      <c r="M730" s="10">
        <v>7.5835918648741805</v>
      </c>
    </row>
    <row r="731" spans="11:13" x14ac:dyDescent="0.25">
      <c r="K731" s="26" t="s">
        <v>110</v>
      </c>
      <c r="L731" s="27" t="s">
        <v>119</v>
      </c>
      <c r="M731" s="10">
        <v>10.341261633919338</v>
      </c>
    </row>
    <row r="732" spans="11:13" x14ac:dyDescent="0.25">
      <c r="K732" s="26" t="s">
        <v>110</v>
      </c>
      <c r="L732" s="27" t="s">
        <v>115</v>
      </c>
      <c r="M732" s="10">
        <v>77.017868145409736</v>
      </c>
    </row>
    <row r="733" spans="11:13" x14ac:dyDescent="0.25">
      <c r="K733" s="26" t="s">
        <v>111</v>
      </c>
      <c r="L733" s="27" t="s">
        <v>116</v>
      </c>
      <c r="M733" s="10">
        <v>22.406066873491898</v>
      </c>
    </row>
    <row r="734" spans="11:13" x14ac:dyDescent="0.25">
      <c r="K734" s="26" t="s">
        <v>110</v>
      </c>
      <c r="L734" s="27" t="s">
        <v>117</v>
      </c>
      <c r="M734" s="10">
        <v>77.017868145409736</v>
      </c>
    </row>
    <row r="735" spans="11:13" x14ac:dyDescent="0.25">
      <c r="K735" s="26" t="s">
        <v>110</v>
      </c>
      <c r="L735" s="27" t="s">
        <v>118</v>
      </c>
      <c r="M735" s="10">
        <v>77.017868145409736</v>
      </c>
    </row>
    <row r="736" spans="11:13" x14ac:dyDescent="0.25">
      <c r="K736" s="26" t="s">
        <v>113</v>
      </c>
      <c r="L736" s="27" t="s">
        <v>119</v>
      </c>
      <c r="M736" s="10">
        <v>21.371940710099963</v>
      </c>
    </row>
    <row r="737" spans="11:13" x14ac:dyDescent="0.25">
      <c r="K737" s="26" t="s">
        <v>113</v>
      </c>
      <c r="L737" s="27" t="s">
        <v>115</v>
      </c>
      <c r="M737" s="10">
        <v>103.41261633919338</v>
      </c>
    </row>
    <row r="738" spans="11:13" x14ac:dyDescent="0.25">
      <c r="K738" s="26" t="s">
        <v>109</v>
      </c>
      <c r="L738" s="27" t="s">
        <v>116</v>
      </c>
      <c r="M738" s="10">
        <v>149.41466420209488</v>
      </c>
    </row>
    <row r="739" spans="11:13" x14ac:dyDescent="0.25">
      <c r="K739" s="26" t="s">
        <v>113</v>
      </c>
      <c r="L739" s="27" t="s">
        <v>117</v>
      </c>
      <c r="M739" s="10">
        <v>91.585994669695125</v>
      </c>
    </row>
    <row r="740" spans="11:13" x14ac:dyDescent="0.25">
      <c r="K740" s="26" t="s">
        <v>113</v>
      </c>
      <c r="L740" s="27" t="s">
        <v>118</v>
      </c>
      <c r="M740" s="10">
        <v>164.85479040545121</v>
      </c>
    </row>
    <row r="741" spans="11:13" x14ac:dyDescent="0.25">
      <c r="K741" s="26" t="s">
        <v>110</v>
      </c>
      <c r="L741" s="27" t="s">
        <v>119</v>
      </c>
      <c r="M741" s="10">
        <v>274.75798400908536</v>
      </c>
    </row>
    <row r="742" spans="11:13" x14ac:dyDescent="0.25">
      <c r="K742" s="26" t="s">
        <v>110</v>
      </c>
      <c r="L742" s="27" t="s">
        <v>115</v>
      </c>
      <c r="M742" s="10">
        <v>6.8941744226128918</v>
      </c>
    </row>
    <row r="743" spans="11:13" x14ac:dyDescent="0.25">
      <c r="K743" s="26" t="s">
        <v>111</v>
      </c>
      <c r="L743" s="27" t="s">
        <v>116</v>
      </c>
      <c r="M743" s="10">
        <v>20.682523267838675</v>
      </c>
    </row>
    <row r="744" spans="11:13" x14ac:dyDescent="0.25">
      <c r="K744" s="26" t="s">
        <v>113</v>
      </c>
      <c r="L744" s="27" t="s">
        <v>117</v>
      </c>
      <c r="M744" s="10">
        <v>162.0614212786646</v>
      </c>
    </row>
    <row r="745" spans="11:13" x14ac:dyDescent="0.25">
      <c r="K745" s="26" t="s">
        <v>113</v>
      </c>
      <c r="L745" s="27" t="s">
        <v>118</v>
      </c>
      <c r="M745" s="10">
        <v>36.081018518518519</v>
      </c>
    </row>
    <row r="746" spans="11:13" x14ac:dyDescent="0.25">
      <c r="K746" s="26" t="s">
        <v>113</v>
      </c>
      <c r="L746" s="27" t="s">
        <v>119</v>
      </c>
      <c r="M746" s="10">
        <v>3.6081128747795415</v>
      </c>
    </row>
    <row r="747" spans="11:13" x14ac:dyDescent="0.25">
      <c r="K747" s="26" t="s">
        <v>109</v>
      </c>
      <c r="L747" s="27" t="s">
        <v>115</v>
      </c>
      <c r="M747" s="10">
        <v>12.423197960215004</v>
      </c>
    </row>
    <row r="748" spans="11:13" x14ac:dyDescent="0.25">
      <c r="K748" s="26" t="s">
        <v>109</v>
      </c>
      <c r="L748" s="27" t="s">
        <v>116</v>
      </c>
      <c r="M748" s="10">
        <v>53.120417141926026</v>
      </c>
    </row>
    <row r="749" spans="11:13" x14ac:dyDescent="0.25">
      <c r="K749" s="26" t="s">
        <v>109</v>
      </c>
      <c r="L749" s="27" t="s">
        <v>117</v>
      </c>
      <c r="M749" s="10">
        <v>5.6621227499903641</v>
      </c>
    </row>
    <row r="750" spans="11:13" x14ac:dyDescent="0.25">
      <c r="K750" s="26" t="s">
        <v>109</v>
      </c>
      <c r="L750" s="27" t="s">
        <v>118</v>
      </c>
      <c r="M750" s="10">
        <v>1.1324245499980727</v>
      </c>
    </row>
    <row r="751" spans="11:13" x14ac:dyDescent="0.25">
      <c r="K751" s="26" t="s">
        <v>113</v>
      </c>
      <c r="L751" s="27" t="s">
        <v>119</v>
      </c>
      <c r="M751" s="10">
        <v>220.45855379188714</v>
      </c>
    </row>
    <row r="752" spans="11:13" x14ac:dyDescent="0.25">
      <c r="K752" s="26" t="s">
        <v>113</v>
      </c>
      <c r="L752" s="27" t="s">
        <v>115</v>
      </c>
      <c r="M752" s="10">
        <v>81.473032426266911</v>
      </c>
    </row>
    <row r="753" spans="11:13" x14ac:dyDescent="0.25">
      <c r="K753" s="26" t="s">
        <v>111</v>
      </c>
      <c r="L753" s="27" t="s">
        <v>116</v>
      </c>
      <c r="M753" s="10">
        <v>28.5</v>
      </c>
    </row>
    <row r="754" spans="11:13" x14ac:dyDescent="0.25">
      <c r="K754" s="26" t="s">
        <v>111</v>
      </c>
      <c r="L754" s="27" t="s">
        <v>117</v>
      </c>
      <c r="M754" s="10">
        <v>18.04052028218695</v>
      </c>
    </row>
    <row r="755" spans="11:13" x14ac:dyDescent="0.25">
      <c r="K755" s="26" t="s">
        <v>111</v>
      </c>
      <c r="L755" s="27" t="s">
        <v>118</v>
      </c>
      <c r="M755" s="10">
        <v>46.210720887245841</v>
      </c>
    </row>
    <row r="756" spans="11:13" x14ac:dyDescent="0.25">
      <c r="K756" s="26" t="s">
        <v>111</v>
      </c>
      <c r="L756" s="27" t="s">
        <v>119</v>
      </c>
      <c r="M756" s="10">
        <v>405.15355319666151</v>
      </c>
    </row>
    <row r="757" spans="11:13" x14ac:dyDescent="0.25">
      <c r="K757" s="26" t="s">
        <v>110</v>
      </c>
      <c r="L757" s="27" t="s">
        <v>115</v>
      </c>
      <c r="M757" s="10">
        <v>485.0088183421517</v>
      </c>
    </row>
    <row r="758" spans="11:13" x14ac:dyDescent="0.25">
      <c r="K758" s="26" t="s">
        <v>110</v>
      </c>
      <c r="L758" s="27" t="s">
        <v>116</v>
      </c>
      <c r="M758" s="10">
        <v>58.533579790511403</v>
      </c>
    </row>
    <row r="759" spans="11:13" x14ac:dyDescent="0.25">
      <c r="K759" s="26" t="s">
        <v>109</v>
      </c>
      <c r="L759" s="27" t="s">
        <v>117</v>
      </c>
      <c r="M759" s="10">
        <v>100.12322858903266</v>
      </c>
    </row>
    <row r="760" spans="11:13" x14ac:dyDescent="0.25">
      <c r="K760" s="26" t="s">
        <v>110</v>
      </c>
      <c r="L760" s="27" t="s">
        <v>118</v>
      </c>
      <c r="M760" s="10">
        <v>38.123647018269565</v>
      </c>
    </row>
    <row r="761" spans="11:13" x14ac:dyDescent="0.25">
      <c r="K761" s="26" t="s">
        <v>110</v>
      </c>
      <c r="L761" s="27" t="s">
        <v>119</v>
      </c>
      <c r="M761" s="10">
        <v>51.706308169596689</v>
      </c>
    </row>
    <row r="762" spans="11:13" x14ac:dyDescent="0.25">
      <c r="K762" s="26" t="s">
        <v>109</v>
      </c>
      <c r="L762" s="27" t="s">
        <v>115</v>
      </c>
      <c r="M762" s="10">
        <v>30.807147258163894</v>
      </c>
    </row>
    <row r="763" spans="11:13" x14ac:dyDescent="0.25">
      <c r="K763" s="26" t="s">
        <v>110</v>
      </c>
      <c r="L763" s="27" t="s">
        <v>116</v>
      </c>
      <c r="M763" s="10">
        <v>293.80264550264553</v>
      </c>
    </row>
    <row r="764" spans="11:13" x14ac:dyDescent="0.25">
      <c r="K764" s="26" t="s">
        <v>110</v>
      </c>
      <c r="L764" s="27" t="s">
        <v>117</v>
      </c>
      <c r="M764" s="10">
        <v>365.36105976586566</v>
      </c>
    </row>
    <row r="765" spans="11:13" x14ac:dyDescent="0.25">
      <c r="K765" s="26" t="s">
        <v>110</v>
      </c>
      <c r="L765" s="27" t="s">
        <v>118</v>
      </c>
      <c r="M765" s="10">
        <v>79.283005860048263</v>
      </c>
    </row>
    <row r="766" spans="11:13" x14ac:dyDescent="0.25">
      <c r="K766" s="26" t="s">
        <v>110</v>
      </c>
      <c r="L766" s="27" t="s">
        <v>119</v>
      </c>
      <c r="M766" s="10">
        <v>264.74637297469025</v>
      </c>
    </row>
    <row r="767" spans="11:13" x14ac:dyDescent="0.25">
      <c r="K767" s="26" t="s">
        <v>109</v>
      </c>
      <c r="L767" s="27" t="s">
        <v>115</v>
      </c>
      <c r="M767" s="10">
        <v>110.22927689594357</v>
      </c>
    </row>
    <row r="768" spans="11:13" x14ac:dyDescent="0.25">
      <c r="K768" s="26" t="s">
        <v>109</v>
      </c>
      <c r="L768" s="27" t="s">
        <v>116</v>
      </c>
      <c r="M768" s="10">
        <v>240.18077601410934</v>
      </c>
    </row>
    <row r="769" spans="11:13" x14ac:dyDescent="0.25">
      <c r="K769" s="26" t="s">
        <v>109</v>
      </c>
      <c r="L769" s="27" t="s">
        <v>117</v>
      </c>
      <c r="M769" s="10">
        <v>7.7017868145409736</v>
      </c>
    </row>
    <row r="770" spans="11:13" x14ac:dyDescent="0.25">
      <c r="K770" s="26" t="s">
        <v>109</v>
      </c>
      <c r="L770" s="27" t="s">
        <v>118</v>
      </c>
      <c r="M770" s="10">
        <v>46.210720887245841</v>
      </c>
    </row>
    <row r="771" spans="11:13" x14ac:dyDescent="0.25">
      <c r="K771" s="26" t="s">
        <v>113</v>
      </c>
      <c r="L771" s="27" t="s">
        <v>119</v>
      </c>
      <c r="M771" s="10">
        <v>62.60030864197531</v>
      </c>
    </row>
    <row r="772" spans="11:13" x14ac:dyDescent="0.25">
      <c r="K772" s="26" t="s">
        <v>113</v>
      </c>
      <c r="L772" s="27" t="s">
        <v>115</v>
      </c>
      <c r="M772" s="10">
        <v>161.37566137566139</v>
      </c>
    </row>
    <row r="773" spans="11:13" x14ac:dyDescent="0.25">
      <c r="K773" s="26" t="s">
        <v>109</v>
      </c>
      <c r="L773" s="27" t="s">
        <v>116</v>
      </c>
      <c r="M773" s="10">
        <v>150</v>
      </c>
    </row>
    <row r="774" spans="11:13" x14ac:dyDescent="0.25">
      <c r="K774" s="26" t="s">
        <v>113</v>
      </c>
      <c r="L774" s="27" t="s">
        <v>117</v>
      </c>
      <c r="M774" s="10">
        <v>50</v>
      </c>
    </row>
    <row r="775" spans="11:13" x14ac:dyDescent="0.25">
      <c r="K775" s="26" t="s">
        <v>112</v>
      </c>
      <c r="L775" s="27" t="s">
        <v>118</v>
      </c>
      <c r="M775" s="10">
        <v>88.183421516754848</v>
      </c>
    </row>
    <row r="776" spans="11:13" x14ac:dyDescent="0.25">
      <c r="K776" s="26" t="s">
        <v>113</v>
      </c>
      <c r="L776" s="27" t="s">
        <v>119</v>
      </c>
      <c r="M776" s="10">
        <v>220.45855379188714</v>
      </c>
    </row>
    <row r="777" spans="11:13" x14ac:dyDescent="0.25">
      <c r="K777" s="26" t="s">
        <v>109</v>
      </c>
      <c r="L777" s="27" t="s">
        <v>115</v>
      </c>
      <c r="M777" s="10">
        <v>20.682523267838675</v>
      </c>
    </row>
    <row r="778" spans="11:13" x14ac:dyDescent="0.25">
      <c r="K778" s="26" t="s">
        <v>109</v>
      </c>
      <c r="L778" s="27" t="s">
        <v>116</v>
      </c>
      <c r="M778" s="10">
        <v>22</v>
      </c>
    </row>
    <row r="779" spans="11:13" x14ac:dyDescent="0.25">
      <c r="K779" s="26" t="s">
        <v>110</v>
      </c>
      <c r="L779" s="27" t="s">
        <v>117</v>
      </c>
      <c r="M779" s="10">
        <v>3.7538062261508616</v>
      </c>
    </row>
    <row r="780" spans="11:13" x14ac:dyDescent="0.25">
      <c r="K780" s="26" t="s">
        <v>110</v>
      </c>
      <c r="L780" s="27" t="s">
        <v>118</v>
      </c>
      <c r="M780" s="10">
        <v>115.40272121079748</v>
      </c>
    </row>
    <row r="781" spans="11:13" x14ac:dyDescent="0.25">
      <c r="K781" s="26" t="s">
        <v>113</v>
      </c>
      <c r="L781" s="27" t="s">
        <v>119</v>
      </c>
      <c r="M781" s="10">
        <v>68.941744226128904</v>
      </c>
    </row>
    <row r="782" spans="11:13" x14ac:dyDescent="0.25">
      <c r="K782" s="26" t="s">
        <v>113</v>
      </c>
      <c r="L782" s="27" t="s">
        <v>115</v>
      </c>
      <c r="M782" s="10">
        <v>97.001763668430343</v>
      </c>
    </row>
    <row r="783" spans="11:13" x14ac:dyDescent="0.25">
      <c r="K783" s="26" t="s">
        <v>110</v>
      </c>
      <c r="L783" s="27" t="s">
        <v>116</v>
      </c>
      <c r="M783" s="10">
        <v>132.27513227513228</v>
      </c>
    </row>
    <row r="784" spans="11:13" x14ac:dyDescent="0.25">
      <c r="K784" s="26" t="s">
        <v>110</v>
      </c>
      <c r="L784" s="27" t="s">
        <v>117</v>
      </c>
      <c r="M784" s="10">
        <v>1824.6686507936508</v>
      </c>
    </row>
    <row r="785" spans="11:13" x14ac:dyDescent="0.25">
      <c r="K785" s="26" t="s">
        <v>109</v>
      </c>
      <c r="L785" s="27" t="s">
        <v>118</v>
      </c>
      <c r="M785" s="10">
        <v>195.86860670194002</v>
      </c>
    </row>
    <row r="786" spans="11:13" x14ac:dyDescent="0.25">
      <c r="K786" s="26" t="s">
        <v>109</v>
      </c>
      <c r="L786" s="27" t="s">
        <v>119</v>
      </c>
      <c r="M786" s="10">
        <v>232.97680821772741</v>
      </c>
    </row>
    <row r="787" spans="11:13" x14ac:dyDescent="0.25">
      <c r="K787" s="26" t="s">
        <v>109</v>
      </c>
      <c r="L787" s="27" t="s">
        <v>115</v>
      </c>
      <c r="M787" s="10">
        <v>50</v>
      </c>
    </row>
    <row r="788" spans="11:13" x14ac:dyDescent="0.25">
      <c r="K788" s="26" t="s">
        <v>109</v>
      </c>
      <c r="L788" s="27" t="s">
        <v>116</v>
      </c>
      <c r="M788" s="10">
        <v>50</v>
      </c>
    </row>
    <row r="789" spans="11:13" x14ac:dyDescent="0.25">
      <c r="K789" s="26" t="s">
        <v>113</v>
      </c>
      <c r="L789" s="27" t="s">
        <v>117</v>
      </c>
      <c r="M789" s="10">
        <v>31.023784901758013</v>
      </c>
    </row>
    <row r="790" spans="11:13" x14ac:dyDescent="0.25">
      <c r="K790" s="26" t="s">
        <v>113</v>
      </c>
      <c r="L790" s="27" t="s">
        <v>118</v>
      </c>
      <c r="M790" s="10">
        <v>29.330291673456088</v>
      </c>
    </row>
    <row r="791" spans="11:13" x14ac:dyDescent="0.25">
      <c r="K791" s="26" t="s">
        <v>113</v>
      </c>
      <c r="L791" s="27" t="s">
        <v>119</v>
      </c>
      <c r="M791" s="10">
        <v>220.45855379188714</v>
      </c>
    </row>
    <row r="792" spans="11:13" x14ac:dyDescent="0.25">
      <c r="K792" s="26" t="s">
        <v>113</v>
      </c>
      <c r="L792" s="27" t="s">
        <v>115</v>
      </c>
      <c r="M792" s="10">
        <v>110.22927689594357</v>
      </c>
    </row>
    <row r="793" spans="11:13" x14ac:dyDescent="0.25">
      <c r="K793" s="26" t="s">
        <v>111</v>
      </c>
      <c r="L793" s="27" t="s">
        <v>116</v>
      </c>
      <c r="M793" s="10">
        <v>440.91710758377428</v>
      </c>
    </row>
    <row r="794" spans="11:13" x14ac:dyDescent="0.25">
      <c r="K794" s="26" t="s">
        <v>111</v>
      </c>
      <c r="L794" s="27" t="s">
        <v>117</v>
      </c>
      <c r="M794" s="10">
        <v>73.168051141619429</v>
      </c>
    </row>
    <row r="795" spans="11:13" x14ac:dyDescent="0.25">
      <c r="K795" s="26" t="s">
        <v>113</v>
      </c>
      <c r="L795" s="27" t="s">
        <v>118</v>
      </c>
      <c r="M795" s="10">
        <v>15.617373319544985</v>
      </c>
    </row>
    <row r="796" spans="11:13" x14ac:dyDescent="0.25">
      <c r="K796" s="26" t="s">
        <v>113</v>
      </c>
      <c r="L796" s="27" t="s">
        <v>119</v>
      </c>
      <c r="M796" s="10">
        <v>2.5792830058600478</v>
      </c>
    </row>
    <row r="797" spans="11:13" x14ac:dyDescent="0.25">
      <c r="K797" s="26" t="s">
        <v>111</v>
      </c>
      <c r="L797" s="27" t="s">
        <v>115</v>
      </c>
      <c r="M797" s="10">
        <v>52.949274594938046</v>
      </c>
    </row>
    <row r="798" spans="11:13" x14ac:dyDescent="0.25">
      <c r="K798" s="26" t="s">
        <v>110</v>
      </c>
      <c r="L798" s="27" t="s">
        <v>116</v>
      </c>
      <c r="M798" s="10">
        <v>21.179709837975221</v>
      </c>
    </row>
    <row r="799" spans="11:13" x14ac:dyDescent="0.25">
      <c r="K799" s="26" t="s">
        <v>110</v>
      </c>
      <c r="L799" s="27" t="s">
        <v>117</v>
      </c>
      <c r="M799" s="10">
        <v>20.682523267838675</v>
      </c>
    </row>
    <row r="800" spans="11:13" x14ac:dyDescent="0.25">
      <c r="K800" s="26" t="s">
        <v>111</v>
      </c>
      <c r="L800" s="27" t="s">
        <v>118</v>
      </c>
      <c r="M800" s="10">
        <v>20.682523267838675</v>
      </c>
    </row>
    <row r="801" spans="11:13" x14ac:dyDescent="0.25">
      <c r="K801" s="26" t="s">
        <v>114</v>
      </c>
      <c r="L801" s="27" t="s">
        <v>119</v>
      </c>
      <c r="M801" s="10">
        <v>31.322410177035731</v>
      </c>
    </row>
    <row r="802" spans="11:13" x14ac:dyDescent="0.25">
      <c r="K802" s="26" t="s">
        <v>114</v>
      </c>
      <c r="L802" s="27" t="s">
        <v>115</v>
      </c>
      <c r="M802" s="10">
        <v>91.585994669695125</v>
      </c>
    </row>
    <row r="803" spans="11:13" x14ac:dyDescent="0.25">
      <c r="K803" s="26" t="s">
        <v>110</v>
      </c>
      <c r="L803" s="27" t="s">
        <v>116</v>
      </c>
      <c r="M803" s="10">
        <v>59.530896535301828</v>
      </c>
    </row>
    <row r="804" spans="11:13" x14ac:dyDescent="0.25">
      <c r="K804" s="26" t="s">
        <v>110</v>
      </c>
      <c r="L804" s="27" t="s">
        <v>117</v>
      </c>
      <c r="M804" s="10">
        <v>3.9844881075491205</v>
      </c>
    </row>
    <row r="805" spans="11:13" x14ac:dyDescent="0.25">
      <c r="K805" s="26" t="s">
        <v>110</v>
      </c>
      <c r="L805" s="27" t="s">
        <v>118</v>
      </c>
      <c r="M805" s="10">
        <v>26.926490865218888</v>
      </c>
    </row>
    <row r="806" spans="11:13" x14ac:dyDescent="0.25">
      <c r="K806" s="26" t="s">
        <v>110</v>
      </c>
      <c r="L806" s="27" t="s">
        <v>119</v>
      </c>
      <c r="M806" s="10">
        <v>34.470872113064452</v>
      </c>
    </row>
    <row r="807" spans="11:13" x14ac:dyDescent="0.25">
      <c r="K807" s="26" t="s">
        <v>112</v>
      </c>
      <c r="L807" s="27" t="s">
        <v>115</v>
      </c>
      <c r="M807" s="10">
        <v>17.235436056532226</v>
      </c>
    </row>
    <row r="808" spans="11:13" x14ac:dyDescent="0.25">
      <c r="K808" s="26" t="s">
        <v>109</v>
      </c>
      <c r="L808" s="27" t="s">
        <v>116</v>
      </c>
      <c r="M808" s="10">
        <v>2.7576697690451564</v>
      </c>
    </row>
    <row r="809" spans="11:13" x14ac:dyDescent="0.25">
      <c r="K809" s="26" t="s">
        <v>109</v>
      </c>
      <c r="L809" s="27" t="s">
        <v>117</v>
      </c>
      <c r="M809" s="10">
        <v>3.4470872113064459</v>
      </c>
    </row>
    <row r="810" spans="11:13" x14ac:dyDescent="0.25">
      <c r="K810" s="26" t="s">
        <v>109</v>
      </c>
      <c r="L810" s="27" t="s">
        <v>118</v>
      </c>
      <c r="M810" s="10">
        <v>28.955532574974146</v>
      </c>
    </row>
    <row r="811" spans="11:13" x14ac:dyDescent="0.25">
      <c r="K811" s="26" t="s">
        <v>113</v>
      </c>
      <c r="L811" s="27" t="s">
        <v>119</v>
      </c>
      <c r="M811" s="10">
        <v>7.7017868145409736</v>
      </c>
    </row>
    <row r="812" spans="11:13" x14ac:dyDescent="0.25">
      <c r="K812" s="26" t="s">
        <v>113</v>
      </c>
      <c r="L812" s="27" t="s">
        <v>115</v>
      </c>
      <c r="M812" s="10">
        <v>103.41261633919338</v>
      </c>
    </row>
    <row r="813" spans="11:13" x14ac:dyDescent="0.25">
      <c r="K813" s="26" t="s">
        <v>109</v>
      </c>
      <c r="L813" s="27" t="s">
        <v>116</v>
      </c>
      <c r="M813" s="10">
        <v>20.682523267838675</v>
      </c>
    </row>
    <row r="814" spans="11:13" x14ac:dyDescent="0.25">
      <c r="K814" s="26" t="s">
        <v>110</v>
      </c>
      <c r="L814" s="27" t="s">
        <v>117</v>
      </c>
      <c r="M814" s="10">
        <v>28.955532574974146</v>
      </c>
    </row>
    <row r="815" spans="11:13" x14ac:dyDescent="0.25">
      <c r="K815" s="26" t="s">
        <v>110</v>
      </c>
      <c r="L815" s="27" t="s">
        <v>118</v>
      </c>
      <c r="M815" s="10">
        <v>34.470872113064452</v>
      </c>
    </row>
    <row r="816" spans="11:13" x14ac:dyDescent="0.25">
      <c r="K816" s="26" t="s">
        <v>110</v>
      </c>
      <c r="L816" s="27" t="s">
        <v>119</v>
      </c>
      <c r="M816" s="10">
        <v>34.470872113064452</v>
      </c>
    </row>
    <row r="817" spans="11:13" x14ac:dyDescent="0.25">
      <c r="K817" s="26" t="s">
        <v>109</v>
      </c>
      <c r="L817" s="27" t="s">
        <v>115</v>
      </c>
      <c r="M817" s="10">
        <v>52.949274594938046</v>
      </c>
    </row>
    <row r="818" spans="11:13" x14ac:dyDescent="0.25">
      <c r="K818" s="26" t="s">
        <v>113</v>
      </c>
      <c r="L818" s="27" t="s">
        <v>116</v>
      </c>
      <c r="M818" s="10">
        <v>52.949274594938046</v>
      </c>
    </row>
    <row r="819" spans="11:13" x14ac:dyDescent="0.25">
      <c r="K819" s="26" t="s">
        <v>113</v>
      </c>
      <c r="L819" s="27" t="s">
        <v>117</v>
      </c>
      <c r="M819" s="10">
        <v>52.949274594938046</v>
      </c>
    </row>
    <row r="820" spans="11:13" x14ac:dyDescent="0.25">
      <c r="K820" s="26" t="s">
        <v>111</v>
      </c>
      <c r="L820" s="27" t="s">
        <v>118</v>
      </c>
      <c r="M820" s="10">
        <v>52.949274594938046</v>
      </c>
    </row>
    <row r="821" spans="11:13" x14ac:dyDescent="0.25">
      <c r="K821" s="26" t="s">
        <v>110</v>
      </c>
      <c r="L821" s="27" t="s">
        <v>119</v>
      </c>
      <c r="M821" s="10">
        <v>52.949274594938046</v>
      </c>
    </row>
    <row r="822" spans="11:13" x14ac:dyDescent="0.25">
      <c r="K822" s="26" t="s">
        <v>110</v>
      </c>
      <c r="L822" s="27" t="s">
        <v>115</v>
      </c>
      <c r="M822" s="10">
        <v>52.949274594938046</v>
      </c>
    </row>
    <row r="823" spans="11:13" x14ac:dyDescent="0.25">
      <c r="K823" s="26" t="s">
        <v>111</v>
      </c>
      <c r="L823" s="27" t="s">
        <v>116</v>
      </c>
      <c r="M823" s="10">
        <v>52.949274594938046</v>
      </c>
    </row>
    <row r="824" spans="11:13" x14ac:dyDescent="0.25">
      <c r="K824" s="26" t="s">
        <v>113</v>
      </c>
      <c r="L824" s="27" t="s">
        <v>117</v>
      </c>
      <c r="M824" s="10">
        <v>52.949274594938046</v>
      </c>
    </row>
    <row r="825" spans="11:13" x14ac:dyDescent="0.25">
      <c r="K825" s="26" t="s">
        <v>113</v>
      </c>
      <c r="L825" s="27" t="s">
        <v>118</v>
      </c>
      <c r="M825" s="10">
        <v>52.949274594938046</v>
      </c>
    </row>
    <row r="826" spans="11:13" x14ac:dyDescent="0.25">
      <c r="K826" s="26" t="s">
        <v>111</v>
      </c>
      <c r="L826" s="27" t="s">
        <v>119</v>
      </c>
      <c r="M826" s="10">
        <v>52.949274594938046</v>
      </c>
    </row>
    <row r="827" spans="11:13" x14ac:dyDescent="0.25">
      <c r="K827" s="26" t="s">
        <v>114</v>
      </c>
      <c r="L827" s="27" t="s">
        <v>115</v>
      </c>
      <c r="M827" s="10">
        <v>1.5</v>
      </c>
    </row>
    <row r="828" spans="11:13" x14ac:dyDescent="0.25">
      <c r="K828" s="26" t="s">
        <v>110</v>
      </c>
      <c r="L828" s="27" t="s">
        <v>116</v>
      </c>
      <c r="M828" s="10">
        <v>8.5</v>
      </c>
    </row>
    <row r="829" spans="11:13" x14ac:dyDescent="0.25">
      <c r="K829" s="26" t="s">
        <v>110</v>
      </c>
      <c r="L829" s="27" t="s">
        <v>117</v>
      </c>
      <c r="M829" s="10">
        <v>2</v>
      </c>
    </row>
    <row r="830" spans="11:13" x14ac:dyDescent="0.25">
      <c r="K830" s="26" t="s">
        <v>111</v>
      </c>
      <c r="L830" s="27" t="s">
        <v>118</v>
      </c>
      <c r="M830" s="10">
        <v>4.3433298862461216</v>
      </c>
    </row>
    <row r="831" spans="11:13" x14ac:dyDescent="0.25">
      <c r="K831" s="26" t="s">
        <v>110</v>
      </c>
      <c r="L831" s="27" t="s">
        <v>119</v>
      </c>
      <c r="M831" s="10">
        <v>18.484288354898336</v>
      </c>
    </row>
    <row r="832" spans="11:13" x14ac:dyDescent="0.25">
      <c r="K832" s="26" t="s">
        <v>110</v>
      </c>
      <c r="L832" s="27" t="s">
        <v>115</v>
      </c>
      <c r="M832" s="10">
        <v>18.484288354898336</v>
      </c>
    </row>
    <row r="833" spans="11:13" x14ac:dyDescent="0.25">
      <c r="K833" s="26" t="s">
        <v>110</v>
      </c>
      <c r="L833" s="27" t="s">
        <v>116</v>
      </c>
      <c r="M833" s="10">
        <v>18.484288354898336</v>
      </c>
    </row>
    <row r="834" spans="11:13" x14ac:dyDescent="0.25">
      <c r="K834" s="26" t="s">
        <v>112</v>
      </c>
      <c r="L834" s="27" t="s">
        <v>117</v>
      </c>
      <c r="M834" s="10">
        <v>46.684472663139339</v>
      </c>
    </row>
    <row r="835" spans="11:13" x14ac:dyDescent="0.25">
      <c r="K835" s="26" t="s">
        <v>109</v>
      </c>
      <c r="L835" s="27" t="s">
        <v>118</v>
      </c>
      <c r="M835" s="10">
        <v>66.137566137566139</v>
      </c>
    </row>
    <row r="836" spans="11:13" x14ac:dyDescent="0.25">
      <c r="K836" s="26" t="s">
        <v>109</v>
      </c>
      <c r="L836" s="27" t="s">
        <v>119</v>
      </c>
      <c r="M836" s="10">
        <v>40.121970791205264</v>
      </c>
    </row>
    <row r="837" spans="11:13" x14ac:dyDescent="0.25">
      <c r="K837" s="26" t="s">
        <v>110</v>
      </c>
      <c r="L837" s="27" t="s">
        <v>115</v>
      </c>
      <c r="M837" s="10">
        <v>81.030710639332298</v>
      </c>
    </row>
    <row r="838" spans="11:13" x14ac:dyDescent="0.25">
      <c r="K838" s="26" t="s">
        <v>111</v>
      </c>
      <c r="L838" s="27" t="s">
        <v>116</v>
      </c>
      <c r="M838" s="10">
        <v>8.617718028266113</v>
      </c>
    </row>
    <row r="839" spans="11:13" x14ac:dyDescent="0.25">
      <c r="K839" s="26" t="s">
        <v>111</v>
      </c>
      <c r="L839" s="27" t="s">
        <v>117</v>
      </c>
      <c r="M839" s="10">
        <v>264.74637297469025</v>
      </c>
    </row>
    <row r="840" spans="11:13" x14ac:dyDescent="0.25">
      <c r="K840" s="26" t="s">
        <v>109</v>
      </c>
      <c r="L840" s="27" t="s">
        <v>118</v>
      </c>
      <c r="M840" s="10">
        <v>51.706308169596689</v>
      </c>
    </row>
    <row r="841" spans="11:13" x14ac:dyDescent="0.25">
      <c r="K841" s="26" t="s">
        <v>111</v>
      </c>
      <c r="L841" s="27" t="s">
        <v>119</v>
      </c>
      <c r="M841" s="10">
        <v>1215.4606595899847</v>
      </c>
    </row>
    <row r="842" spans="11:13" x14ac:dyDescent="0.25">
      <c r="K842" s="26" t="s">
        <v>113</v>
      </c>
      <c r="L842" s="27" t="s">
        <v>115</v>
      </c>
      <c r="M842" s="10">
        <v>21.199234257962562</v>
      </c>
    </row>
    <row r="843" spans="11:13" x14ac:dyDescent="0.25">
      <c r="K843" s="26" t="s">
        <v>113</v>
      </c>
      <c r="L843" s="27" t="s">
        <v>116</v>
      </c>
      <c r="M843" s="10">
        <v>52.949274594938046</v>
      </c>
    </row>
    <row r="844" spans="11:13" x14ac:dyDescent="0.25">
      <c r="K844" s="26" t="s">
        <v>112</v>
      </c>
      <c r="L844" s="27" t="s">
        <v>117</v>
      </c>
      <c r="M844" s="10">
        <v>52.949274594938046</v>
      </c>
    </row>
    <row r="845" spans="11:13" x14ac:dyDescent="0.25">
      <c r="K845" s="26" t="s">
        <v>112</v>
      </c>
      <c r="L845" s="27" t="s">
        <v>118</v>
      </c>
      <c r="M845" s="10">
        <v>81.030710639332298</v>
      </c>
    </row>
    <row r="846" spans="11:13" x14ac:dyDescent="0.25">
      <c r="K846" s="26" t="s">
        <v>112</v>
      </c>
      <c r="L846" s="27" t="s">
        <v>119</v>
      </c>
      <c r="M846" s="10">
        <v>137.37899200454268</v>
      </c>
    </row>
    <row r="847" spans="11:13" x14ac:dyDescent="0.25">
      <c r="K847" s="26" t="s">
        <v>112</v>
      </c>
      <c r="L847" s="27" t="s">
        <v>115</v>
      </c>
      <c r="M847" s="10">
        <v>4.55</v>
      </c>
    </row>
    <row r="848" spans="11:13" x14ac:dyDescent="0.25">
      <c r="K848" s="26" t="s">
        <v>112</v>
      </c>
      <c r="L848" s="27" t="s">
        <v>116</v>
      </c>
      <c r="M848" s="10">
        <v>14.880834607428726</v>
      </c>
    </row>
    <row r="849" spans="11:13" x14ac:dyDescent="0.25">
      <c r="K849" s="26" t="s">
        <v>112</v>
      </c>
      <c r="L849" s="27" t="s">
        <v>117</v>
      </c>
      <c r="M849" s="10">
        <v>65.808090446639511</v>
      </c>
    </row>
    <row r="850" spans="11:13" x14ac:dyDescent="0.25">
      <c r="K850" s="26" t="s">
        <v>110</v>
      </c>
      <c r="L850" s="27" t="s">
        <v>118</v>
      </c>
      <c r="M850" s="10">
        <v>132.27513227513228</v>
      </c>
    </row>
    <row r="851" spans="11:13" x14ac:dyDescent="0.25">
      <c r="K851" s="26" t="s">
        <v>110</v>
      </c>
      <c r="L851" s="27" t="s">
        <v>119</v>
      </c>
      <c r="M851" s="10">
        <v>52.949274594938046</v>
      </c>
    </row>
    <row r="852" spans="11:13" x14ac:dyDescent="0.25">
      <c r="K852" s="26" t="s">
        <v>110</v>
      </c>
      <c r="L852" s="27" t="s">
        <v>115</v>
      </c>
      <c r="M852" s="10">
        <v>52.949274594938046</v>
      </c>
    </row>
    <row r="853" spans="11:13" x14ac:dyDescent="0.25">
      <c r="K853" s="26" t="s">
        <v>113</v>
      </c>
      <c r="L853" s="27" t="s">
        <v>116</v>
      </c>
      <c r="M853" s="10">
        <v>52.949274594938046</v>
      </c>
    </row>
    <row r="854" spans="11:13" x14ac:dyDescent="0.25">
      <c r="K854" s="26" t="s">
        <v>113</v>
      </c>
      <c r="L854" s="27" t="s">
        <v>117</v>
      </c>
      <c r="M854" s="10">
        <v>52.949274594938046</v>
      </c>
    </row>
    <row r="855" spans="11:13" x14ac:dyDescent="0.25">
      <c r="K855" s="26" t="s">
        <v>110</v>
      </c>
      <c r="L855" s="27" t="s">
        <v>118</v>
      </c>
      <c r="M855" s="10">
        <v>52.949274594938046</v>
      </c>
    </row>
    <row r="856" spans="11:13" x14ac:dyDescent="0.25">
      <c r="K856" s="26" t="s">
        <v>110</v>
      </c>
      <c r="L856" s="27" t="s">
        <v>119</v>
      </c>
      <c r="M856" s="10">
        <v>52.949274594938046</v>
      </c>
    </row>
    <row r="857" spans="11:13" x14ac:dyDescent="0.25">
      <c r="K857" s="26" t="s">
        <v>111</v>
      </c>
      <c r="L857" s="27" t="s">
        <v>115</v>
      </c>
      <c r="M857" s="10">
        <v>52.949274594938046</v>
      </c>
    </row>
    <row r="858" spans="11:13" x14ac:dyDescent="0.25">
      <c r="K858" s="26" t="s">
        <v>113</v>
      </c>
      <c r="L858" s="27" t="s">
        <v>116</v>
      </c>
      <c r="M858" s="10">
        <v>52.949274594938046</v>
      </c>
    </row>
    <row r="859" spans="11:13" x14ac:dyDescent="0.25">
      <c r="K859" s="26" t="s">
        <v>111</v>
      </c>
      <c r="L859" s="27" t="s">
        <v>117</v>
      </c>
      <c r="M859" s="10">
        <v>52.949274594938046</v>
      </c>
    </row>
    <row r="860" spans="11:13" x14ac:dyDescent="0.25">
      <c r="K860" s="26" t="s">
        <v>110</v>
      </c>
      <c r="L860" s="27" t="s">
        <v>118</v>
      </c>
      <c r="M860" s="10">
        <v>52.949274594938046</v>
      </c>
    </row>
    <row r="861" spans="11:13" x14ac:dyDescent="0.25">
      <c r="K861" s="26" t="s">
        <v>110</v>
      </c>
      <c r="L861" s="27" t="s">
        <v>119</v>
      </c>
      <c r="M861" s="10">
        <v>52.949274594938046</v>
      </c>
    </row>
    <row r="862" spans="11:13" x14ac:dyDescent="0.25">
      <c r="K862" s="26" t="s">
        <v>110</v>
      </c>
      <c r="L862" s="27" t="s">
        <v>115</v>
      </c>
      <c r="M862" s="10">
        <v>52.949274594938046</v>
      </c>
    </row>
    <row r="863" spans="11:13" x14ac:dyDescent="0.25">
      <c r="K863" s="26" t="s">
        <v>110</v>
      </c>
      <c r="L863" s="27" t="s">
        <v>116</v>
      </c>
      <c r="M863" s="10">
        <v>52.949274594938046</v>
      </c>
    </row>
    <row r="864" spans="11:13" x14ac:dyDescent="0.25">
      <c r="K864" s="26" t="s">
        <v>111</v>
      </c>
      <c r="L864" s="27" t="s">
        <v>117</v>
      </c>
      <c r="M864" s="10">
        <v>52.949274594938046</v>
      </c>
    </row>
    <row r="865" spans="11:13" x14ac:dyDescent="0.25">
      <c r="K865" s="26" t="s">
        <v>111</v>
      </c>
      <c r="L865" s="27" t="s">
        <v>118</v>
      </c>
      <c r="M865" s="10">
        <v>52.949274594938046</v>
      </c>
    </row>
    <row r="866" spans="11:13" x14ac:dyDescent="0.25">
      <c r="K866" s="26" t="s">
        <v>109</v>
      </c>
      <c r="L866" s="27" t="s">
        <v>119</v>
      </c>
      <c r="M866" s="10">
        <v>52.949274594938046</v>
      </c>
    </row>
    <row r="867" spans="11:13" x14ac:dyDescent="0.25">
      <c r="K867" s="26" t="s">
        <v>110</v>
      </c>
      <c r="L867" s="27" t="s">
        <v>115</v>
      </c>
      <c r="M867" s="10">
        <v>52.949274594938046</v>
      </c>
    </row>
    <row r="868" spans="11:13" x14ac:dyDescent="0.25">
      <c r="K868" s="26" t="s">
        <v>111</v>
      </c>
      <c r="L868" s="27" t="s">
        <v>116</v>
      </c>
      <c r="M868" s="10">
        <v>36.0810405643739</v>
      </c>
    </row>
    <row r="869" spans="11:13" x14ac:dyDescent="0.25">
      <c r="K869" s="26" t="s">
        <v>111</v>
      </c>
      <c r="L869" s="27" t="s">
        <v>117</v>
      </c>
      <c r="M869" s="10">
        <v>103.41261633919338</v>
      </c>
    </row>
    <row r="870" spans="11:13" x14ac:dyDescent="0.25">
      <c r="K870" s="26" t="s">
        <v>111</v>
      </c>
      <c r="L870" s="27" t="s">
        <v>118</v>
      </c>
      <c r="M870" s="10">
        <v>103.41261633919338</v>
      </c>
    </row>
    <row r="871" spans="11:13" x14ac:dyDescent="0.25">
      <c r="K871" s="26" t="s">
        <v>113</v>
      </c>
      <c r="L871" s="27" t="s">
        <v>119</v>
      </c>
      <c r="M871" s="10">
        <v>2.0682523267838673</v>
      </c>
    </row>
    <row r="872" spans="11:13" x14ac:dyDescent="0.25">
      <c r="K872" s="26" t="s">
        <v>113</v>
      </c>
      <c r="L872" s="27" t="s">
        <v>115</v>
      </c>
      <c r="M872" s="10">
        <v>33.781454670803171</v>
      </c>
    </row>
    <row r="873" spans="11:13" x14ac:dyDescent="0.25">
      <c r="K873" s="26" t="s">
        <v>112</v>
      </c>
      <c r="L873" s="27" t="s">
        <v>116</v>
      </c>
      <c r="M873" s="10">
        <v>44.091710758377424</v>
      </c>
    </row>
    <row r="874" spans="11:13" x14ac:dyDescent="0.25">
      <c r="K874" s="26" t="s">
        <v>112</v>
      </c>
      <c r="L874" s="27" t="s">
        <v>117</v>
      </c>
      <c r="M874" s="10">
        <v>220.45855379188714</v>
      </c>
    </row>
    <row r="875" spans="11:13" x14ac:dyDescent="0.25">
      <c r="K875" s="26" t="s">
        <v>112</v>
      </c>
      <c r="L875" s="27" t="s">
        <v>118</v>
      </c>
      <c r="M875" s="10">
        <v>138.63216266173754</v>
      </c>
    </row>
    <row r="876" spans="11:13" x14ac:dyDescent="0.25">
      <c r="K876" s="26" t="s">
        <v>112</v>
      </c>
      <c r="L876" s="27" t="s">
        <v>119</v>
      </c>
      <c r="M876" s="10">
        <v>211.79709837975219</v>
      </c>
    </row>
    <row r="877" spans="11:13" x14ac:dyDescent="0.25">
      <c r="K877" s="26" t="s">
        <v>112</v>
      </c>
      <c r="L877" s="27" t="s">
        <v>115</v>
      </c>
      <c r="M877" s="10">
        <v>27.726432532347506</v>
      </c>
    </row>
    <row r="878" spans="11:13" x14ac:dyDescent="0.25">
      <c r="K878" s="26" t="s">
        <v>112</v>
      </c>
      <c r="L878" s="27" t="s">
        <v>116</v>
      </c>
      <c r="M878" s="10">
        <v>20.024645717806532</v>
      </c>
    </row>
    <row r="879" spans="11:13" x14ac:dyDescent="0.25">
      <c r="K879" s="26" t="s">
        <v>110</v>
      </c>
      <c r="L879" s="27" t="s">
        <v>117</v>
      </c>
      <c r="M879" s="10">
        <v>24.645717806531117</v>
      </c>
    </row>
    <row r="880" spans="11:13" x14ac:dyDescent="0.25">
      <c r="K880" s="26" t="s">
        <v>110</v>
      </c>
      <c r="L880" s="27" t="s">
        <v>118</v>
      </c>
      <c r="M880" s="10">
        <v>21.010474430067774</v>
      </c>
    </row>
    <row r="881" spans="11:13" x14ac:dyDescent="0.25">
      <c r="K881" s="26" t="s">
        <v>110</v>
      </c>
      <c r="L881" s="27" t="s">
        <v>119</v>
      </c>
      <c r="M881" s="10">
        <v>61.614294516327789</v>
      </c>
    </row>
    <row r="882" spans="11:13" x14ac:dyDescent="0.25">
      <c r="K882" s="26" t="s">
        <v>113</v>
      </c>
      <c r="L882" s="27" t="s">
        <v>115</v>
      </c>
      <c r="M882" s="10">
        <v>22.045855379188712</v>
      </c>
    </row>
    <row r="883" spans="11:13" x14ac:dyDescent="0.25">
      <c r="K883" s="26" t="s">
        <v>113</v>
      </c>
      <c r="L883" s="27" t="s">
        <v>116</v>
      </c>
      <c r="M883" s="10">
        <v>77.017868145409736</v>
      </c>
    </row>
    <row r="884" spans="11:13" x14ac:dyDescent="0.25">
      <c r="K884" s="26" t="s">
        <v>111</v>
      </c>
      <c r="L884" s="27" t="s">
        <v>117</v>
      </c>
      <c r="M884" s="10">
        <v>238.0356635863244</v>
      </c>
    </row>
    <row r="885" spans="11:13" x14ac:dyDescent="0.25">
      <c r="K885" s="26" t="s">
        <v>111</v>
      </c>
      <c r="L885" s="27" t="s">
        <v>118</v>
      </c>
      <c r="M885" s="10">
        <v>412.13697601362799</v>
      </c>
    </row>
    <row r="886" spans="11:13" x14ac:dyDescent="0.25">
      <c r="K886" s="26" t="s">
        <v>111</v>
      </c>
      <c r="L886" s="27" t="s">
        <v>119</v>
      </c>
      <c r="M886" s="10">
        <v>73.2687957357561</v>
      </c>
    </row>
    <row r="887" spans="11:13" x14ac:dyDescent="0.25">
      <c r="K887" s="26" t="s">
        <v>111</v>
      </c>
      <c r="L887" s="27" t="s">
        <v>115</v>
      </c>
      <c r="M887" s="10">
        <v>6.549465701482247</v>
      </c>
    </row>
    <row r="888" spans="11:13" x14ac:dyDescent="0.25">
      <c r="K888" s="26" t="s">
        <v>110</v>
      </c>
      <c r="L888" s="27" t="s">
        <v>116</v>
      </c>
      <c r="M888" s="10">
        <v>32.747328507411233</v>
      </c>
    </row>
    <row r="889" spans="11:13" x14ac:dyDescent="0.25">
      <c r="K889" s="26" t="s">
        <v>110</v>
      </c>
      <c r="L889" s="27" t="s">
        <v>117</v>
      </c>
      <c r="M889" s="10">
        <v>10</v>
      </c>
    </row>
    <row r="890" spans="11:13" x14ac:dyDescent="0.25">
      <c r="K890" s="26" t="s">
        <v>111</v>
      </c>
      <c r="L890" s="27" t="s">
        <v>118</v>
      </c>
      <c r="M890" s="10">
        <v>110.22927689594357</v>
      </c>
    </row>
    <row r="891" spans="11:13" x14ac:dyDescent="0.25">
      <c r="K891" s="26" t="s">
        <v>112</v>
      </c>
      <c r="L891" s="27" t="s">
        <v>119</v>
      </c>
      <c r="M891" s="10">
        <v>55.114638447971785</v>
      </c>
    </row>
    <row r="892" spans="11:13" x14ac:dyDescent="0.25">
      <c r="K892" s="26" t="s">
        <v>110</v>
      </c>
      <c r="L892" s="27" t="s">
        <v>115</v>
      </c>
      <c r="M892" s="10">
        <v>154.03573629081947</v>
      </c>
    </row>
    <row r="893" spans="11:13" x14ac:dyDescent="0.25">
      <c r="K893" s="26" t="s">
        <v>111</v>
      </c>
      <c r="L893" s="27" t="s">
        <v>116</v>
      </c>
      <c r="M893" s="10">
        <v>22.045855379188712</v>
      </c>
    </row>
    <row r="894" spans="11:13" x14ac:dyDescent="0.25">
      <c r="K894" s="26" t="s">
        <v>111</v>
      </c>
      <c r="L894" s="27" t="s">
        <v>117</v>
      </c>
      <c r="M894" s="10">
        <v>154.03573629081947</v>
      </c>
    </row>
    <row r="895" spans="11:13" x14ac:dyDescent="0.25">
      <c r="K895" s="26" t="s">
        <v>110</v>
      </c>
      <c r="L895" s="27" t="s">
        <v>118</v>
      </c>
      <c r="M895" s="10">
        <v>154.03573629081947</v>
      </c>
    </row>
    <row r="896" spans="11:13" x14ac:dyDescent="0.25">
      <c r="K896" s="26" t="s">
        <v>110</v>
      </c>
      <c r="L896" s="27" t="s">
        <v>119</v>
      </c>
      <c r="M896" s="10">
        <v>154.32098765432099</v>
      </c>
    </row>
    <row r="897" spans="11:13" x14ac:dyDescent="0.25">
      <c r="K897" s="26" t="s">
        <v>110</v>
      </c>
      <c r="L897" s="27" t="s">
        <v>115</v>
      </c>
      <c r="M897" s="10">
        <v>17.235436056532226</v>
      </c>
    </row>
    <row r="898" spans="11:13" x14ac:dyDescent="0.25">
      <c r="K898" s="26" t="s">
        <v>110</v>
      </c>
      <c r="L898" s="27" t="s">
        <v>116</v>
      </c>
      <c r="M898" s="10">
        <v>44.091710758377424</v>
      </c>
    </row>
    <row r="899" spans="11:13" x14ac:dyDescent="0.25">
      <c r="K899" s="26" t="s">
        <v>110</v>
      </c>
      <c r="L899" s="27" t="s">
        <v>117</v>
      </c>
      <c r="M899" s="10">
        <v>22.045855379188712</v>
      </c>
    </row>
    <row r="900" spans="11:13" x14ac:dyDescent="0.25">
      <c r="K900" s="26" t="s">
        <v>110</v>
      </c>
      <c r="L900" s="27" t="s">
        <v>118</v>
      </c>
      <c r="M900" s="10">
        <v>7.9269718499865105</v>
      </c>
    </row>
    <row r="901" spans="11:13" x14ac:dyDescent="0.25">
      <c r="K901" s="26" t="s">
        <v>110</v>
      </c>
      <c r="L901" s="27" t="s">
        <v>119</v>
      </c>
      <c r="M901" s="10">
        <v>4.409171075837742</v>
      </c>
    </row>
    <row r="902" spans="11:13" x14ac:dyDescent="0.25">
      <c r="K902" s="26" t="s">
        <v>113</v>
      </c>
      <c r="L902" s="27" t="s">
        <v>115</v>
      </c>
      <c r="M902" s="10">
        <v>30.8641975308642</v>
      </c>
    </row>
    <row r="903" spans="11:13" x14ac:dyDescent="0.25">
      <c r="K903" s="26" t="s">
        <v>113</v>
      </c>
      <c r="L903" s="27" t="s">
        <v>116</v>
      </c>
      <c r="M903" s="10">
        <v>32.904045223319756</v>
      </c>
    </row>
    <row r="904" spans="11:13" x14ac:dyDescent="0.25">
      <c r="K904" s="26" t="s">
        <v>109</v>
      </c>
      <c r="L904" s="27" t="s">
        <v>117</v>
      </c>
      <c r="M904" s="10">
        <v>10.341261633919338</v>
      </c>
    </row>
    <row r="905" spans="11:13" x14ac:dyDescent="0.25">
      <c r="K905" s="26" t="s">
        <v>113</v>
      </c>
      <c r="L905" s="27" t="s">
        <v>118</v>
      </c>
      <c r="M905" s="10">
        <v>178.57142857142858</v>
      </c>
    </row>
    <row r="906" spans="11:13" x14ac:dyDescent="0.25">
      <c r="K906" s="26" t="s">
        <v>113</v>
      </c>
      <c r="L906" s="27" t="s">
        <v>119</v>
      </c>
      <c r="M906" s="10">
        <v>3.8779731127197516</v>
      </c>
    </row>
    <row r="907" spans="11:13" x14ac:dyDescent="0.25">
      <c r="K907" s="26" t="s">
        <v>112</v>
      </c>
      <c r="L907" s="27" t="s">
        <v>115</v>
      </c>
      <c r="M907" s="10">
        <v>13.555049982764563</v>
      </c>
    </row>
    <row r="908" spans="11:13" x14ac:dyDescent="0.25">
      <c r="K908" s="26" t="s">
        <v>112</v>
      </c>
      <c r="L908" s="27" t="s">
        <v>116</v>
      </c>
      <c r="M908" s="10">
        <v>29.046570148224749</v>
      </c>
    </row>
    <row r="909" spans="11:13" x14ac:dyDescent="0.25">
      <c r="K909" s="26" t="s">
        <v>112</v>
      </c>
      <c r="L909" s="27" t="s">
        <v>117</v>
      </c>
      <c r="M909" s="10">
        <v>73.2687957357561</v>
      </c>
    </row>
    <row r="910" spans="11:13" x14ac:dyDescent="0.25">
      <c r="K910" s="26" t="s">
        <v>112</v>
      </c>
      <c r="L910" s="27" t="s">
        <v>118</v>
      </c>
      <c r="M910" s="10">
        <v>20.682523267838675</v>
      </c>
    </row>
    <row r="911" spans="11:13" x14ac:dyDescent="0.25">
      <c r="K911" s="26" t="s">
        <v>111</v>
      </c>
      <c r="L911" s="27" t="s">
        <v>119</v>
      </c>
      <c r="M911" s="10">
        <v>154.03573629081947</v>
      </c>
    </row>
    <row r="912" spans="11:13" x14ac:dyDescent="0.25">
      <c r="K912" s="26" t="s">
        <v>113</v>
      </c>
      <c r="L912" s="27" t="s">
        <v>115</v>
      </c>
      <c r="M912" s="10">
        <v>6.1614294516327792</v>
      </c>
    </row>
    <row r="913" spans="11:13" x14ac:dyDescent="0.25">
      <c r="K913" s="26" t="s">
        <v>110</v>
      </c>
      <c r="L913" s="27" t="s">
        <v>116</v>
      </c>
      <c r="M913" s="10">
        <v>64.110196268786581</v>
      </c>
    </row>
    <row r="914" spans="11:13" x14ac:dyDescent="0.25">
      <c r="K914" s="26" t="s">
        <v>110</v>
      </c>
      <c r="L914" s="27" t="s">
        <v>117</v>
      </c>
      <c r="M914" s="10">
        <v>21.565003080714728</v>
      </c>
    </row>
    <row r="915" spans="11:13" x14ac:dyDescent="0.25">
      <c r="K915" s="26" t="s">
        <v>111</v>
      </c>
      <c r="L915" s="27" t="s">
        <v>118</v>
      </c>
      <c r="M915" s="10">
        <v>15.403573629081947</v>
      </c>
    </row>
    <row r="916" spans="11:13" x14ac:dyDescent="0.25">
      <c r="K916" s="26" t="s">
        <v>113</v>
      </c>
      <c r="L916" s="27" t="s">
        <v>119</v>
      </c>
      <c r="M916" s="10">
        <v>52.949274594938046</v>
      </c>
    </row>
    <row r="917" spans="11:13" x14ac:dyDescent="0.25">
      <c r="K917" s="26" t="s">
        <v>113</v>
      </c>
      <c r="L917" s="27" t="s">
        <v>115</v>
      </c>
      <c r="M917" s="10">
        <v>52.949274594938046</v>
      </c>
    </row>
    <row r="918" spans="11:13" x14ac:dyDescent="0.25">
      <c r="K918" s="26" t="s">
        <v>111</v>
      </c>
      <c r="L918" s="27" t="s">
        <v>116</v>
      </c>
      <c r="M918" s="10">
        <v>52.949274594938046</v>
      </c>
    </row>
    <row r="919" spans="11:13" x14ac:dyDescent="0.25">
      <c r="K919" s="26" t="s">
        <v>113</v>
      </c>
      <c r="L919" s="27" t="s">
        <v>117</v>
      </c>
      <c r="M919" s="10">
        <v>110.22927689594357</v>
      </c>
    </row>
    <row r="920" spans="11:13" x14ac:dyDescent="0.25">
      <c r="K920" s="26" t="s">
        <v>113</v>
      </c>
      <c r="L920" s="27" t="s">
        <v>118</v>
      </c>
      <c r="M920" s="10">
        <v>110.22927689594357</v>
      </c>
    </row>
    <row r="921" spans="11:13" x14ac:dyDescent="0.25">
      <c r="K921" s="26" t="s">
        <v>113</v>
      </c>
      <c r="L921" s="27" t="s">
        <v>119</v>
      </c>
      <c r="M921" s="10">
        <v>52.949274594938046</v>
      </c>
    </row>
    <row r="922" spans="11:13" x14ac:dyDescent="0.25">
      <c r="K922" s="26" t="s">
        <v>111</v>
      </c>
      <c r="L922" s="27" t="s">
        <v>115</v>
      </c>
      <c r="M922" s="10">
        <v>529.49274594938049</v>
      </c>
    </row>
    <row r="923" spans="11:13" x14ac:dyDescent="0.25">
      <c r="K923" s="26" t="s">
        <v>111</v>
      </c>
      <c r="L923" s="27" t="s">
        <v>116</v>
      </c>
      <c r="M923" s="10">
        <v>148.25796886582651</v>
      </c>
    </row>
    <row r="924" spans="11:13" x14ac:dyDescent="0.25">
      <c r="K924" s="26" t="s">
        <v>112</v>
      </c>
      <c r="L924" s="27" t="s">
        <v>117</v>
      </c>
      <c r="M924" s="10">
        <v>34.470872113064452</v>
      </c>
    </row>
    <row r="925" spans="11:13" x14ac:dyDescent="0.25">
      <c r="K925" s="26" t="s">
        <v>112</v>
      </c>
      <c r="L925" s="27" t="s">
        <v>118</v>
      </c>
      <c r="M925" s="10">
        <v>52.949274594938046</v>
      </c>
    </row>
    <row r="926" spans="11:13" x14ac:dyDescent="0.25">
      <c r="K926" s="26" t="s">
        <v>112</v>
      </c>
      <c r="L926" s="27" t="s">
        <v>119</v>
      </c>
      <c r="M926" s="10">
        <v>52.949274594938046</v>
      </c>
    </row>
    <row r="927" spans="11:13" x14ac:dyDescent="0.25">
      <c r="K927" s="26" t="s">
        <v>112</v>
      </c>
      <c r="L927" s="27" t="s">
        <v>115</v>
      </c>
      <c r="M927" s="10">
        <v>52.949274594938046</v>
      </c>
    </row>
    <row r="928" spans="11:13" x14ac:dyDescent="0.25">
      <c r="K928" s="26" t="s">
        <v>112</v>
      </c>
      <c r="L928" s="27" t="s">
        <v>116</v>
      </c>
      <c r="M928" s="10">
        <v>52.949274594938046</v>
      </c>
    </row>
    <row r="929" spans="11:13" x14ac:dyDescent="0.25">
      <c r="K929" s="26" t="s">
        <v>111</v>
      </c>
      <c r="L929" s="27" t="s">
        <v>117</v>
      </c>
      <c r="M929" s="10">
        <v>115.37522644636594</v>
      </c>
    </row>
    <row r="930" spans="11:13" x14ac:dyDescent="0.25">
      <c r="K930" s="26" t="s">
        <v>111</v>
      </c>
      <c r="L930" s="27" t="s">
        <v>118</v>
      </c>
      <c r="M930" s="10">
        <v>52.949274594938046</v>
      </c>
    </row>
    <row r="931" spans="11:13" x14ac:dyDescent="0.25">
      <c r="K931" s="26" t="s">
        <v>114</v>
      </c>
      <c r="L931" s="27" t="s">
        <v>119</v>
      </c>
      <c r="M931" s="10">
        <v>52.949274594938046</v>
      </c>
    </row>
    <row r="932" spans="11:13" x14ac:dyDescent="0.25">
      <c r="K932" s="26" t="s">
        <v>110</v>
      </c>
      <c r="L932" s="27" t="s">
        <v>115</v>
      </c>
      <c r="M932" s="10">
        <v>52.949274594938046</v>
      </c>
    </row>
    <row r="933" spans="11:13" x14ac:dyDescent="0.25">
      <c r="K933" s="26" t="s">
        <v>111</v>
      </c>
      <c r="L933" s="27" t="s">
        <v>116</v>
      </c>
      <c r="M933" s="10">
        <v>52.949274594938046</v>
      </c>
    </row>
    <row r="934" spans="11:13" x14ac:dyDescent="0.25">
      <c r="K934" s="26" t="s">
        <v>110</v>
      </c>
      <c r="L934" s="27" t="s">
        <v>117</v>
      </c>
      <c r="M934" s="10">
        <v>154.03573629081947</v>
      </c>
    </row>
    <row r="935" spans="11:13" x14ac:dyDescent="0.25">
      <c r="K935" s="26" t="s">
        <v>110</v>
      </c>
      <c r="L935" s="27" t="s">
        <v>118</v>
      </c>
      <c r="M935" s="10">
        <v>92.421441774491683</v>
      </c>
    </row>
    <row r="936" spans="11:13" x14ac:dyDescent="0.25">
      <c r="K936" s="26" t="s">
        <v>110</v>
      </c>
      <c r="L936" s="27" t="s">
        <v>119</v>
      </c>
      <c r="M936" s="10">
        <v>26.186075169439309</v>
      </c>
    </row>
    <row r="937" spans="11:13" x14ac:dyDescent="0.25">
      <c r="K937" s="26" t="s">
        <v>110</v>
      </c>
      <c r="L937" s="27" t="s">
        <v>115</v>
      </c>
      <c r="M937" s="10">
        <v>103.41261633919338</v>
      </c>
    </row>
    <row r="938" spans="11:13" x14ac:dyDescent="0.25">
      <c r="K938" s="26" t="s">
        <v>113</v>
      </c>
      <c r="L938" s="27" t="s">
        <v>116</v>
      </c>
      <c r="M938" s="10">
        <v>132.27513227513228</v>
      </c>
    </row>
    <row r="939" spans="11:13" x14ac:dyDescent="0.25">
      <c r="K939" s="26" t="s">
        <v>113</v>
      </c>
      <c r="L939" s="27" t="s">
        <v>117</v>
      </c>
      <c r="M939" s="10">
        <v>110.22927689594357</v>
      </c>
    </row>
    <row r="940" spans="11:13" x14ac:dyDescent="0.25">
      <c r="K940" s="26" t="s">
        <v>112</v>
      </c>
      <c r="L940" s="27" t="s">
        <v>118</v>
      </c>
      <c r="M940" s="10">
        <v>1148.527587632655</v>
      </c>
    </row>
    <row r="941" spans="11:13" x14ac:dyDescent="0.25">
      <c r="K941" s="26" t="s">
        <v>112</v>
      </c>
      <c r="L941" s="27" t="s">
        <v>119</v>
      </c>
      <c r="M941" s="10">
        <v>38.54406228720466</v>
      </c>
    </row>
    <row r="942" spans="11:13" x14ac:dyDescent="0.25">
      <c r="K942" s="26" t="s">
        <v>111</v>
      </c>
      <c r="L942" s="27" t="s">
        <v>115</v>
      </c>
      <c r="M942" s="10">
        <v>330.68783068783068</v>
      </c>
    </row>
    <row r="943" spans="11:13" x14ac:dyDescent="0.25">
      <c r="K943" s="26" t="s">
        <v>111</v>
      </c>
      <c r="L943" s="27" t="s">
        <v>116</v>
      </c>
      <c r="M943" s="10">
        <v>10.166287487073424</v>
      </c>
    </row>
    <row r="944" spans="11:13" x14ac:dyDescent="0.25">
      <c r="K944" s="26" t="s">
        <v>113</v>
      </c>
      <c r="L944" s="27" t="s">
        <v>117</v>
      </c>
      <c r="M944" s="10">
        <v>14.523267838676318</v>
      </c>
    </row>
    <row r="945" spans="11:13" x14ac:dyDescent="0.25">
      <c r="K945" s="26" t="s">
        <v>111</v>
      </c>
      <c r="L945" s="27" t="s">
        <v>118</v>
      </c>
      <c r="M945" s="10">
        <v>23.853843502240604</v>
      </c>
    </row>
    <row r="946" spans="11:13" x14ac:dyDescent="0.25">
      <c r="K946" s="26" t="s">
        <v>111</v>
      </c>
      <c r="L946" s="27" t="s">
        <v>119</v>
      </c>
      <c r="M946" s="10">
        <v>10.181523612547396</v>
      </c>
    </row>
    <row r="947" spans="11:13" x14ac:dyDescent="0.25">
      <c r="K947" s="26" t="s">
        <v>111</v>
      </c>
      <c r="L947" s="27" t="s">
        <v>115</v>
      </c>
      <c r="M947" s="10">
        <v>7.5520854877628398</v>
      </c>
    </row>
    <row r="948" spans="11:13" x14ac:dyDescent="0.25">
      <c r="K948" s="26" t="s">
        <v>111</v>
      </c>
      <c r="L948" s="27" t="s">
        <v>116</v>
      </c>
      <c r="M948" s="10">
        <v>27.576697690451567</v>
      </c>
    </row>
    <row r="949" spans="11:13" x14ac:dyDescent="0.25">
      <c r="K949" s="26" t="s">
        <v>110</v>
      </c>
      <c r="L949" s="27" t="s">
        <v>117</v>
      </c>
      <c r="M949" s="10">
        <v>35.273368606701936</v>
      </c>
    </row>
    <row r="950" spans="11:13" x14ac:dyDescent="0.25">
      <c r="K950" s="26" t="s">
        <v>110</v>
      </c>
      <c r="L950" s="27" t="s">
        <v>118</v>
      </c>
      <c r="M950" s="10">
        <v>138.48329114899852</v>
      </c>
    </row>
    <row r="951" spans="11:13" x14ac:dyDescent="0.25">
      <c r="K951" s="26" t="s">
        <v>113</v>
      </c>
      <c r="L951" s="27" t="s">
        <v>119</v>
      </c>
      <c r="M951" s="10">
        <v>66.137566137566139</v>
      </c>
    </row>
    <row r="952" spans="11:13" x14ac:dyDescent="0.25">
      <c r="K952" s="26" t="s">
        <v>113</v>
      </c>
      <c r="L952" s="27" t="s">
        <v>115</v>
      </c>
      <c r="M952" s="10">
        <v>12.064805239572561</v>
      </c>
    </row>
    <row r="953" spans="11:13" x14ac:dyDescent="0.25">
      <c r="K953" s="26" t="s">
        <v>113</v>
      </c>
      <c r="L953" s="27" t="s">
        <v>116</v>
      </c>
      <c r="M953" s="10">
        <v>6613.7566137566137</v>
      </c>
    </row>
    <row r="954" spans="11:13" x14ac:dyDescent="0.25">
      <c r="K954" s="26" t="s">
        <v>111</v>
      </c>
      <c r="L954" s="27" t="s">
        <v>117</v>
      </c>
      <c r="M954" s="10">
        <v>92.421441774491683</v>
      </c>
    </row>
    <row r="955" spans="11:13" x14ac:dyDescent="0.25">
      <c r="K955" s="26" t="s">
        <v>111</v>
      </c>
      <c r="L955" s="27" t="s">
        <v>118</v>
      </c>
      <c r="M955" s="10">
        <v>9</v>
      </c>
    </row>
    <row r="956" spans="11:13" x14ac:dyDescent="0.25">
      <c r="K956" s="26" t="s">
        <v>111</v>
      </c>
      <c r="L956" s="27" t="s">
        <v>119</v>
      </c>
      <c r="M956" s="10">
        <v>40</v>
      </c>
    </row>
    <row r="957" spans="11:13" x14ac:dyDescent="0.25">
      <c r="K957" s="26" t="s">
        <v>109</v>
      </c>
      <c r="L957" s="27" t="s">
        <v>115</v>
      </c>
      <c r="M957" s="10">
        <v>55</v>
      </c>
    </row>
    <row r="958" spans="11:13" x14ac:dyDescent="0.25">
      <c r="K958" s="26" t="s">
        <v>109</v>
      </c>
      <c r="L958" s="27" t="s">
        <v>116</v>
      </c>
      <c r="M958" s="10">
        <v>172.35436056532231</v>
      </c>
    </row>
    <row r="959" spans="11:13" x14ac:dyDescent="0.25">
      <c r="K959" s="26" t="s">
        <v>110</v>
      </c>
      <c r="L959" s="27" t="s">
        <v>117</v>
      </c>
      <c r="M959" s="10">
        <v>172.35436056532231</v>
      </c>
    </row>
    <row r="960" spans="11:13" x14ac:dyDescent="0.25">
      <c r="K960" s="26" t="s">
        <v>109</v>
      </c>
      <c r="L960" s="27" t="s">
        <v>118</v>
      </c>
      <c r="M960" s="10">
        <v>95.308694270888495</v>
      </c>
    </row>
    <row r="961" spans="11:13" x14ac:dyDescent="0.25">
      <c r="K961" s="26" t="s">
        <v>109</v>
      </c>
      <c r="L961" s="27" t="s">
        <v>119</v>
      </c>
      <c r="M961" s="10">
        <v>105.89854918987609</v>
      </c>
    </row>
    <row r="962" spans="11:13" x14ac:dyDescent="0.25">
      <c r="K962" s="26" t="s">
        <v>112</v>
      </c>
      <c r="L962" s="27" t="s">
        <v>115</v>
      </c>
      <c r="M962" s="10">
        <v>52.949274594938046</v>
      </c>
    </row>
    <row r="963" spans="11:13" x14ac:dyDescent="0.25">
      <c r="K963" s="26" t="s">
        <v>112</v>
      </c>
      <c r="L963" s="27" t="s">
        <v>116</v>
      </c>
      <c r="M963" s="10">
        <v>52.949274594938046</v>
      </c>
    </row>
    <row r="964" spans="11:13" x14ac:dyDescent="0.25">
      <c r="K964" s="26" t="s">
        <v>112</v>
      </c>
      <c r="L964" s="27" t="s">
        <v>117</v>
      </c>
      <c r="M964" s="10">
        <v>52.949274594938046</v>
      </c>
    </row>
    <row r="965" spans="11:13" x14ac:dyDescent="0.25">
      <c r="K965" s="26" t="s">
        <v>111</v>
      </c>
      <c r="L965" s="27" t="s">
        <v>118</v>
      </c>
      <c r="M965" s="10">
        <v>52.949274594938046</v>
      </c>
    </row>
    <row r="966" spans="11:13" x14ac:dyDescent="0.25">
      <c r="K966" s="26" t="s">
        <v>111</v>
      </c>
      <c r="L966" s="27" t="s">
        <v>119</v>
      </c>
      <c r="M966" s="10">
        <v>6.6137566137566139</v>
      </c>
    </row>
    <row r="967" spans="11:13" x14ac:dyDescent="0.25">
      <c r="K967" s="26" t="s">
        <v>110</v>
      </c>
      <c r="L967" s="27" t="s">
        <v>115</v>
      </c>
      <c r="M967" s="10">
        <v>2.5853154084798344</v>
      </c>
    </row>
    <row r="968" spans="11:13" x14ac:dyDescent="0.25">
      <c r="K968" s="26" t="s">
        <v>109</v>
      </c>
      <c r="L968" s="27" t="s">
        <v>116</v>
      </c>
      <c r="M968" s="10">
        <v>6.6137566137566139</v>
      </c>
    </row>
    <row r="969" spans="11:13" x14ac:dyDescent="0.25">
      <c r="K969" s="26" t="s">
        <v>111</v>
      </c>
      <c r="L969" s="27" t="s">
        <v>117</v>
      </c>
      <c r="M969" s="10">
        <v>132.27513227513228</v>
      </c>
    </row>
    <row r="970" spans="11:13" x14ac:dyDescent="0.25">
      <c r="K970" s="26" t="s">
        <v>111</v>
      </c>
      <c r="L970" s="27" t="s">
        <v>118</v>
      </c>
      <c r="M970" s="10">
        <v>255.08445363667701</v>
      </c>
    </row>
    <row r="971" spans="11:13" x14ac:dyDescent="0.25">
      <c r="K971" s="26" t="s">
        <v>110</v>
      </c>
      <c r="L971" s="27" t="s">
        <v>119</v>
      </c>
      <c r="M971" s="10">
        <v>34.470872113064452</v>
      </c>
    </row>
    <row r="972" spans="11:13" x14ac:dyDescent="0.25">
      <c r="K972" s="26" t="s">
        <v>111</v>
      </c>
      <c r="L972" s="27" t="s">
        <v>115</v>
      </c>
      <c r="M972" s="10">
        <v>231.05360443622922</v>
      </c>
    </row>
    <row r="973" spans="11:13" x14ac:dyDescent="0.25">
      <c r="K973" s="26" t="s">
        <v>113</v>
      </c>
      <c r="L973" s="27" t="s">
        <v>116</v>
      </c>
      <c r="M973" s="10">
        <v>277.26432532347508</v>
      </c>
    </row>
    <row r="974" spans="11:13" x14ac:dyDescent="0.25">
      <c r="K974" s="26" t="s">
        <v>113</v>
      </c>
      <c r="L974" s="27" t="s">
        <v>117</v>
      </c>
      <c r="M974" s="10">
        <v>68.941744226128904</v>
      </c>
    </row>
    <row r="975" spans="11:13" x14ac:dyDescent="0.25">
      <c r="K975" s="26" t="s">
        <v>113</v>
      </c>
      <c r="L975" s="27" t="s">
        <v>118</v>
      </c>
      <c r="M975" s="10">
        <v>172.35436056532231</v>
      </c>
    </row>
    <row r="976" spans="11:13" x14ac:dyDescent="0.25">
      <c r="K976" s="26" t="s">
        <v>111</v>
      </c>
      <c r="L976" s="27" t="s">
        <v>119</v>
      </c>
      <c r="M976" s="10">
        <v>27.576697690451567</v>
      </c>
    </row>
    <row r="977" spans="11:13" x14ac:dyDescent="0.25">
      <c r="K977" s="26" t="s">
        <v>111</v>
      </c>
      <c r="L977" s="27" t="s">
        <v>115</v>
      </c>
      <c r="M977" s="10">
        <v>29.046570148224749</v>
      </c>
    </row>
    <row r="978" spans="11:13" x14ac:dyDescent="0.25">
      <c r="K978" s="26" t="s">
        <v>111</v>
      </c>
      <c r="L978" s="27" t="s">
        <v>116</v>
      </c>
      <c r="M978" s="10">
        <v>12.586832126852808</v>
      </c>
    </row>
    <row r="979" spans="11:13" x14ac:dyDescent="0.25">
      <c r="K979" s="26" t="s">
        <v>110</v>
      </c>
      <c r="L979" s="27" t="s">
        <v>117</v>
      </c>
      <c r="M979" s="10">
        <v>12.586832126852808</v>
      </c>
    </row>
    <row r="980" spans="11:13" x14ac:dyDescent="0.25">
      <c r="K980" s="26" t="s">
        <v>110</v>
      </c>
      <c r="L980" s="27" t="s">
        <v>118</v>
      </c>
      <c r="M980" s="10">
        <v>99.206349206349202</v>
      </c>
    </row>
    <row r="981" spans="11:13" x14ac:dyDescent="0.25">
      <c r="K981" s="26" t="s">
        <v>110</v>
      </c>
      <c r="L981" s="27" t="s">
        <v>119</v>
      </c>
      <c r="M981" s="10">
        <v>66.137566137566139</v>
      </c>
    </row>
    <row r="982" spans="11:13" x14ac:dyDescent="0.25">
      <c r="K982" s="26" t="s">
        <v>110</v>
      </c>
      <c r="L982" s="27" t="s">
        <v>115</v>
      </c>
      <c r="M982" s="10">
        <v>97.934303350970012</v>
      </c>
    </row>
    <row r="983" spans="11:13" x14ac:dyDescent="0.25">
      <c r="K983" s="26" t="s">
        <v>110</v>
      </c>
      <c r="L983" s="27" t="s">
        <v>116</v>
      </c>
      <c r="M983" s="10">
        <v>52.949274594938046</v>
      </c>
    </row>
    <row r="984" spans="11:13" x14ac:dyDescent="0.25">
      <c r="K984" s="26" t="s">
        <v>109</v>
      </c>
      <c r="L984" s="27" t="s">
        <v>117</v>
      </c>
      <c r="M984" s="10">
        <v>105.89854918987609</v>
      </c>
    </row>
    <row r="985" spans="11:13" x14ac:dyDescent="0.25">
      <c r="K985" s="26" t="s">
        <v>109</v>
      </c>
      <c r="L985" s="27" t="s">
        <v>118</v>
      </c>
      <c r="M985" s="10">
        <v>16.943767870380174</v>
      </c>
    </row>
    <row r="986" spans="11:13" x14ac:dyDescent="0.25">
      <c r="K986" s="26" t="s">
        <v>113</v>
      </c>
      <c r="L986" s="27" t="s">
        <v>119</v>
      </c>
      <c r="M986" s="10">
        <v>38.54406228720466</v>
      </c>
    </row>
    <row r="987" spans="11:13" x14ac:dyDescent="0.25">
      <c r="K987" s="26" t="s">
        <v>113</v>
      </c>
      <c r="L987" s="27" t="s">
        <v>115</v>
      </c>
      <c r="M987" s="10">
        <v>46.111289555843925</v>
      </c>
    </row>
    <row r="988" spans="11:13" x14ac:dyDescent="0.25">
      <c r="K988" s="26" t="s">
        <v>112</v>
      </c>
      <c r="L988" s="27" t="s">
        <v>116</v>
      </c>
      <c r="M988" s="10">
        <v>317.69564756962825</v>
      </c>
    </row>
    <row r="989" spans="11:13" x14ac:dyDescent="0.25">
      <c r="K989" s="26" t="s">
        <v>112</v>
      </c>
      <c r="L989" s="27" t="s">
        <v>117</v>
      </c>
      <c r="M989" s="10">
        <v>61.614294516327789</v>
      </c>
    </row>
    <row r="990" spans="11:13" x14ac:dyDescent="0.25">
      <c r="K990" s="26" t="s">
        <v>109</v>
      </c>
      <c r="L990" s="27" t="s">
        <v>118</v>
      </c>
      <c r="M990" s="10">
        <v>27.576697690451567</v>
      </c>
    </row>
    <row r="991" spans="11:13" x14ac:dyDescent="0.25">
      <c r="K991" s="26" t="s">
        <v>109</v>
      </c>
      <c r="L991" s="27" t="s">
        <v>119</v>
      </c>
      <c r="M991" s="10">
        <v>987.12135669959264</v>
      </c>
    </row>
    <row r="992" spans="11:13" x14ac:dyDescent="0.25">
      <c r="K992" s="26" t="s">
        <v>109</v>
      </c>
      <c r="L992" s="27" t="s">
        <v>115</v>
      </c>
      <c r="M992" s="10">
        <v>132.27513227513228</v>
      </c>
    </row>
    <row r="993" spans="11:13" x14ac:dyDescent="0.25">
      <c r="K993" s="26" t="s">
        <v>111</v>
      </c>
      <c r="L993" s="27" t="s">
        <v>116</v>
      </c>
      <c r="M993" s="10">
        <v>66.137566137566139</v>
      </c>
    </row>
    <row r="994" spans="11:13" x14ac:dyDescent="0.25">
      <c r="K994" s="26" t="s">
        <v>109</v>
      </c>
      <c r="L994" s="27" t="s">
        <v>117</v>
      </c>
      <c r="M994" s="10">
        <v>23.886155202821868</v>
      </c>
    </row>
    <row r="995" spans="11:13" x14ac:dyDescent="0.25">
      <c r="K995" s="26" t="s">
        <v>110</v>
      </c>
      <c r="L995" s="27" t="s">
        <v>118</v>
      </c>
      <c r="M995" s="10">
        <v>73.777960505184183</v>
      </c>
    </row>
    <row r="996" spans="11:13" x14ac:dyDescent="0.25">
      <c r="K996" s="26" t="s">
        <v>112</v>
      </c>
      <c r="L996" s="27" t="s">
        <v>119</v>
      </c>
      <c r="M996" s="10">
        <v>308.17292231359397</v>
      </c>
    </row>
    <row r="997" spans="11:13" x14ac:dyDescent="0.25">
      <c r="K997" s="26" t="s">
        <v>112</v>
      </c>
      <c r="L997" s="27" t="s">
        <v>115</v>
      </c>
      <c r="M997" s="10">
        <v>103.41261633919338</v>
      </c>
    </row>
    <row r="998" spans="11:13" x14ac:dyDescent="0.25">
      <c r="K998" s="26" t="s">
        <v>111</v>
      </c>
      <c r="L998" s="27" t="s">
        <v>116</v>
      </c>
      <c r="M998" s="10">
        <v>52.949274594938046</v>
      </c>
    </row>
    <row r="999" spans="11:13" x14ac:dyDescent="0.25">
      <c r="K999" s="26" t="s">
        <v>113</v>
      </c>
      <c r="L999" s="27" t="s">
        <v>117</v>
      </c>
      <c r="M999" s="10">
        <v>261.86075169439312</v>
      </c>
    </row>
    <row r="1000" spans="11:13" x14ac:dyDescent="0.25">
      <c r="K1000" s="26" t="s">
        <v>111</v>
      </c>
      <c r="L1000" s="27" t="s">
        <v>118</v>
      </c>
      <c r="M1000" s="10">
        <v>77.017868145409736</v>
      </c>
    </row>
    <row r="1001" spans="11:13" x14ac:dyDescent="0.25">
      <c r="K1001" s="26" t="s">
        <v>110</v>
      </c>
      <c r="L1001" s="27" t="s">
        <v>119</v>
      </c>
      <c r="M1001" s="10">
        <v>15.403573629081947</v>
      </c>
    </row>
    <row r="1002" spans="11:13" x14ac:dyDescent="0.25">
      <c r="K1002" s="26" t="s">
        <v>112</v>
      </c>
      <c r="L1002" s="27" t="s">
        <v>115</v>
      </c>
      <c r="M1002" s="10">
        <v>45.792997334847563</v>
      </c>
    </row>
    <row r="1003" spans="11:13" x14ac:dyDescent="0.25">
      <c r="K1003" s="26" t="s">
        <v>110</v>
      </c>
      <c r="L1003" s="27" t="s">
        <v>116</v>
      </c>
      <c r="M1003" s="10">
        <v>91.585994669695125</v>
      </c>
    </row>
    <row r="1004" spans="11:13" x14ac:dyDescent="0.25">
      <c r="K1004" s="26" t="s">
        <v>110</v>
      </c>
      <c r="L1004" s="27" t="s">
        <v>117</v>
      </c>
      <c r="M1004" s="10">
        <v>36.63439786787805</v>
      </c>
    </row>
    <row r="1005" spans="11:13" x14ac:dyDescent="0.25">
      <c r="K1005" s="26" t="s">
        <v>110</v>
      </c>
      <c r="L1005" s="27" t="s">
        <v>118</v>
      </c>
      <c r="M1005" s="10">
        <v>3.0807147258163896</v>
      </c>
    </row>
    <row r="1006" spans="11:13" x14ac:dyDescent="0.25">
      <c r="K1006" s="26" t="s">
        <v>110</v>
      </c>
      <c r="L1006" s="27" t="s">
        <v>119</v>
      </c>
      <c r="M1006" s="10">
        <v>77.017868145409736</v>
      </c>
    </row>
    <row r="1007" spans="11:13" x14ac:dyDescent="0.25">
      <c r="K1007" s="26" t="s">
        <v>110</v>
      </c>
      <c r="L1007" s="27" t="s">
        <v>115</v>
      </c>
      <c r="M1007" s="10">
        <v>77.017868145409736</v>
      </c>
    </row>
    <row r="1008" spans="11:13" x14ac:dyDescent="0.25">
      <c r="K1008" s="26" t="s">
        <v>109</v>
      </c>
      <c r="L1008" s="27" t="s">
        <v>116</v>
      </c>
      <c r="M1008" s="10">
        <v>77.017868145409736</v>
      </c>
    </row>
    <row r="1009" spans="11:13" x14ac:dyDescent="0.25">
      <c r="K1009" s="26" t="s">
        <v>109</v>
      </c>
      <c r="L1009" s="27" t="s">
        <v>117</v>
      </c>
      <c r="M1009" s="10">
        <v>154.03573629081947</v>
      </c>
    </row>
    <row r="1010" spans="11:13" x14ac:dyDescent="0.25">
      <c r="K1010" s="26" t="s">
        <v>113</v>
      </c>
      <c r="L1010" s="27" t="s">
        <v>118</v>
      </c>
      <c r="M1010" s="10">
        <v>3.0807147258163896</v>
      </c>
    </row>
    <row r="1011" spans="11:13" x14ac:dyDescent="0.25">
      <c r="K1011" s="26" t="s">
        <v>113</v>
      </c>
      <c r="L1011" s="27" t="s">
        <v>119</v>
      </c>
      <c r="M1011" s="10">
        <v>462.10720887245844</v>
      </c>
    </row>
    <row r="1012" spans="11:13" x14ac:dyDescent="0.25">
      <c r="K1012" s="26" t="s">
        <v>113</v>
      </c>
      <c r="L1012" s="27" t="s">
        <v>115</v>
      </c>
      <c r="M1012" s="10">
        <v>15.403573629081947</v>
      </c>
    </row>
    <row r="1013" spans="11:13" x14ac:dyDescent="0.25">
      <c r="K1013" s="26" t="s">
        <v>110</v>
      </c>
      <c r="L1013" s="27" t="s">
        <v>116</v>
      </c>
      <c r="M1013" s="10">
        <v>10.074459413666464</v>
      </c>
    </row>
    <row r="1014" spans="11:13" x14ac:dyDescent="0.25">
      <c r="K1014" s="26" t="s">
        <v>110</v>
      </c>
      <c r="L1014" s="27" t="s">
        <v>117</v>
      </c>
      <c r="M1014" s="10">
        <v>59.485103537966978</v>
      </c>
    </row>
    <row r="1015" spans="11:13" x14ac:dyDescent="0.25">
      <c r="K1015" s="26" t="s">
        <v>109</v>
      </c>
      <c r="L1015" s="27" t="s">
        <v>118</v>
      </c>
      <c r="M1015" s="10">
        <v>3.4470872113064459</v>
      </c>
    </row>
    <row r="1016" spans="11:13" x14ac:dyDescent="0.25">
      <c r="K1016" s="26" t="s">
        <v>111</v>
      </c>
      <c r="L1016" s="27" t="s">
        <v>119</v>
      </c>
      <c r="M1016" s="10">
        <v>34.470872113064452</v>
      </c>
    </row>
    <row r="1017" spans="11:13" x14ac:dyDescent="0.25">
      <c r="K1017" s="26" t="s">
        <v>111</v>
      </c>
      <c r="L1017" s="27" t="s">
        <v>115</v>
      </c>
      <c r="M1017" s="10">
        <v>91.585994669695125</v>
      </c>
    </row>
    <row r="1018" spans="11:13" x14ac:dyDescent="0.25">
      <c r="K1018" s="26" t="s">
        <v>111</v>
      </c>
      <c r="L1018" s="27" t="s">
        <v>116</v>
      </c>
      <c r="M1018" s="10">
        <v>41.365046535677351</v>
      </c>
    </row>
    <row r="1019" spans="11:13" x14ac:dyDescent="0.25">
      <c r="K1019" s="26" t="s">
        <v>111</v>
      </c>
      <c r="L1019" s="27" t="s">
        <v>117</v>
      </c>
      <c r="M1019" s="10">
        <v>126.47373319544984</v>
      </c>
    </row>
    <row r="1020" spans="11:13" x14ac:dyDescent="0.25">
      <c r="K1020" s="26" t="s">
        <v>111</v>
      </c>
      <c r="L1020" s="27" t="s">
        <v>118</v>
      </c>
      <c r="M1020" s="10">
        <v>79.283005860048263</v>
      </c>
    </row>
    <row r="1021" spans="11:13" x14ac:dyDescent="0.25">
      <c r="K1021" s="26" t="s">
        <v>111</v>
      </c>
      <c r="L1021" s="27" t="s">
        <v>119</v>
      </c>
      <c r="M1021" s="10">
        <v>55.114638447971785</v>
      </c>
    </row>
    <row r="1022" spans="11:13" x14ac:dyDescent="0.25">
      <c r="K1022" s="26" t="s">
        <v>109</v>
      </c>
      <c r="L1022" s="27" t="s">
        <v>115</v>
      </c>
      <c r="M1022" s="10">
        <v>110.22927689594357</v>
      </c>
    </row>
    <row r="1023" spans="11:13" x14ac:dyDescent="0.25">
      <c r="K1023" s="26" t="s">
        <v>111</v>
      </c>
      <c r="L1023" s="27" t="s">
        <v>116</v>
      </c>
      <c r="M1023" s="10">
        <v>132.27513227513228</v>
      </c>
    </row>
    <row r="1024" spans="11:13" x14ac:dyDescent="0.25">
      <c r="K1024" s="26" t="s">
        <v>111</v>
      </c>
      <c r="L1024" s="27" t="s">
        <v>117</v>
      </c>
      <c r="M1024" s="10">
        <v>22.045855379188712</v>
      </c>
    </row>
    <row r="1025" spans="11:13" x14ac:dyDescent="0.25">
      <c r="K1025" s="26" t="s">
        <v>109</v>
      </c>
      <c r="L1025" s="27" t="s">
        <v>118</v>
      </c>
      <c r="M1025" s="10">
        <v>154.32098765432099</v>
      </c>
    </row>
    <row r="1026" spans="11:13" x14ac:dyDescent="0.25">
      <c r="K1026" s="26" t="s">
        <v>110</v>
      </c>
      <c r="L1026" s="27" t="s">
        <v>119</v>
      </c>
      <c r="M1026" s="10">
        <v>61.56</v>
      </c>
    </row>
    <row r="1027" spans="11:13" x14ac:dyDescent="0.25">
      <c r="K1027" s="26" t="s">
        <v>109</v>
      </c>
      <c r="L1027" s="27" t="s">
        <v>115</v>
      </c>
      <c r="M1027" s="10">
        <v>105.89854918987609</v>
      </c>
    </row>
    <row r="1028" spans="11:13" x14ac:dyDescent="0.25">
      <c r="K1028" s="26" t="s">
        <v>111</v>
      </c>
      <c r="L1028" s="27" t="s">
        <v>116</v>
      </c>
      <c r="M1028" s="10">
        <v>61.56</v>
      </c>
    </row>
    <row r="1029" spans="11:13" x14ac:dyDescent="0.25">
      <c r="K1029" s="26" t="s">
        <v>113</v>
      </c>
      <c r="L1029" s="27" t="s">
        <v>117</v>
      </c>
      <c r="M1029" s="10">
        <v>22.045855379188712</v>
      </c>
    </row>
    <row r="1030" spans="11:13" x14ac:dyDescent="0.25">
      <c r="K1030" s="26" t="s">
        <v>110</v>
      </c>
      <c r="L1030" s="27" t="s">
        <v>118</v>
      </c>
      <c r="M1030" s="10">
        <v>60</v>
      </c>
    </row>
    <row r="1031" spans="11:13" x14ac:dyDescent="0.25">
      <c r="K1031" s="26" t="s">
        <v>110</v>
      </c>
      <c r="L1031" s="27" t="s">
        <v>119</v>
      </c>
      <c r="M1031" s="10">
        <v>370.64492216456637</v>
      </c>
    </row>
    <row r="1032" spans="11:13" x14ac:dyDescent="0.25">
      <c r="K1032" s="26" t="s">
        <v>110</v>
      </c>
      <c r="L1032" s="27" t="s">
        <v>115</v>
      </c>
      <c r="M1032" s="10">
        <v>61.56</v>
      </c>
    </row>
    <row r="1033" spans="11:13" x14ac:dyDescent="0.25">
      <c r="K1033" s="26" t="s">
        <v>110</v>
      </c>
      <c r="L1033" s="27" t="s">
        <v>116</v>
      </c>
      <c r="M1033" s="10">
        <v>34.470872113064452</v>
      </c>
    </row>
    <row r="1034" spans="11:13" x14ac:dyDescent="0.25">
      <c r="K1034" s="26" t="s">
        <v>110</v>
      </c>
      <c r="L1034" s="27" t="s">
        <v>117</v>
      </c>
      <c r="M1034" s="10">
        <v>34.722222222222229</v>
      </c>
    </row>
    <row r="1035" spans="11:13" x14ac:dyDescent="0.25">
      <c r="K1035" s="26" t="s">
        <v>109</v>
      </c>
      <c r="L1035" s="27" t="s">
        <v>118</v>
      </c>
      <c r="M1035" s="10">
        <v>987.12135669959264</v>
      </c>
    </row>
    <row r="1036" spans="11:13" x14ac:dyDescent="0.25">
      <c r="K1036" s="26" t="s">
        <v>113</v>
      </c>
      <c r="L1036" s="27" t="s">
        <v>119</v>
      </c>
      <c r="M1036" s="10">
        <v>132.27513227513228</v>
      </c>
    </row>
    <row r="1037" spans="11:13" x14ac:dyDescent="0.25">
      <c r="K1037" s="26" t="s">
        <v>109</v>
      </c>
      <c r="L1037" s="27" t="s">
        <v>115</v>
      </c>
      <c r="M1037" s="10">
        <v>88.183421516754848</v>
      </c>
    </row>
    <row r="1038" spans="11:13" x14ac:dyDescent="0.25">
      <c r="K1038" s="26" t="s">
        <v>109</v>
      </c>
      <c r="L1038" s="27" t="s">
        <v>116</v>
      </c>
      <c r="M1038" s="10">
        <v>110.22927689594357</v>
      </c>
    </row>
    <row r="1039" spans="11:13" x14ac:dyDescent="0.25">
      <c r="K1039" s="26" t="s">
        <v>109</v>
      </c>
      <c r="L1039" s="27" t="s">
        <v>117</v>
      </c>
      <c r="M1039" s="10">
        <v>11.030679076180625</v>
      </c>
    </row>
    <row r="1040" spans="11:13" x14ac:dyDescent="0.25">
      <c r="K1040" s="26" t="s">
        <v>111</v>
      </c>
      <c r="L1040" s="27" t="s">
        <v>118</v>
      </c>
      <c r="M1040" s="10">
        <v>38.54406228720466</v>
      </c>
    </row>
    <row r="1041" spans="11:13" x14ac:dyDescent="0.25">
      <c r="K1041" s="26" t="s">
        <v>111</v>
      </c>
      <c r="L1041" s="27" t="s">
        <v>119</v>
      </c>
      <c r="M1041" s="10">
        <v>308.07147258163894</v>
      </c>
    </row>
    <row r="1042" spans="11:13" x14ac:dyDescent="0.25">
      <c r="K1042" s="26" t="s">
        <v>109</v>
      </c>
      <c r="L1042" s="27" t="s">
        <v>115</v>
      </c>
      <c r="M1042" s="10">
        <v>308.07147258163894</v>
      </c>
    </row>
    <row r="1043" spans="11:13" x14ac:dyDescent="0.25">
      <c r="K1043" s="26" t="s">
        <v>110</v>
      </c>
      <c r="L1043" s="27" t="s">
        <v>116</v>
      </c>
      <c r="M1043" s="10">
        <v>46.210720887245841</v>
      </c>
    </row>
    <row r="1044" spans="11:13" x14ac:dyDescent="0.25">
      <c r="K1044" s="26" t="s">
        <v>110</v>
      </c>
      <c r="L1044" s="27" t="s">
        <v>117</v>
      </c>
      <c r="M1044" s="10">
        <v>66.137566137566139</v>
      </c>
    </row>
    <row r="1045" spans="11:13" x14ac:dyDescent="0.25">
      <c r="K1045" s="26" t="s">
        <v>109</v>
      </c>
      <c r="L1045" s="27" t="s">
        <v>118</v>
      </c>
      <c r="M1045" s="10">
        <v>61.614294516327789</v>
      </c>
    </row>
    <row r="1046" spans="11:13" x14ac:dyDescent="0.25">
      <c r="K1046" s="26" t="s">
        <v>109</v>
      </c>
      <c r="L1046" s="27" t="s">
        <v>119</v>
      </c>
      <c r="M1046" s="10">
        <v>529.49274594938049</v>
      </c>
    </row>
    <row r="1047" spans="11:13" x14ac:dyDescent="0.25">
      <c r="K1047" s="26" t="s">
        <v>111</v>
      </c>
      <c r="L1047" s="27" t="s">
        <v>115</v>
      </c>
      <c r="M1047" s="10">
        <v>158.84782378481412</v>
      </c>
    </row>
    <row r="1048" spans="11:13" x14ac:dyDescent="0.25">
      <c r="K1048" s="26" t="s">
        <v>111</v>
      </c>
      <c r="L1048" s="27" t="s">
        <v>116</v>
      </c>
      <c r="M1048" s="10">
        <v>132.27513227513228</v>
      </c>
    </row>
    <row r="1049" spans="11:13" x14ac:dyDescent="0.25">
      <c r="K1049" s="26" t="s">
        <v>111</v>
      </c>
      <c r="L1049" s="27" t="s">
        <v>117</v>
      </c>
      <c r="M1049" s="10">
        <v>52.949274594938046</v>
      </c>
    </row>
    <row r="1050" spans="11:13" x14ac:dyDescent="0.25">
      <c r="K1050" s="26" t="s">
        <v>111</v>
      </c>
      <c r="L1050" s="27" t="s">
        <v>118</v>
      </c>
      <c r="M1050" s="10">
        <v>79.423911892407062</v>
      </c>
    </row>
    <row r="1051" spans="11:13" x14ac:dyDescent="0.25">
      <c r="K1051" s="26" t="s">
        <v>111</v>
      </c>
      <c r="L1051" s="27" t="s">
        <v>119</v>
      </c>
      <c r="M1051" s="10">
        <v>62.047569803516026</v>
      </c>
    </row>
    <row r="1052" spans="11:13" x14ac:dyDescent="0.25">
      <c r="K1052" s="26" t="s">
        <v>111</v>
      </c>
      <c r="L1052" s="27" t="s">
        <v>115</v>
      </c>
      <c r="M1052" s="10">
        <v>25.696041524803107</v>
      </c>
    </row>
    <row r="1053" spans="11:13" x14ac:dyDescent="0.25">
      <c r="K1053" s="26" t="s">
        <v>111</v>
      </c>
      <c r="L1053" s="27" t="s">
        <v>116</v>
      </c>
      <c r="M1053" s="10">
        <v>25.696041524803107</v>
      </c>
    </row>
    <row r="1054" spans="11:13" x14ac:dyDescent="0.25">
      <c r="K1054" s="26" t="s">
        <v>110</v>
      </c>
      <c r="L1054" s="27" t="s">
        <v>117</v>
      </c>
      <c r="M1054" s="10">
        <v>30.807147258163894</v>
      </c>
    </row>
    <row r="1055" spans="11:13" x14ac:dyDescent="0.25">
      <c r="K1055" s="26" t="s">
        <v>110</v>
      </c>
      <c r="L1055" s="27" t="s">
        <v>118</v>
      </c>
      <c r="M1055" s="10">
        <v>66.137566137566139</v>
      </c>
    </row>
    <row r="1056" spans="11:13" x14ac:dyDescent="0.25">
      <c r="K1056" s="26" t="s">
        <v>110</v>
      </c>
      <c r="L1056" s="27" t="s">
        <v>119</v>
      </c>
      <c r="M1056" s="10">
        <v>66.137566137566139</v>
      </c>
    </row>
    <row r="1057" spans="11:13" x14ac:dyDescent="0.25">
      <c r="K1057" s="26" t="s">
        <v>110</v>
      </c>
      <c r="L1057" s="27" t="s">
        <v>115</v>
      </c>
      <c r="M1057" s="10">
        <v>146.90132275132277</v>
      </c>
    </row>
    <row r="1058" spans="11:13" x14ac:dyDescent="0.25">
      <c r="K1058" s="26" t="s">
        <v>110</v>
      </c>
      <c r="L1058" s="27" t="s">
        <v>116</v>
      </c>
      <c r="M1058" s="10">
        <v>44.091710758377424</v>
      </c>
    </row>
    <row r="1059" spans="11:13" x14ac:dyDescent="0.25">
      <c r="K1059" s="26" t="s">
        <v>109</v>
      </c>
      <c r="L1059" s="27" t="s">
        <v>117</v>
      </c>
      <c r="M1059" s="10">
        <v>55.114638447971785</v>
      </c>
    </row>
    <row r="1060" spans="11:13" x14ac:dyDescent="0.25">
      <c r="K1060" s="26" t="s">
        <v>109</v>
      </c>
      <c r="L1060" s="27" t="s">
        <v>118</v>
      </c>
      <c r="M1060" s="10">
        <v>132.27513227513228</v>
      </c>
    </row>
    <row r="1061" spans="11:13" x14ac:dyDescent="0.25">
      <c r="K1061" s="26" t="s">
        <v>109</v>
      </c>
      <c r="L1061" s="27" t="s">
        <v>119</v>
      </c>
      <c r="M1061" s="10">
        <v>158.84782378481412</v>
      </c>
    </row>
    <row r="1062" spans="11:13" x14ac:dyDescent="0.25">
      <c r="K1062" s="26" t="s">
        <v>111</v>
      </c>
      <c r="L1062" s="27" t="s">
        <v>115</v>
      </c>
      <c r="M1062" s="10">
        <v>105.89854918987609</v>
      </c>
    </row>
    <row r="1063" spans="11:13" x14ac:dyDescent="0.25">
      <c r="K1063" s="26" t="s">
        <v>111</v>
      </c>
      <c r="L1063" s="27" t="s">
        <v>116</v>
      </c>
      <c r="M1063" s="10">
        <v>264.74637297469025</v>
      </c>
    </row>
    <row r="1064" spans="11:13" x14ac:dyDescent="0.25">
      <c r="K1064" s="26" t="s">
        <v>109</v>
      </c>
      <c r="L1064" s="27" t="s">
        <v>117</v>
      </c>
      <c r="M1064" s="10">
        <v>211.79709837975219</v>
      </c>
    </row>
    <row r="1065" spans="11:13" x14ac:dyDescent="0.25">
      <c r="K1065" s="26" t="s">
        <v>111</v>
      </c>
      <c r="L1065" s="27" t="s">
        <v>118</v>
      </c>
      <c r="M1065" s="10">
        <v>689.41744226128924</v>
      </c>
    </row>
    <row r="1066" spans="11:13" x14ac:dyDescent="0.25">
      <c r="K1066" s="26" t="s">
        <v>111</v>
      </c>
      <c r="L1066" s="27" t="s">
        <v>119</v>
      </c>
      <c r="M1066" s="10">
        <v>34.470872113064452</v>
      </c>
    </row>
    <row r="1067" spans="11:13" x14ac:dyDescent="0.25">
      <c r="K1067" s="26" t="s">
        <v>109</v>
      </c>
      <c r="L1067" s="27" t="s">
        <v>115</v>
      </c>
      <c r="M1067" s="10">
        <v>25.696041524803107</v>
      </c>
    </row>
    <row r="1068" spans="11:13" x14ac:dyDescent="0.25">
      <c r="K1068" s="26" t="s">
        <v>109</v>
      </c>
      <c r="L1068" s="27" t="s">
        <v>116</v>
      </c>
      <c r="M1068" s="10">
        <v>105.89854918987609</v>
      </c>
    </row>
    <row r="1069" spans="11:13" x14ac:dyDescent="0.25">
      <c r="K1069" s="26" t="s">
        <v>111</v>
      </c>
      <c r="L1069" s="27" t="s">
        <v>117</v>
      </c>
      <c r="M1069" s="10">
        <v>26.455026455026456</v>
      </c>
    </row>
    <row r="1070" spans="11:13" x14ac:dyDescent="0.25">
      <c r="K1070" s="26" t="s">
        <v>111</v>
      </c>
      <c r="L1070" s="27" t="s">
        <v>118</v>
      </c>
      <c r="M1070" s="10">
        <v>132.27513227513228</v>
      </c>
    </row>
    <row r="1071" spans="11:13" x14ac:dyDescent="0.25">
      <c r="K1071" s="26" t="s">
        <v>111</v>
      </c>
      <c r="L1071" s="27" t="s">
        <v>119</v>
      </c>
      <c r="M1071" s="10">
        <v>132.27513227513228</v>
      </c>
    </row>
    <row r="1072" spans="11:13" x14ac:dyDescent="0.25">
      <c r="K1072" s="26" t="s">
        <v>111</v>
      </c>
      <c r="L1072" s="27" t="s">
        <v>115</v>
      </c>
      <c r="M1072" s="10">
        <v>132.27513227513228</v>
      </c>
    </row>
    <row r="1073" spans="11:13" x14ac:dyDescent="0.25">
      <c r="K1073" s="26" t="s">
        <v>109</v>
      </c>
      <c r="L1073" s="27" t="s">
        <v>116</v>
      </c>
      <c r="M1073" s="10">
        <v>582.44202054431844</v>
      </c>
    </row>
    <row r="1074" spans="11:13" x14ac:dyDescent="0.25">
      <c r="K1074" s="26" t="s">
        <v>111</v>
      </c>
      <c r="L1074" s="27" t="s">
        <v>117</v>
      </c>
      <c r="M1074" s="10">
        <v>264.74637297469025</v>
      </c>
    </row>
    <row r="1075" spans="11:13" x14ac:dyDescent="0.25">
      <c r="K1075" s="26" t="s">
        <v>111</v>
      </c>
      <c r="L1075" s="27" t="s">
        <v>118</v>
      </c>
      <c r="M1075" s="10">
        <v>529.49274594938049</v>
      </c>
    </row>
    <row r="1076" spans="11:13" x14ac:dyDescent="0.25">
      <c r="K1076" s="26" t="s">
        <v>110</v>
      </c>
      <c r="L1076" s="27" t="s">
        <v>119</v>
      </c>
      <c r="M1076" s="10">
        <v>158.84782378481412</v>
      </c>
    </row>
    <row r="1077" spans="11:13" x14ac:dyDescent="0.25">
      <c r="K1077" s="26" t="s">
        <v>110</v>
      </c>
      <c r="L1077" s="27" t="s">
        <v>115</v>
      </c>
      <c r="M1077" s="10">
        <v>211.79709837975219</v>
      </c>
    </row>
    <row r="1078" spans="11:13" x14ac:dyDescent="0.25">
      <c r="K1078" s="26" t="s">
        <v>110</v>
      </c>
      <c r="L1078" s="27" t="s">
        <v>116</v>
      </c>
      <c r="M1078" s="10">
        <v>105.89854918987609</v>
      </c>
    </row>
    <row r="1079" spans="11:13" x14ac:dyDescent="0.25">
      <c r="K1079" s="26" t="s">
        <v>111</v>
      </c>
      <c r="L1079" s="27" t="s">
        <v>117</v>
      </c>
      <c r="M1079" s="10">
        <v>158.84782378481412</v>
      </c>
    </row>
    <row r="1080" spans="11:13" x14ac:dyDescent="0.25">
      <c r="K1080" s="26" t="s">
        <v>111</v>
      </c>
      <c r="L1080" s="27" t="s">
        <v>118</v>
      </c>
      <c r="M1080" s="10">
        <v>317.69564756962825</v>
      </c>
    </row>
    <row r="1081" spans="11:13" x14ac:dyDescent="0.25">
      <c r="K1081" s="26" t="s">
        <v>109</v>
      </c>
      <c r="L1081" s="27" t="s">
        <v>119</v>
      </c>
      <c r="M1081" s="10">
        <v>74.95590828924162</v>
      </c>
    </row>
    <row r="1082" spans="11:13" x14ac:dyDescent="0.25">
      <c r="K1082" s="26" t="s">
        <v>109</v>
      </c>
      <c r="L1082" s="27" t="s">
        <v>115</v>
      </c>
      <c r="M1082" s="10">
        <v>185.01149897858235</v>
      </c>
    </row>
    <row r="1083" spans="11:13" x14ac:dyDescent="0.25">
      <c r="K1083" s="26" t="s">
        <v>109</v>
      </c>
      <c r="L1083" s="27" t="s">
        <v>116</v>
      </c>
      <c r="M1083" s="10">
        <v>123.5</v>
      </c>
    </row>
    <row r="1084" spans="11:13" x14ac:dyDescent="0.25">
      <c r="K1084" s="26" t="s">
        <v>109</v>
      </c>
      <c r="L1084" s="27" t="s">
        <v>117</v>
      </c>
      <c r="M1084" s="10">
        <v>275.76697690451562</v>
      </c>
    </row>
    <row r="1085" spans="11:13" x14ac:dyDescent="0.25">
      <c r="K1085" s="26" t="s">
        <v>111</v>
      </c>
      <c r="L1085" s="27" t="s">
        <v>118</v>
      </c>
      <c r="M1085" s="10">
        <v>264.74637297469025</v>
      </c>
    </row>
    <row r="1086" spans="11:13" x14ac:dyDescent="0.25">
      <c r="K1086" s="26" t="s">
        <v>110</v>
      </c>
      <c r="L1086" s="27" t="s">
        <v>119</v>
      </c>
      <c r="M1086" s="10">
        <v>128.48020762401552</v>
      </c>
    </row>
    <row r="1087" spans="11:13" x14ac:dyDescent="0.25">
      <c r="K1087" s="26" t="s">
        <v>111</v>
      </c>
      <c r="L1087" s="27" t="s">
        <v>115</v>
      </c>
      <c r="M1087" s="10">
        <v>38.54406228720466</v>
      </c>
    </row>
    <row r="1088" spans="11:13" x14ac:dyDescent="0.25">
      <c r="K1088" s="26" t="s">
        <v>111</v>
      </c>
      <c r="L1088" s="27" t="s">
        <v>116</v>
      </c>
      <c r="M1088" s="10">
        <v>12.848020762401553</v>
      </c>
    </row>
    <row r="1089" spans="11:13" x14ac:dyDescent="0.25">
      <c r="K1089" s="26" t="s">
        <v>111</v>
      </c>
      <c r="L1089" s="27" t="s">
        <v>117</v>
      </c>
      <c r="M1089" s="10">
        <v>30.807147258163894</v>
      </c>
    </row>
    <row r="1090" spans="11:13" x14ac:dyDescent="0.25">
      <c r="K1090" s="26" t="s">
        <v>111</v>
      </c>
      <c r="L1090" s="27" t="s">
        <v>118</v>
      </c>
      <c r="M1090" s="10">
        <v>34</v>
      </c>
    </row>
    <row r="1091" spans="11:13" x14ac:dyDescent="0.25">
      <c r="K1091" s="26" t="s">
        <v>109</v>
      </c>
      <c r="L1091" s="27" t="s">
        <v>119</v>
      </c>
      <c r="M1091" s="10">
        <v>123.22858903265558</v>
      </c>
    </row>
    <row r="1092" spans="11:13" x14ac:dyDescent="0.25">
      <c r="K1092" s="26" t="s">
        <v>109</v>
      </c>
      <c r="L1092" s="27" t="s">
        <v>115</v>
      </c>
      <c r="M1092" s="10">
        <v>38.508934072704868</v>
      </c>
    </row>
    <row r="1093" spans="11:13" x14ac:dyDescent="0.25">
      <c r="K1093" s="26" t="s">
        <v>110</v>
      </c>
      <c r="L1093" s="27" t="s">
        <v>116</v>
      </c>
      <c r="M1093" s="10">
        <v>10.341261633919338</v>
      </c>
    </row>
    <row r="1094" spans="11:13" x14ac:dyDescent="0.25">
      <c r="K1094" s="26" t="s">
        <v>110</v>
      </c>
      <c r="L1094" s="27" t="s">
        <v>117</v>
      </c>
      <c r="M1094" s="10">
        <v>22.652345406190175</v>
      </c>
    </row>
    <row r="1095" spans="11:13" x14ac:dyDescent="0.25">
      <c r="K1095" s="26" t="s">
        <v>110</v>
      </c>
      <c r="L1095" s="27" t="s">
        <v>118</v>
      </c>
      <c r="M1095" s="10">
        <v>73.777960505184183</v>
      </c>
    </row>
    <row r="1096" spans="11:13" x14ac:dyDescent="0.25">
      <c r="K1096" s="26" t="s">
        <v>109</v>
      </c>
      <c r="L1096" s="27" t="s">
        <v>119</v>
      </c>
      <c r="M1096" s="10">
        <v>82.563154651879231</v>
      </c>
    </row>
    <row r="1097" spans="11:13" x14ac:dyDescent="0.25">
      <c r="K1097" s="26" t="s">
        <v>109</v>
      </c>
      <c r="L1097" s="27" t="s">
        <v>115</v>
      </c>
      <c r="M1097" s="10">
        <v>82.563154651879231</v>
      </c>
    </row>
    <row r="1098" spans="11:13" x14ac:dyDescent="0.25">
      <c r="K1098" s="26" t="s">
        <v>109</v>
      </c>
      <c r="L1098" s="27" t="s">
        <v>116</v>
      </c>
      <c r="M1098" s="10">
        <v>40.515355319666149</v>
      </c>
    </row>
    <row r="1099" spans="11:13" x14ac:dyDescent="0.25">
      <c r="K1099" s="26" t="s">
        <v>113</v>
      </c>
      <c r="L1099" s="27" t="s">
        <v>117</v>
      </c>
      <c r="M1099" s="10">
        <v>52.949274594938046</v>
      </c>
    </row>
    <row r="1100" spans="11:13" x14ac:dyDescent="0.25">
      <c r="K1100" s="26" t="s">
        <v>113</v>
      </c>
      <c r="L1100" s="27" t="s">
        <v>118</v>
      </c>
      <c r="M1100" s="10">
        <v>391.73686067019401</v>
      </c>
    </row>
    <row r="1101" spans="11:13" x14ac:dyDescent="0.25">
      <c r="K1101" s="26" t="s">
        <v>111</v>
      </c>
      <c r="L1101" s="27" t="s">
        <v>119</v>
      </c>
      <c r="M1101" s="10">
        <v>132.27513227513228</v>
      </c>
    </row>
    <row r="1102" spans="11:13" x14ac:dyDescent="0.25">
      <c r="K1102" s="26" t="s">
        <v>109</v>
      </c>
      <c r="L1102" s="27" t="s">
        <v>115</v>
      </c>
      <c r="M1102" s="10">
        <v>52.949274594938046</v>
      </c>
    </row>
    <row r="1103" spans="11:13" x14ac:dyDescent="0.25">
      <c r="K1103" s="26" t="s">
        <v>110</v>
      </c>
      <c r="L1103" s="27" t="s">
        <v>116</v>
      </c>
      <c r="M1103" s="10">
        <v>25.696041524803107</v>
      </c>
    </row>
    <row r="1104" spans="11:13" x14ac:dyDescent="0.25">
      <c r="K1104" s="26" t="s">
        <v>110</v>
      </c>
      <c r="L1104" s="27" t="s">
        <v>117</v>
      </c>
      <c r="M1104" s="10">
        <v>462.10720887245844</v>
      </c>
    </row>
    <row r="1105" spans="11:13" x14ac:dyDescent="0.25">
      <c r="K1105" s="26" t="s">
        <v>109</v>
      </c>
      <c r="L1105" s="27" t="s">
        <v>118</v>
      </c>
      <c r="M1105" s="10">
        <v>26.197862805928988</v>
      </c>
    </row>
    <row r="1106" spans="11:13" x14ac:dyDescent="0.25">
      <c r="K1106" s="26" t="s">
        <v>109</v>
      </c>
      <c r="L1106" s="27" t="s">
        <v>119</v>
      </c>
      <c r="M1106" s="10">
        <v>15.403573629081947</v>
      </c>
    </row>
    <row r="1107" spans="11:13" x14ac:dyDescent="0.25">
      <c r="K1107" s="26" t="s">
        <v>111</v>
      </c>
      <c r="L1107" s="27" t="s">
        <v>115</v>
      </c>
      <c r="M1107" s="10">
        <v>20.257677659833075</v>
      </c>
    </row>
    <row r="1108" spans="11:13" x14ac:dyDescent="0.25">
      <c r="K1108" s="26" t="s">
        <v>111</v>
      </c>
      <c r="L1108" s="27" t="s">
        <v>116</v>
      </c>
      <c r="M1108" s="10">
        <v>228.96498667423779</v>
      </c>
    </row>
    <row r="1109" spans="11:13" x14ac:dyDescent="0.25">
      <c r="K1109" s="26" t="s">
        <v>109</v>
      </c>
      <c r="L1109" s="27" t="s">
        <v>117</v>
      </c>
      <c r="M1109" s="10">
        <v>30.223378240999391</v>
      </c>
    </row>
    <row r="1110" spans="11:13" x14ac:dyDescent="0.25">
      <c r="K1110" s="26" t="s">
        <v>109</v>
      </c>
      <c r="L1110" s="27" t="s">
        <v>118</v>
      </c>
      <c r="M1110" s="10">
        <v>320.5509813439329</v>
      </c>
    </row>
    <row r="1111" spans="11:13" x14ac:dyDescent="0.25">
      <c r="K1111" s="26" t="s">
        <v>109</v>
      </c>
      <c r="L1111" s="27" t="s">
        <v>119</v>
      </c>
      <c r="M1111" s="10">
        <v>18.317198933939025</v>
      </c>
    </row>
    <row r="1112" spans="11:13" x14ac:dyDescent="0.25">
      <c r="K1112" s="26" t="s">
        <v>109</v>
      </c>
      <c r="L1112" s="27" t="s">
        <v>115</v>
      </c>
      <c r="M1112" s="10">
        <v>274.75798400908536</v>
      </c>
    </row>
    <row r="1113" spans="11:13" x14ac:dyDescent="0.25">
      <c r="K1113" s="26" t="s">
        <v>114</v>
      </c>
      <c r="L1113" s="27" t="s">
        <v>116</v>
      </c>
      <c r="M1113" s="10">
        <v>27.475798400908538</v>
      </c>
    </row>
    <row r="1114" spans="11:13" x14ac:dyDescent="0.25">
      <c r="K1114" s="26" t="s">
        <v>114</v>
      </c>
      <c r="L1114" s="27" t="s">
        <v>117</v>
      </c>
      <c r="M1114" s="10">
        <v>36.63439786787805</v>
      </c>
    </row>
    <row r="1115" spans="11:13" x14ac:dyDescent="0.25">
      <c r="K1115" s="26" t="s">
        <v>114</v>
      </c>
      <c r="L1115" s="27" t="s">
        <v>118</v>
      </c>
      <c r="M1115" s="10">
        <v>128.22039253757316</v>
      </c>
    </row>
    <row r="1116" spans="11:13" x14ac:dyDescent="0.25">
      <c r="K1116" s="26" t="s">
        <v>113</v>
      </c>
      <c r="L1116" s="27" t="s">
        <v>119</v>
      </c>
      <c r="M1116" s="10">
        <v>144.77766287487074</v>
      </c>
    </row>
    <row r="1117" spans="11:13" x14ac:dyDescent="0.25">
      <c r="K1117" s="26" t="s">
        <v>113</v>
      </c>
      <c r="L1117" s="27" t="s">
        <v>115</v>
      </c>
      <c r="M1117" s="10">
        <v>137.88348845225781</v>
      </c>
    </row>
    <row r="1118" spans="11:13" x14ac:dyDescent="0.25">
      <c r="K1118" s="26" t="s">
        <v>114</v>
      </c>
      <c r="L1118" s="27" t="s">
        <v>116</v>
      </c>
      <c r="M1118" s="10">
        <v>1.723543605653223</v>
      </c>
    </row>
    <row r="1119" spans="11:13" x14ac:dyDescent="0.25">
      <c r="K1119" s="26" t="s">
        <v>114</v>
      </c>
      <c r="L1119" s="27" t="s">
        <v>117</v>
      </c>
      <c r="M1119" s="10">
        <v>7.5835918648741805</v>
      </c>
    </row>
    <row r="1120" spans="11:13" x14ac:dyDescent="0.25">
      <c r="K1120" s="26" t="s">
        <v>114</v>
      </c>
      <c r="L1120" s="27" t="s">
        <v>118</v>
      </c>
      <c r="M1120" s="10">
        <v>109.90319360363415</v>
      </c>
    </row>
    <row r="1121" spans="11:13" x14ac:dyDescent="0.25">
      <c r="K1121" s="26" t="s">
        <v>114</v>
      </c>
      <c r="L1121" s="27" t="s">
        <v>119</v>
      </c>
      <c r="M1121" s="10">
        <v>119.06179307060366</v>
      </c>
    </row>
    <row r="1122" spans="11:13" x14ac:dyDescent="0.25">
      <c r="K1122" s="26" t="s">
        <v>113</v>
      </c>
      <c r="L1122" s="27" t="s">
        <v>115</v>
      </c>
      <c r="M1122" s="10">
        <v>21.797466731387438</v>
      </c>
    </row>
    <row r="1123" spans="11:13" x14ac:dyDescent="0.25">
      <c r="K1123" s="26" t="s">
        <v>113</v>
      </c>
      <c r="L1123" s="27" t="s">
        <v>116</v>
      </c>
      <c r="M1123" s="10">
        <v>549.51596801817072</v>
      </c>
    </row>
    <row r="1124" spans="11:13" x14ac:dyDescent="0.25">
      <c r="K1124" s="26" t="s">
        <v>114</v>
      </c>
      <c r="L1124" s="27" t="s">
        <v>117</v>
      </c>
      <c r="M1124" s="10">
        <v>59.875259875259879</v>
      </c>
    </row>
    <row r="1125" spans="11:13" x14ac:dyDescent="0.25">
      <c r="K1125" s="26" t="s">
        <v>114</v>
      </c>
      <c r="L1125" s="27" t="s">
        <v>118</v>
      </c>
      <c r="M1125" s="10">
        <v>13.788348845225784</v>
      </c>
    </row>
    <row r="1126" spans="11:13" x14ac:dyDescent="0.25">
      <c r="K1126" s="26" t="s">
        <v>114</v>
      </c>
      <c r="L1126" s="27" t="s">
        <v>119</v>
      </c>
      <c r="M1126" s="10">
        <v>103.41261633919338</v>
      </c>
    </row>
    <row r="1127" spans="11:13" x14ac:dyDescent="0.25">
      <c r="K1127" s="26" t="s">
        <v>113</v>
      </c>
      <c r="L1127" s="27" t="s">
        <v>115</v>
      </c>
      <c r="M1127" s="10">
        <v>103.41261633919338</v>
      </c>
    </row>
    <row r="1128" spans="11:13" x14ac:dyDescent="0.25">
      <c r="K1128" s="26" t="s">
        <v>113</v>
      </c>
      <c r="L1128" s="27" t="s">
        <v>116</v>
      </c>
      <c r="M1128" s="10">
        <v>68.941744226128904</v>
      </c>
    </row>
    <row r="1129" spans="11:13" x14ac:dyDescent="0.25">
      <c r="K1129" s="26" t="s">
        <v>110</v>
      </c>
      <c r="L1129" s="27" t="s">
        <v>117</v>
      </c>
      <c r="M1129" s="10">
        <v>24.129610479145121</v>
      </c>
    </row>
    <row r="1130" spans="11:13" x14ac:dyDescent="0.25">
      <c r="K1130" s="26" t="s">
        <v>110</v>
      </c>
      <c r="L1130" s="27" t="s">
        <v>118</v>
      </c>
      <c r="M1130" s="10">
        <v>120.64805239572561</v>
      </c>
    </row>
    <row r="1131" spans="11:13" x14ac:dyDescent="0.25">
      <c r="K1131" s="26" t="s">
        <v>110</v>
      </c>
      <c r="L1131" s="27" t="s">
        <v>119</v>
      </c>
      <c r="M1131" s="10">
        <v>15.403573629081947</v>
      </c>
    </row>
    <row r="1132" spans="11:13" x14ac:dyDescent="0.25">
      <c r="K1132" s="26" t="s">
        <v>109</v>
      </c>
      <c r="L1132" s="27" t="s">
        <v>115</v>
      </c>
      <c r="M1132" s="10">
        <v>105.08317929759704</v>
      </c>
    </row>
    <row r="1133" spans="11:13" x14ac:dyDescent="0.25">
      <c r="K1133" s="26" t="s">
        <v>113</v>
      </c>
      <c r="L1133" s="27" t="s">
        <v>116</v>
      </c>
      <c r="M1133" s="10">
        <v>154.03573629081947</v>
      </c>
    </row>
    <row r="1134" spans="11:13" x14ac:dyDescent="0.25">
      <c r="K1134" s="26" t="s">
        <v>113</v>
      </c>
      <c r="L1134" s="27" t="s">
        <v>117</v>
      </c>
      <c r="M1134" s="10">
        <v>105.08317929759704</v>
      </c>
    </row>
    <row r="1135" spans="11:13" x14ac:dyDescent="0.25">
      <c r="K1135" s="26" t="s">
        <v>113</v>
      </c>
      <c r="L1135" s="27" t="s">
        <v>118</v>
      </c>
      <c r="M1135" s="10">
        <v>21.179709837975221</v>
      </c>
    </row>
    <row r="1136" spans="11:13" x14ac:dyDescent="0.25">
      <c r="K1136" s="26" t="s">
        <v>110</v>
      </c>
      <c r="L1136" s="27" t="s">
        <v>119</v>
      </c>
      <c r="M1136" s="10">
        <v>12.848020762401553</v>
      </c>
    </row>
    <row r="1137" spans="11:13" x14ac:dyDescent="0.25">
      <c r="K1137" s="26" t="s">
        <v>109</v>
      </c>
      <c r="L1137" s="27" t="s">
        <v>115</v>
      </c>
      <c r="M1137" s="10">
        <v>423.65976861658794</v>
      </c>
    </row>
    <row r="1138" spans="11:13" x14ac:dyDescent="0.25">
      <c r="K1138" s="26" t="s">
        <v>113</v>
      </c>
      <c r="L1138" s="27" t="s">
        <v>116</v>
      </c>
      <c r="M1138" s="10">
        <v>158.84782378481412</v>
      </c>
    </row>
    <row r="1139" spans="11:13" x14ac:dyDescent="0.25">
      <c r="K1139" s="26" t="s">
        <v>113</v>
      </c>
      <c r="L1139" s="27" t="s">
        <v>117</v>
      </c>
      <c r="M1139" s="10">
        <v>114.06224539677368</v>
      </c>
    </row>
    <row r="1140" spans="11:13" x14ac:dyDescent="0.25">
      <c r="K1140" s="26" t="s">
        <v>113</v>
      </c>
      <c r="L1140" s="27" t="s">
        <v>118</v>
      </c>
      <c r="M1140" s="10">
        <v>30.807147258163894</v>
      </c>
    </row>
    <row r="1141" spans="11:13" x14ac:dyDescent="0.25">
      <c r="K1141" s="26" t="s">
        <v>109</v>
      </c>
      <c r="L1141" s="27" t="s">
        <v>119</v>
      </c>
      <c r="M1141" s="10">
        <v>30.807147258163894</v>
      </c>
    </row>
    <row r="1142" spans="11:13" x14ac:dyDescent="0.25">
      <c r="K1142" s="26" t="s">
        <v>109</v>
      </c>
      <c r="L1142" s="27" t="s">
        <v>115</v>
      </c>
      <c r="M1142" s="10">
        <v>30.807147258163894</v>
      </c>
    </row>
    <row r="1143" spans="11:13" x14ac:dyDescent="0.25">
      <c r="K1143" s="26" t="s">
        <v>111</v>
      </c>
      <c r="L1143" s="27" t="s">
        <v>116</v>
      </c>
      <c r="M1143" s="10">
        <v>13.038354898336415</v>
      </c>
    </row>
    <row r="1144" spans="11:13" x14ac:dyDescent="0.25">
      <c r="K1144" s="26" t="s">
        <v>109</v>
      </c>
      <c r="L1144" s="27" t="s">
        <v>117</v>
      </c>
      <c r="M1144" s="10">
        <v>92.421441774491683</v>
      </c>
    </row>
    <row r="1145" spans="11:13" x14ac:dyDescent="0.25">
      <c r="K1145" s="26" t="s">
        <v>109</v>
      </c>
      <c r="L1145" s="27" t="s">
        <v>118</v>
      </c>
      <c r="M1145" s="10">
        <v>63.049907578558226</v>
      </c>
    </row>
    <row r="1146" spans="11:13" x14ac:dyDescent="0.25">
      <c r="K1146" s="26" t="s">
        <v>110</v>
      </c>
      <c r="L1146" s="27" t="s">
        <v>119</v>
      </c>
      <c r="M1146" s="10">
        <v>840.66543438077633</v>
      </c>
    </row>
    <row r="1147" spans="11:13" x14ac:dyDescent="0.25">
      <c r="K1147" s="26" t="s">
        <v>110</v>
      </c>
      <c r="L1147" s="27" t="s">
        <v>115</v>
      </c>
      <c r="M1147" s="10">
        <v>525.41589648798515</v>
      </c>
    </row>
    <row r="1148" spans="11:13" x14ac:dyDescent="0.25">
      <c r="K1148" s="26" t="s">
        <v>110</v>
      </c>
      <c r="L1148" s="27" t="s">
        <v>116</v>
      </c>
      <c r="M1148" s="10">
        <v>105.08317929759704</v>
      </c>
    </row>
    <row r="1149" spans="11:13" x14ac:dyDescent="0.25">
      <c r="K1149" s="26" t="s">
        <v>109</v>
      </c>
      <c r="L1149" s="27" t="s">
        <v>117</v>
      </c>
      <c r="M1149" s="10">
        <v>104.74430067775724</v>
      </c>
    </row>
    <row r="1150" spans="11:13" x14ac:dyDescent="0.25">
      <c r="K1150" s="26" t="s">
        <v>110</v>
      </c>
      <c r="L1150" s="27" t="s">
        <v>118</v>
      </c>
      <c r="M1150" s="10">
        <v>770.17868145409739</v>
      </c>
    </row>
    <row r="1151" spans="11:13" x14ac:dyDescent="0.25">
      <c r="K1151" s="26" t="s">
        <v>110</v>
      </c>
      <c r="L1151" s="27" t="s">
        <v>119</v>
      </c>
      <c r="M1151" s="10">
        <v>46.210720887245841</v>
      </c>
    </row>
    <row r="1152" spans="11:13" x14ac:dyDescent="0.25">
      <c r="K1152" s="26" t="s">
        <v>109</v>
      </c>
      <c r="L1152" s="27" t="s">
        <v>115</v>
      </c>
      <c r="M1152" s="10">
        <v>97.934215167548501</v>
      </c>
    </row>
    <row r="1153" spans="11:13" x14ac:dyDescent="0.25">
      <c r="K1153" s="26" t="s">
        <v>110</v>
      </c>
      <c r="L1153" s="27" t="s">
        <v>116</v>
      </c>
      <c r="M1153" s="10">
        <v>462.10720887245844</v>
      </c>
    </row>
    <row r="1154" spans="11:13" x14ac:dyDescent="0.25">
      <c r="K1154" s="26" t="s">
        <v>110</v>
      </c>
      <c r="L1154" s="27" t="s">
        <v>117</v>
      </c>
      <c r="M1154" s="10">
        <v>80</v>
      </c>
    </row>
    <row r="1155" spans="11:13" x14ac:dyDescent="0.25">
      <c r="K1155" s="26" t="s">
        <v>109</v>
      </c>
      <c r="L1155" s="27" t="s">
        <v>118</v>
      </c>
      <c r="M1155" s="10">
        <v>34.012409513960705</v>
      </c>
    </row>
    <row r="1156" spans="11:13" x14ac:dyDescent="0.25">
      <c r="K1156" s="26" t="s">
        <v>109</v>
      </c>
      <c r="L1156" s="27" t="s">
        <v>119</v>
      </c>
      <c r="M1156" s="10">
        <v>4.529616724738676</v>
      </c>
    </row>
    <row r="1157" spans="11:13" x14ac:dyDescent="0.25">
      <c r="K1157" s="26" t="s">
        <v>110</v>
      </c>
      <c r="L1157" s="27" t="s">
        <v>115</v>
      </c>
      <c r="M1157" s="10">
        <v>1.5</v>
      </c>
    </row>
    <row r="1158" spans="11:13" x14ac:dyDescent="0.25">
      <c r="K1158" s="26" t="s">
        <v>112</v>
      </c>
      <c r="L1158" s="27" t="s">
        <v>116</v>
      </c>
      <c r="M1158" s="10">
        <v>405.15355319666151</v>
      </c>
    </row>
    <row r="1159" spans="11:13" x14ac:dyDescent="0.25">
      <c r="K1159" s="26" t="s">
        <v>110</v>
      </c>
      <c r="L1159" s="27" t="s">
        <v>117</v>
      </c>
      <c r="M1159" s="10">
        <v>105.89854918987609</v>
      </c>
    </row>
    <row r="1160" spans="11:13" x14ac:dyDescent="0.25">
      <c r="K1160" s="26" t="s">
        <v>112</v>
      </c>
      <c r="L1160" s="27" t="s">
        <v>118</v>
      </c>
      <c r="M1160" s="10">
        <v>8.0243941582410532</v>
      </c>
    </row>
    <row r="1161" spans="11:13" x14ac:dyDescent="0.25">
      <c r="K1161" s="26" t="s">
        <v>111</v>
      </c>
      <c r="L1161" s="27" t="s">
        <v>119</v>
      </c>
      <c r="M1161" s="10">
        <v>8.0243941582410532</v>
      </c>
    </row>
    <row r="1162" spans="11:13" x14ac:dyDescent="0.25">
      <c r="K1162" s="26" t="s">
        <v>110</v>
      </c>
      <c r="L1162" s="27" t="s">
        <v>115</v>
      </c>
      <c r="M1162" s="10">
        <v>42.359419675950441</v>
      </c>
    </row>
    <row r="1163" spans="11:13" x14ac:dyDescent="0.25">
      <c r="K1163" s="26" t="s">
        <v>110</v>
      </c>
      <c r="L1163" s="27" t="s">
        <v>116</v>
      </c>
      <c r="M1163" s="10">
        <v>128.48020762401552</v>
      </c>
    </row>
    <row r="1164" spans="11:13" x14ac:dyDescent="0.25">
      <c r="K1164" s="26" t="s">
        <v>110</v>
      </c>
      <c r="L1164" s="27" t="s">
        <v>117</v>
      </c>
      <c r="M1164" s="10">
        <v>900.67791005291008</v>
      </c>
    </row>
    <row r="1165" spans="11:13" x14ac:dyDescent="0.25">
      <c r="K1165" s="26" t="s">
        <v>109</v>
      </c>
      <c r="L1165" s="27" t="s">
        <v>118</v>
      </c>
      <c r="M1165" s="10">
        <v>44.091710758377424</v>
      </c>
    </row>
    <row r="1166" spans="11:13" x14ac:dyDescent="0.25">
      <c r="K1166" s="26" t="s">
        <v>109</v>
      </c>
      <c r="L1166" s="27" t="s">
        <v>119</v>
      </c>
      <c r="M1166" s="10">
        <v>293.80257936507934</v>
      </c>
    </row>
    <row r="1167" spans="11:13" x14ac:dyDescent="0.25">
      <c r="K1167" s="26" t="s">
        <v>110</v>
      </c>
      <c r="L1167" s="27" t="s">
        <v>115</v>
      </c>
      <c r="M1167" s="10">
        <v>97.934193121693127</v>
      </c>
    </row>
    <row r="1168" spans="11:13" x14ac:dyDescent="0.25">
      <c r="K1168" s="26" t="s">
        <v>112</v>
      </c>
      <c r="L1168" s="27" t="s">
        <v>116</v>
      </c>
      <c r="M1168" s="10">
        <v>5.2949274594938052</v>
      </c>
    </row>
    <row r="1169" spans="11:13" x14ac:dyDescent="0.25">
      <c r="K1169" s="26" t="s">
        <v>112</v>
      </c>
      <c r="L1169" s="27" t="s">
        <v>117</v>
      </c>
      <c r="M1169" s="10">
        <v>211.79709837975219</v>
      </c>
    </row>
    <row r="1170" spans="11:13" x14ac:dyDescent="0.25">
      <c r="K1170" s="26" t="s">
        <v>111</v>
      </c>
      <c r="L1170" s="27" t="s">
        <v>118</v>
      </c>
      <c r="M1170" s="10">
        <v>44.091710758377424</v>
      </c>
    </row>
    <row r="1171" spans="11:13" x14ac:dyDescent="0.25">
      <c r="K1171" s="26" t="s">
        <v>110</v>
      </c>
      <c r="L1171" s="27" t="s">
        <v>119</v>
      </c>
      <c r="M1171" s="10">
        <v>92.421441774491683</v>
      </c>
    </row>
    <row r="1172" spans="11:13" x14ac:dyDescent="0.25">
      <c r="K1172" s="26" t="s">
        <v>111</v>
      </c>
      <c r="L1172" s="27" t="s">
        <v>115</v>
      </c>
      <c r="M1172" s="10">
        <v>48.500881834215171</v>
      </c>
    </row>
    <row r="1173" spans="11:13" x14ac:dyDescent="0.25">
      <c r="K1173" s="26" t="s">
        <v>109</v>
      </c>
      <c r="L1173" s="27" t="s">
        <v>116</v>
      </c>
      <c r="M1173" s="10">
        <v>987.12135669959264</v>
      </c>
    </row>
    <row r="1174" spans="11:13" x14ac:dyDescent="0.25">
      <c r="K1174" s="26" t="s">
        <v>109</v>
      </c>
      <c r="L1174" s="27" t="s">
        <v>117</v>
      </c>
      <c r="M1174" s="10">
        <v>238.0952380952381</v>
      </c>
    </row>
    <row r="1175" spans="11:13" x14ac:dyDescent="0.25">
      <c r="K1175" s="26" t="s">
        <v>109</v>
      </c>
      <c r="L1175" s="27" t="s">
        <v>118</v>
      </c>
      <c r="M1175" s="10">
        <v>55.114638447971785</v>
      </c>
    </row>
    <row r="1176" spans="11:13" x14ac:dyDescent="0.25">
      <c r="K1176" s="26" t="s">
        <v>109</v>
      </c>
      <c r="L1176" s="27" t="s">
        <v>119</v>
      </c>
      <c r="M1176" s="10">
        <v>48.618426383599385</v>
      </c>
    </row>
    <row r="1177" spans="11:13" x14ac:dyDescent="0.25">
      <c r="K1177" s="26" t="s">
        <v>111</v>
      </c>
      <c r="L1177" s="27" t="s">
        <v>115</v>
      </c>
      <c r="M1177" s="10">
        <v>36.081128747795418</v>
      </c>
    </row>
    <row r="1178" spans="11:13" x14ac:dyDescent="0.25">
      <c r="K1178" s="26" t="s">
        <v>111</v>
      </c>
      <c r="L1178" s="27" t="s">
        <v>116</v>
      </c>
      <c r="M1178" s="10">
        <v>317.46031746031747</v>
      </c>
    </row>
    <row r="1179" spans="11:13" x14ac:dyDescent="0.25">
      <c r="K1179" s="26" t="s">
        <v>111</v>
      </c>
      <c r="L1179" s="27" t="s">
        <v>117</v>
      </c>
      <c r="M1179" s="10">
        <v>16.534391534391535</v>
      </c>
    </row>
    <row r="1180" spans="11:13" x14ac:dyDescent="0.25">
      <c r="K1180" s="26" t="s">
        <v>112</v>
      </c>
      <c r="L1180" s="27" t="s">
        <v>118</v>
      </c>
      <c r="M1180" s="10">
        <v>642.4010381200776</v>
      </c>
    </row>
    <row r="1181" spans="11:13" x14ac:dyDescent="0.25">
      <c r="K1181" s="26" t="s">
        <v>110</v>
      </c>
      <c r="L1181" s="27" t="s">
        <v>119</v>
      </c>
      <c r="M1181" s="10">
        <v>12.848020762401553</v>
      </c>
    </row>
    <row r="1182" spans="11:13" x14ac:dyDescent="0.25">
      <c r="K1182" s="26" t="s">
        <v>113</v>
      </c>
      <c r="L1182" s="27" t="s">
        <v>115</v>
      </c>
      <c r="M1182" s="10">
        <v>12.848020762401553</v>
      </c>
    </row>
    <row r="1183" spans="11:13" x14ac:dyDescent="0.25">
      <c r="K1183" s="26" t="s">
        <v>111</v>
      </c>
      <c r="L1183" s="27" t="s">
        <v>116</v>
      </c>
      <c r="M1183" s="10">
        <v>24.873432259842879</v>
      </c>
    </row>
    <row r="1184" spans="11:13" x14ac:dyDescent="0.25">
      <c r="K1184" s="26" t="s">
        <v>110</v>
      </c>
      <c r="L1184" s="27" t="s">
        <v>117</v>
      </c>
      <c r="M1184" s="10">
        <v>98.712135669959252</v>
      </c>
    </row>
    <row r="1185" spans="11:13" x14ac:dyDescent="0.25">
      <c r="K1185" s="26" t="s">
        <v>113</v>
      </c>
      <c r="L1185" s="27" t="s">
        <v>118</v>
      </c>
      <c r="M1185" s="10">
        <v>110.22927689594357</v>
      </c>
    </row>
    <row r="1186" spans="11:13" x14ac:dyDescent="0.25">
      <c r="K1186" s="26" t="s">
        <v>113</v>
      </c>
      <c r="L1186" s="27" t="s">
        <v>119</v>
      </c>
      <c r="M1186" s="10">
        <v>123.22858903265558</v>
      </c>
    </row>
    <row r="1187" spans="11:13" x14ac:dyDescent="0.25">
      <c r="K1187" s="26" t="s">
        <v>113</v>
      </c>
      <c r="L1187" s="27" t="s">
        <v>115</v>
      </c>
      <c r="M1187" s="10">
        <v>77.017868145409736</v>
      </c>
    </row>
    <row r="1188" spans="11:13" x14ac:dyDescent="0.25">
      <c r="K1188" s="26" t="s">
        <v>109</v>
      </c>
      <c r="L1188" s="27" t="s">
        <v>116</v>
      </c>
      <c r="M1188" s="10">
        <v>138.63216266173754</v>
      </c>
    </row>
    <row r="1189" spans="11:13" x14ac:dyDescent="0.25">
      <c r="K1189" s="26" t="s">
        <v>109</v>
      </c>
      <c r="L1189" s="27" t="s">
        <v>117</v>
      </c>
      <c r="M1189" s="10">
        <v>154.03573629081947</v>
      </c>
    </row>
    <row r="1190" spans="11:13" x14ac:dyDescent="0.25">
      <c r="K1190" s="26" t="s">
        <v>111</v>
      </c>
      <c r="L1190" s="27" t="s">
        <v>118</v>
      </c>
      <c r="M1190" s="10">
        <v>123.22858903265558</v>
      </c>
    </row>
    <row r="1191" spans="11:13" x14ac:dyDescent="0.25">
      <c r="K1191" s="26" t="s">
        <v>111</v>
      </c>
      <c r="L1191" s="27" t="s">
        <v>119</v>
      </c>
      <c r="M1191" s="10">
        <v>18.317198933939025</v>
      </c>
    </row>
    <row r="1192" spans="11:13" x14ac:dyDescent="0.25">
      <c r="K1192" s="26" t="s">
        <v>110</v>
      </c>
      <c r="L1192" s="27" t="s">
        <v>115</v>
      </c>
      <c r="M1192" s="10">
        <v>18.317198933939025</v>
      </c>
    </row>
    <row r="1193" spans="11:13" x14ac:dyDescent="0.25">
      <c r="K1193" s="26" t="s">
        <v>111</v>
      </c>
      <c r="L1193" s="27" t="s">
        <v>116</v>
      </c>
      <c r="M1193" s="10">
        <v>77.017868145409736</v>
      </c>
    </row>
    <row r="1194" spans="11:13" x14ac:dyDescent="0.25">
      <c r="K1194" s="26" t="s">
        <v>110</v>
      </c>
      <c r="L1194" s="27" t="s">
        <v>117</v>
      </c>
      <c r="M1194" s="10">
        <v>77.017868145409736</v>
      </c>
    </row>
    <row r="1195" spans="11:13" x14ac:dyDescent="0.25">
      <c r="K1195" s="26" t="s">
        <v>109</v>
      </c>
      <c r="L1195" s="27" t="s">
        <v>118</v>
      </c>
      <c r="M1195" s="10">
        <v>52.949274594938046</v>
      </c>
    </row>
    <row r="1196" spans="11:13" x14ac:dyDescent="0.25">
      <c r="K1196" s="26" t="s">
        <v>110</v>
      </c>
      <c r="L1196" s="27" t="s">
        <v>119</v>
      </c>
      <c r="M1196" s="10">
        <v>30</v>
      </c>
    </row>
    <row r="1197" spans="11:13" x14ac:dyDescent="0.25">
      <c r="K1197" s="26" t="s">
        <v>113</v>
      </c>
      <c r="L1197" s="27" t="s">
        <v>115</v>
      </c>
      <c r="M1197" s="10">
        <v>17.235436056532226</v>
      </c>
    </row>
    <row r="1198" spans="11:13" x14ac:dyDescent="0.25">
      <c r="K1198" s="26" t="s">
        <v>113</v>
      </c>
      <c r="L1198" s="27" t="s">
        <v>116</v>
      </c>
      <c r="M1198" s="10">
        <v>110.22927689594357</v>
      </c>
    </row>
    <row r="1199" spans="11:13" x14ac:dyDescent="0.25">
      <c r="K1199" s="26" t="s">
        <v>109</v>
      </c>
      <c r="L1199" s="27" t="s">
        <v>117</v>
      </c>
      <c r="M1199" s="10">
        <v>110.22927689594357</v>
      </c>
    </row>
    <row r="1200" spans="11:13" x14ac:dyDescent="0.25">
      <c r="K1200" s="26" t="s">
        <v>109</v>
      </c>
      <c r="L1200" s="27" t="s">
        <v>118</v>
      </c>
      <c r="M1200" s="10">
        <v>36.0810405643739</v>
      </c>
    </row>
    <row r="1201" spans="11:13" x14ac:dyDescent="0.25">
      <c r="K1201" s="26" t="s">
        <v>109</v>
      </c>
      <c r="L1201" s="27" t="s">
        <v>119</v>
      </c>
      <c r="M1201" s="10">
        <v>77.017868145409736</v>
      </c>
    </row>
    <row r="1202" spans="11:13" x14ac:dyDescent="0.25">
      <c r="K1202" s="26" t="s">
        <v>110</v>
      </c>
      <c r="L1202" s="27" t="s">
        <v>115</v>
      </c>
      <c r="M1202" s="10">
        <v>1058.985491898761</v>
      </c>
    </row>
    <row r="1203" spans="11:13" x14ac:dyDescent="0.25">
      <c r="K1203" s="26" t="s">
        <v>110</v>
      </c>
      <c r="L1203" s="27" t="s">
        <v>116</v>
      </c>
      <c r="M1203" s="10">
        <v>103.41261633919338</v>
      </c>
    </row>
    <row r="1204" spans="11:13" x14ac:dyDescent="0.25">
      <c r="K1204" s="26" t="s">
        <v>111</v>
      </c>
      <c r="L1204" s="27" t="s">
        <v>117</v>
      </c>
      <c r="M1204" s="10">
        <v>68.941744226128904</v>
      </c>
    </row>
    <row r="1205" spans="11:13" x14ac:dyDescent="0.25">
      <c r="K1205" s="26" t="s">
        <v>111</v>
      </c>
      <c r="L1205" s="27" t="s">
        <v>118</v>
      </c>
      <c r="M1205" s="10">
        <v>68.941744226128904</v>
      </c>
    </row>
    <row r="1206" spans="11:13" x14ac:dyDescent="0.25">
      <c r="K1206" s="26" t="s">
        <v>110</v>
      </c>
      <c r="L1206" s="27" t="s">
        <v>119</v>
      </c>
      <c r="M1206" s="10">
        <v>34.470872113064452</v>
      </c>
    </row>
    <row r="1207" spans="11:13" x14ac:dyDescent="0.25">
      <c r="K1207" s="26" t="s">
        <v>111</v>
      </c>
      <c r="L1207" s="27" t="s">
        <v>115</v>
      </c>
      <c r="M1207" s="10">
        <v>98.088262476894641</v>
      </c>
    </row>
    <row r="1208" spans="11:13" x14ac:dyDescent="0.25">
      <c r="K1208" s="26" t="s">
        <v>113</v>
      </c>
      <c r="L1208" s="27" t="s">
        <v>116</v>
      </c>
      <c r="M1208" s="10">
        <v>123.22858903265558</v>
      </c>
    </row>
    <row r="1209" spans="11:13" x14ac:dyDescent="0.25">
      <c r="K1209" s="26" t="s">
        <v>110</v>
      </c>
      <c r="L1209" s="27" t="s">
        <v>117</v>
      </c>
      <c r="M1209" s="10">
        <v>23.105360443622921</v>
      </c>
    </row>
    <row r="1210" spans="11:13" x14ac:dyDescent="0.25">
      <c r="K1210" s="26" t="s">
        <v>110</v>
      </c>
      <c r="L1210" s="27" t="s">
        <v>118</v>
      </c>
      <c r="M1210" s="10">
        <v>27.726432532347506</v>
      </c>
    </row>
    <row r="1211" spans="11:13" x14ac:dyDescent="0.25">
      <c r="K1211" s="26" t="s">
        <v>109</v>
      </c>
      <c r="L1211" s="27" t="s">
        <v>119</v>
      </c>
      <c r="M1211" s="10">
        <v>15.403573629081947</v>
      </c>
    </row>
    <row r="1212" spans="11:13" x14ac:dyDescent="0.25">
      <c r="K1212" s="26" t="s">
        <v>111</v>
      </c>
      <c r="L1212" s="27" t="s">
        <v>115</v>
      </c>
      <c r="M1212" s="10">
        <v>770.17868145409739</v>
      </c>
    </row>
    <row r="1213" spans="11:13" x14ac:dyDescent="0.25">
      <c r="K1213" s="26" t="s">
        <v>113</v>
      </c>
      <c r="L1213" s="27" t="s">
        <v>116</v>
      </c>
      <c r="M1213" s="10">
        <v>123.22858903265558</v>
      </c>
    </row>
    <row r="1214" spans="11:13" x14ac:dyDescent="0.25">
      <c r="K1214" s="26" t="s">
        <v>113</v>
      </c>
      <c r="L1214" s="27" t="s">
        <v>117</v>
      </c>
      <c r="M1214" s="10">
        <v>123.22858903265558</v>
      </c>
    </row>
    <row r="1215" spans="11:13" x14ac:dyDescent="0.25">
      <c r="K1215" s="26" t="s">
        <v>109</v>
      </c>
      <c r="L1215" s="27" t="s">
        <v>118</v>
      </c>
      <c r="M1215" s="10">
        <v>23.105360443622921</v>
      </c>
    </row>
    <row r="1216" spans="11:13" x14ac:dyDescent="0.25">
      <c r="K1216" s="26" t="s">
        <v>109</v>
      </c>
      <c r="L1216" s="27" t="s">
        <v>119</v>
      </c>
      <c r="M1216" s="10">
        <v>46.210720887245841</v>
      </c>
    </row>
    <row r="1217" spans="11:13" x14ac:dyDescent="0.25">
      <c r="K1217" s="26" t="s">
        <v>109</v>
      </c>
      <c r="L1217" s="27" t="s">
        <v>115</v>
      </c>
      <c r="M1217" s="10">
        <v>107.82501540357363</v>
      </c>
    </row>
    <row r="1218" spans="11:13" x14ac:dyDescent="0.25">
      <c r="K1218" s="26" t="s">
        <v>111</v>
      </c>
      <c r="L1218" s="27" t="s">
        <v>116</v>
      </c>
      <c r="M1218" s="10">
        <v>38.508934072704868</v>
      </c>
    </row>
    <row r="1219" spans="11:13" x14ac:dyDescent="0.25">
      <c r="K1219" s="26" t="s">
        <v>110</v>
      </c>
      <c r="L1219" s="27" t="s">
        <v>117</v>
      </c>
      <c r="M1219" s="10">
        <v>274.75798400908536</v>
      </c>
    </row>
    <row r="1220" spans="11:13" x14ac:dyDescent="0.25">
      <c r="K1220" s="26" t="s">
        <v>110</v>
      </c>
      <c r="L1220" s="27" t="s">
        <v>118</v>
      </c>
      <c r="M1220" s="10">
        <v>26.823248188886957</v>
      </c>
    </row>
    <row r="1221" spans="11:13" x14ac:dyDescent="0.25">
      <c r="K1221" s="26" t="s">
        <v>110</v>
      </c>
      <c r="L1221" s="27" t="s">
        <v>119</v>
      </c>
      <c r="M1221" s="10">
        <v>308.07147258163894</v>
      </c>
    </row>
    <row r="1222" spans="11:13" x14ac:dyDescent="0.25">
      <c r="K1222" s="26" t="s">
        <v>113</v>
      </c>
      <c r="L1222" s="27" t="s">
        <v>115</v>
      </c>
      <c r="M1222" s="10">
        <v>1232.2858903265558</v>
      </c>
    </row>
    <row r="1223" spans="11:13" x14ac:dyDescent="0.25">
      <c r="K1223" s="26" t="s">
        <v>110</v>
      </c>
      <c r="L1223" s="27" t="s">
        <v>116</v>
      </c>
      <c r="M1223" s="10">
        <v>27.726432532347506</v>
      </c>
    </row>
    <row r="1224" spans="11:13" x14ac:dyDescent="0.25">
      <c r="K1224" s="26" t="s">
        <v>109</v>
      </c>
      <c r="L1224" s="27" t="s">
        <v>117</v>
      </c>
      <c r="M1224" s="10">
        <v>38.508934072704868</v>
      </c>
    </row>
    <row r="1225" spans="11:13" x14ac:dyDescent="0.25">
      <c r="K1225" s="26" t="s">
        <v>113</v>
      </c>
      <c r="L1225" s="27" t="s">
        <v>118</v>
      </c>
      <c r="M1225" s="10">
        <v>231.05360443622922</v>
      </c>
    </row>
    <row r="1226" spans="11:13" x14ac:dyDescent="0.25">
      <c r="K1226" s="26" t="s">
        <v>113</v>
      </c>
      <c r="L1226" s="27" t="s">
        <v>119</v>
      </c>
      <c r="M1226" s="10">
        <v>115.52680221811461</v>
      </c>
    </row>
    <row r="1227" spans="11:13" x14ac:dyDescent="0.25">
      <c r="K1227" s="26" t="s">
        <v>109</v>
      </c>
      <c r="L1227" s="27" t="s">
        <v>115</v>
      </c>
      <c r="M1227" s="10">
        <v>61.614294516327789</v>
      </c>
    </row>
    <row r="1228" spans="11:13" x14ac:dyDescent="0.25">
      <c r="K1228" s="26" t="s">
        <v>111</v>
      </c>
      <c r="L1228" s="27" t="s">
        <v>116</v>
      </c>
      <c r="M1228" s="10">
        <v>46.210720887245841</v>
      </c>
    </row>
    <row r="1229" spans="11:13" x14ac:dyDescent="0.25">
      <c r="K1229" s="26" t="s">
        <v>110</v>
      </c>
      <c r="L1229" s="27" t="s">
        <v>117</v>
      </c>
      <c r="M1229" s="10">
        <v>44.091710758377424</v>
      </c>
    </row>
    <row r="1230" spans="11:13" x14ac:dyDescent="0.25">
      <c r="K1230" s="26" t="s">
        <v>110</v>
      </c>
      <c r="L1230" s="27" t="s">
        <v>118</v>
      </c>
      <c r="M1230" s="10">
        <v>22.045855379188712</v>
      </c>
    </row>
    <row r="1231" spans="11:13" x14ac:dyDescent="0.25">
      <c r="K1231" s="26" t="s">
        <v>111</v>
      </c>
      <c r="L1231" s="27" t="s">
        <v>119</v>
      </c>
      <c r="M1231" s="10">
        <v>123.22858903265558</v>
      </c>
    </row>
    <row r="1232" spans="11:13" x14ac:dyDescent="0.25">
      <c r="K1232" s="26" t="s">
        <v>110</v>
      </c>
      <c r="L1232" s="27" t="s">
        <v>115</v>
      </c>
      <c r="M1232" s="10">
        <v>128.48020762401552</v>
      </c>
    </row>
    <row r="1233" spans="11:13" x14ac:dyDescent="0.25">
      <c r="K1233" s="26" t="s">
        <v>109</v>
      </c>
      <c r="L1233" s="27" t="s">
        <v>116</v>
      </c>
      <c r="M1233" s="10">
        <v>30.742487119859188</v>
      </c>
    </row>
    <row r="1234" spans="11:13" x14ac:dyDescent="0.25">
      <c r="K1234" s="26" t="s">
        <v>109</v>
      </c>
      <c r="L1234" s="27" t="s">
        <v>117</v>
      </c>
      <c r="M1234" s="10">
        <v>42.359419675950441</v>
      </c>
    </row>
    <row r="1235" spans="11:13" x14ac:dyDescent="0.25">
      <c r="K1235" s="26" t="s">
        <v>113</v>
      </c>
      <c r="L1235" s="27" t="s">
        <v>118</v>
      </c>
      <c r="M1235" s="10">
        <v>0</v>
      </c>
    </row>
    <row r="1236" spans="11:13" x14ac:dyDescent="0.25">
      <c r="K1236" s="26" t="s">
        <v>113</v>
      </c>
      <c r="L1236" s="27" t="s">
        <v>119</v>
      </c>
      <c r="M1236" s="10">
        <v>48.967151675485006</v>
      </c>
    </row>
    <row r="1237" spans="11:13" x14ac:dyDescent="0.25">
      <c r="K1237" s="26" t="s">
        <v>109</v>
      </c>
      <c r="L1237" s="27" t="s">
        <v>115</v>
      </c>
      <c r="M1237" s="10">
        <v>225.37940917107585</v>
      </c>
    </row>
    <row r="1238" spans="11:13" x14ac:dyDescent="0.25">
      <c r="K1238" s="26" t="s">
        <v>111</v>
      </c>
      <c r="L1238" s="27" t="s">
        <v>116</v>
      </c>
      <c r="M1238" s="10">
        <v>764.6701940035274</v>
      </c>
    </row>
    <row r="1239" spans="11:13" x14ac:dyDescent="0.25">
      <c r="K1239" s="26" t="s">
        <v>114</v>
      </c>
      <c r="L1239" s="27" t="s">
        <v>117</v>
      </c>
      <c r="M1239" s="10">
        <v>247.85961199294533</v>
      </c>
    </row>
    <row r="1240" spans="11:13" x14ac:dyDescent="0.25">
      <c r="K1240" s="26" t="s">
        <v>111</v>
      </c>
      <c r="L1240" s="27" t="s">
        <v>118</v>
      </c>
      <c r="M1240" s="10">
        <v>22.045855379188712</v>
      </c>
    </row>
    <row r="1241" spans="11:13" x14ac:dyDescent="0.25">
      <c r="K1241" s="26" t="s">
        <v>111</v>
      </c>
      <c r="L1241" s="27" t="s">
        <v>119</v>
      </c>
      <c r="M1241" s="10">
        <v>69.316081330868769</v>
      </c>
    </row>
    <row r="1242" spans="11:13" x14ac:dyDescent="0.25">
      <c r="K1242" s="26" t="s">
        <v>109</v>
      </c>
      <c r="L1242" s="27" t="s">
        <v>115</v>
      </c>
      <c r="M1242" s="10">
        <v>107.82501540357363</v>
      </c>
    </row>
    <row r="1243" spans="11:13" x14ac:dyDescent="0.25">
      <c r="K1243" s="26" t="s">
        <v>113</v>
      </c>
      <c r="L1243" s="27" t="s">
        <v>116</v>
      </c>
      <c r="M1243" s="10">
        <v>35.273368606701936</v>
      </c>
    </row>
    <row r="1244" spans="11:13" x14ac:dyDescent="0.25">
      <c r="K1244" s="26" t="s">
        <v>113</v>
      </c>
      <c r="L1244" s="27" t="s">
        <v>117</v>
      </c>
      <c r="M1244" s="10">
        <v>48.967096560846564</v>
      </c>
    </row>
    <row r="1245" spans="11:13" x14ac:dyDescent="0.25">
      <c r="K1245" s="26" t="s">
        <v>110</v>
      </c>
      <c r="L1245" s="27" t="s">
        <v>118</v>
      </c>
      <c r="M1245" s="10">
        <v>50</v>
      </c>
    </row>
    <row r="1246" spans="11:13" x14ac:dyDescent="0.25">
      <c r="K1246" s="26" t="s">
        <v>113</v>
      </c>
      <c r="L1246" s="27" t="s">
        <v>119</v>
      </c>
      <c r="M1246" s="10">
        <v>529.49274594938049</v>
      </c>
    </row>
    <row r="1247" spans="11:13" x14ac:dyDescent="0.25">
      <c r="K1247" s="26" t="s">
        <v>109</v>
      </c>
      <c r="L1247" s="27" t="s">
        <v>115</v>
      </c>
      <c r="M1247" s="10">
        <v>123.22858903265558</v>
      </c>
    </row>
    <row r="1248" spans="11:13" x14ac:dyDescent="0.25">
      <c r="K1248" s="26" t="s">
        <v>109</v>
      </c>
      <c r="L1248" s="27" t="s">
        <v>116</v>
      </c>
      <c r="M1248" s="10">
        <v>32.904045223319756</v>
      </c>
    </row>
    <row r="1249" spans="11:13" x14ac:dyDescent="0.25">
      <c r="K1249" s="26" t="s">
        <v>110</v>
      </c>
      <c r="L1249" s="27" t="s">
        <v>117</v>
      </c>
      <c r="M1249" s="10">
        <v>185.32246108228318</v>
      </c>
    </row>
    <row r="1250" spans="11:13" x14ac:dyDescent="0.25">
      <c r="K1250" s="26" t="s">
        <v>109</v>
      </c>
      <c r="L1250" s="27" t="s">
        <v>118</v>
      </c>
      <c r="M1250" s="10">
        <v>476.54347135444243</v>
      </c>
    </row>
    <row r="1251" spans="11:13" x14ac:dyDescent="0.25">
      <c r="K1251" s="26" t="s">
        <v>111</v>
      </c>
      <c r="L1251" s="27" t="s">
        <v>119</v>
      </c>
      <c r="M1251" s="10">
        <v>91.585994669695125</v>
      </c>
    </row>
    <row r="1252" spans="11:13" x14ac:dyDescent="0.25">
      <c r="K1252" s="26" t="s">
        <v>111</v>
      </c>
      <c r="L1252" s="27" t="s">
        <v>115</v>
      </c>
      <c r="M1252" s="10">
        <v>77.017868145409736</v>
      </c>
    </row>
    <row r="1253" spans="11:13" x14ac:dyDescent="0.25">
      <c r="K1253" s="26" t="s">
        <v>114</v>
      </c>
      <c r="L1253" s="27" t="s">
        <v>116</v>
      </c>
      <c r="M1253" s="10">
        <v>288.15042083764553</v>
      </c>
    </row>
    <row r="1254" spans="11:13" x14ac:dyDescent="0.25">
      <c r="K1254" s="26" t="s">
        <v>111</v>
      </c>
      <c r="L1254" s="27" t="s">
        <v>117</v>
      </c>
      <c r="M1254" s="10">
        <v>64.110196268786581</v>
      </c>
    </row>
    <row r="1255" spans="11:13" x14ac:dyDescent="0.25">
      <c r="K1255" s="26" t="s">
        <v>109</v>
      </c>
      <c r="L1255" s="27" t="s">
        <v>118</v>
      </c>
      <c r="M1255" s="10">
        <v>110.22927689594357</v>
      </c>
    </row>
    <row r="1256" spans="11:13" x14ac:dyDescent="0.25">
      <c r="K1256" s="26" t="s">
        <v>113</v>
      </c>
      <c r="L1256" s="27" t="s">
        <v>119</v>
      </c>
      <c r="M1256" s="10">
        <v>110.22927689594357</v>
      </c>
    </row>
    <row r="1257" spans="11:13" x14ac:dyDescent="0.25">
      <c r="K1257" s="26" t="s">
        <v>110</v>
      </c>
      <c r="L1257" s="27" t="s">
        <v>115</v>
      </c>
      <c r="M1257" s="10">
        <v>110.22927689594357</v>
      </c>
    </row>
    <row r="1258" spans="11:13" x14ac:dyDescent="0.25">
      <c r="K1258" s="26" t="s">
        <v>113</v>
      </c>
      <c r="L1258" s="27" t="s">
        <v>116</v>
      </c>
      <c r="M1258" s="10">
        <v>108.24305555555556</v>
      </c>
    </row>
    <row r="1259" spans="11:13" x14ac:dyDescent="0.25">
      <c r="K1259" s="26" t="s">
        <v>114</v>
      </c>
      <c r="L1259" s="27" t="s">
        <v>117</v>
      </c>
      <c r="M1259" s="10">
        <v>9.0264941466420208</v>
      </c>
    </row>
    <row r="1260" spans="11:13" x14ac:dyDescent="0.25">
      <c r="K1260" s="26" t="s">
        <v>111</v>
      </c>
      <c r="L1260" s="27" t="s">
        <v>118</v>
      </c>
      <c r="M1260" s="10">
        <v>29.330291673456088</v>
      </c>
    </row>
    <row r="1261" spans="11:13" x14ac:dyDescent="0.25">
      <c r="K1261" s="26" t="s">
        <v>111</v>
      </c>
      <c r="L1261" s="27" t="s">
        <v>119</v>
      </c>
      <c r="M1261" s="10">
        <v>137.37899200454268</v>
      </c>
    </row>
    <row r="1262" spans="11:13" x14ac:dyDescent="0.25">
      <c r="K1262" s="26" t="s">
        <v>111</v>
      </c>
      <c r="L1262" s="27" t="s">
        <v>115</v>
      </c>
      <c r="M1262" s="10">
        <v>33.06878306878307</v>
      </c>
    </row>
    <row r="1263" spans="11:13" x14ac:dyDescent="0.25">
      <c r="K1263" s="26" t="s">
        <v>109</v>
      </c>
      <c r="L1263" s="27" t="s">
        <v>116</v>
      </c>
      <c r="M1263" s="10">
        <v>128.22039253757316</v>
      </c>
    </row>
    <row r="1264" spans="11:13" x14ac:dyDescent="0.25">
      <c r="K1264" s="26" t="s">
        <v>111</v>
      </c>
      <c r="L1264" s="27" t="s">
        <v>117</v>
      </c>
      <c r="M1264" s="10">
        <v>30.8641975308642</v>
      </c>
    </row>
    <row r="1265" spans="11:13" x14ac:dyDescent="0.25">
      <c r="K1265" s="26" t="s">
        <v>113</v>
      </c>
      <c r="L1265" s="27" t="s">
        <v>118</v>
      </c>
      <c r="M1265" s="10">
        <v>29.651593773165306</v>
      </c>
    </row>
    <row r="1266" spans="11:13" x14ac:dyDescent="0.25">
      <c r="K1266" s="26" t="s">
        <v>113</v>
      </c>
      <c r="L1266" s="27" t="s">
        <v>119</v>
      </c>
      <c r="M1266" s="10">
        <v>66.137566137566139</v>
      </c>
    </row>
    <row r="1267" spans="11:13" x14ac:dyDescent="0.25">
      <c r="K1267" s="26" t="s">
        <v>113</v>
      </c>
      <c r="L1267" s="27" t="s">
        <v>115</v>
      </c>
      <c r="M1267" s="10">
        <v>35.273368606701936</v>
      </c>
    </row>
    <row r="1268" spans="11:13" x14ac:dyDescent="0.25">
      <c r="K1268" s="26" t="s">
        <v>113</v>
      </c>
      <c r="L1268" s="27" t="s">
        <v>116</v>
      </c>
      <c r="M1268" s="10">
        <v>661.37566137566137</v>
      </c>
    </row>
    <row r="1269" spans="11:13" x14ac:dyDescent="0.25">
      <c r="K1269" s="26" t="s">
        <v>109</v>
      </c>
      <c r="L1269" s="27" t="s">
        <v>117</v>
      </c>
      <c r="M1269" s="10">
        <v>385.80246913580248</v>
      </c>
    </row>
    <row r="1270" spans="11:13" x14ac:dyDescent="0.25">
      <c r="K1270" s="26" t="s">
        <v>109</v>
      </c>
      <c r="L1270" s="27" t="s">
        <v>118</v>
      </c>
      <c r="M1270" s="10">
        <v>77.017868145409736</v>
      </c>
    </row>
    <row r="1271" spans="11:13" x14ac:dyDescent="0.25">
      <c r="K1271" s="26" t="s">
        <v>110</v>
      </c>
      <c r="L1271" s="27" t="s">
        <v>119</v>
      </c>
      <c r="M1271" s="10">
        <v>881.83421516754856</v>
      </c>
    </row>
    <row r="1272" spans="11:13" x14ac:dyDescent="0.25">
      <c r="K1272" s="26" t="s">
        <v>109</v>
      </c>
      <c r="L1272" s="27" t="s">
        <v>115</v>
      </c>
      <c r="M1272" s="10">
        <v>44.091710758377424</v>
      </c>
    </row>
    <row r="1273" spans="11:13" x14ac:dyDescent="0.25">
      <c r="K1273" s="26" t="s">
        <v>109</v>
      </c>
      <c r="L1273" s="27" t="s">
        <v>116</v>
      </c>
      <c r="M1273" s="10">
        <v>635.3912951392565</v>
      </c>
    </row>
    <row r="1274" spans="11:13" x14ac:dyDescent="0.25">
      <c r="K1274" s="26" t="s">
        <v>111</v>
      </c>
      <c r="L1274" s="27" t="s">
        <v>117</v>
      </c>
      <c r="M1274" s="10">
        <v>423.59419675950437</v>
      </c>
    </row>
    <row r="1275" spans="11:13" x14ac:dyDescent="0.25">
      <c r="K1275" s="26" t="s">
        <v>113</v>
      </c>
      <c r="L1275" s="27" t="s">
        <v>118</v>
      </c>
      <c r="M1275" s="10">
        <v>423.59419675950437</v>
      </c>
    </row>
    <row r="1276" spans="11:13" x14ac:dyDescent="0.25">
      <c r="K1276" s="26" t="s">
        <v>113</v>
      </c>
      <c r="L1276" s="27" t="s">
        <v>119</v>
      </c>
      <c r="M1276" s="10">
        <v>62.82985674792662</v>
      </c>
    </row>
    <row r="1277" spans="11:13" x14ac:dyDescent="0.25">
      <c r="K1277" s="26" t="s">
        <v>111</v>
      </c>
      <c r="L1277" s="27" t="s">
        <v>115</v>
      </c>
      <c r="M1277" s="10">
        <v>288.15042083764553</v>
      </c>
    </row>
    <row r="1278" spans="11:13" x14ac:dyDescent="0.25">
      <c r="K1278" s="26" t="s">
        <v>110</v>
      </c>
      <c r="L1278" s="27" t="s">
        <v>116</v>
      </c>
      <c r="M1278" s="10">
        <v>27</v>
      </c>
    </row>
    <row r="1279" spans="11:13" x14ac:dyDescent="0.25">
      <c r="K1279" s="26" t="s">
        <v>109</v>
      </c>
      <c r="L1279" s="27" t="s">
        <v>117</v>
      </c>
      <c r="M1279" s="10">
        <v>881.40773809523807</v>
      </c>
    </row>
    <row r="1280" spans="11:13" x14ac:dyDescent="0.25">
      <c r="K1280" s="26" t="s">
        <v>109</v>
      </c>
      <c r="L1280" s="27" t="s">
        <v>118</v>
      </c>
      <c r="M1280" s="10">
        <v>116.33132716049383</v>
      </c>
    </row>
    <row r="1281" spans="11:13" x14ac:dyDescent="0.25">
      <c r="K1281" s="26" t="s">
        <v>113</v>
      </c>
      <c r="L1281" s="27" t="s">
        <v>119</v>
      </c>
      <c r="M1281" s="10">
        <v>77.84809546924086</v>
      </c>
    </row>
    <row r="1282" spans="11:13" x14ac:dyDescent="0.25">
      <c r="K1282" s="26" t="s">
        <v>113</v>
      </c>
      <c r="L1282" s="27" t="s">
        <v>115</v>
      </c>
      <c r="M1282" s="10">
        <v>33.06878306878307</v>
      </c>
    </row>
    <row r="1283" spans="11:13" x14ac:dyDescent="0.25">
      <c r="K1283" s="26" t="s">
        <v>113</v>
      </c>
      <c r="L1283" s="27" t="s">
        <v>116</v>
      </c>
      <c r="M1283" s="10">
        <v>44.888668430335102</v>
      </c>
    </row>
    <row r="1284" spans="11:13" x14ac:dyDescent="0.25">
      <c r="K1284" s="26" t="s">
        <v>113</v>
      </c>
      <c r="L1284" s="27" t="s">
        <v>117</v>
      </c>
      <c r="M1284" s="10">
        <v>551.14638447971777</v>
      </c>
    </row>
    <row r="1285" spans="11:13" x14ac:dyDescent="0.25">
      <c r="K1285" s="26" t="s">
        <v>109</v>
      </c>
      <c r="L1285" s="27" t="s">
        <v>118</v>
      </c>
      <c r="M1285" s="10">
        <v>50.729299275554787</v>
      </c>
    </row>
    <row r="1286" spans="11:13" x14ac:dyDescent="0.25">
      <c r="K1286" s="26" t="s">
        <v>110</v>
      </c>
      <c r="L1286" s="27" t="s">
        <v>119</v>
      </c>
      <c r="M1286" s="10">
        <v>2117.970983797522</v>
      </c>
    </row>
    <row r="1287" spans="11:13" x14ac:dyDescent="0.25">
      <c r="K1287" s="26" t="s">
        <v>109</v>
      </c>
      <c r="L1287" s="27" t="s">
        <v>115</v>
      </c>
      <c r="M1287" s="10">
        <v>88.183421516754848</v>
      </c>
    </row>
    <row r="1288" spans="11:13" x14ac:dyDescent="0.25">
      <c r="K1288" s="26" t="s">
        <v>109</v>
      </c>
      <c r="L1288" s="27" t="s">
        <v>116</v>
      </c>
      <c r="M1288" s="10">
        <v>40</v>
      </c>
    </row>
    <row r="1289" spans="11:13" x14ac:dyDescent="0.25">
      <c r="K1289" s="26" t="s">
        <v>109</v>
      </c>
      <c r="L1289" s="27" t="s">
        <v>117</v>
      </c>
      <c r="M1289" s="10">
        <v>30</v>
      </c>
    </row>
    <row r="1290" spans="11:13" x14ac:dyDescent="0.25">
      <c r="K1290" s="26" t="s">
        <v>110</v>
      </c>
      <c r="L1290" s="27" t="s">
        <v>118</v>
      </c>
      <c r="M1290" s="10">
        <v>3.5273368606701943</v>
      </c>
    </row>
    <row r="1291" spans="11:13" x14ac:dyDescent="0.25">
      <c r="K1291" s="26" t="s">
        <v>111</v>
      </c>
      <c r="L1291" s="27" t="s">
        <v>119</v>
      </c>
      <c r="M1291" s="10">
        <v>55.114638447971785</v>
      </c>
    </row>
    <row r="1292" spans="11:13" x14ac:dyDescent="0.25">
      <c r="K1292" s="26" t="s">
        <v>111</v>
      </c>
      <c r="L1292" s="27" t="s">
        <v>115</v>
      </c>
      <c r="M1292" s="10">
        <v>68.911655257959296</v>
      </c>
    </row>
    <row r="1293" spans="11:13" x14ac:dyDescent="0.25">
      <c r="K1293" s="26" t="s">
        <v>113</v>
      </c>
      <c r="L1293" s="27" t="s">
        <v>116</v>
      </c>
      <c r="M1293" s="10">
        <v>66.137566137566139</v>
      </c>
    </row>
    <row r="1294" spans="11:13" x14ac:dyDescent="0.25">
      <c r="K1294" s="26" t="s">
        <v>113</v>
      </c>
      <c r="L1294" s="27" t="s">
        <v>117</v>
      </c>
      <c r="M1294" s="10">
        <v>198.4126984126984</v>
      </c>
    </row>
    <row r="1295" spans="11:13" x14ac:dyDescent="0.25">
      <c r="K1295" s="26" t="s">
        <v>109</v>
      </c>
      <c r="L1295" s="27" t="s">
        <v>118</v>
      </c>
      <c r="M1295" s="10">
        <v>110.22927689594357</v>
      </c>
    </row>
    <row r="1296" spans="11:13" x14ac:dyDescent="0.25">
      <c r="K1296" s="26" t="s">
        <v>109</v>
      </c>
      <c r="L1296" s="27" t="s">
        <v>119</v>
      </c>
      <c r="M1296" s="10">
        <v>148.80952380952382</v>
      </c>
    </row>
    <row r="1297" spans="11:13" x14ac:dyDescent="0.25">
      <c r="K1297" s="26" t="s">
        <v>113</v>
      </c>
      <c r="L1297" s="27" t="s">
        <v>115</v>
      </c>
      <c r="M1297" s="10">
        <v>39.682539682539684</v>
      </c>
    </row>
    <row r="1298" spans="11:13" x14ac:dyDescent="0.25">
      <c r="K1298" s="26" t="s">
        <v>113</v>
      </c>
      <c r="L1298" s="27" t="s">
        <v>116</v>
      </c>
      <c r="M1298" s="10">
        <v>220.45855379188714</v>
      </c>
    </row>
    <row r="1299" spans="11:13" x14ac:dyDescent="0.25">
      <c r="K1299" s="26" t="s">
        <v>113</v>
      </c>
      <c r="L1299" s="27" t="s">
        <v>117</v>
      </c>
      <c r="M1299" s="10">
        <v>11.6</v>
      </c>
    </row>
    <row r="1300" spans="11:13" x14ac:dyDescent="0.25">
      <c r="K1300" s="26" t="s">
        <v>113</v>
      </c>
      <c r="L1300" s="27" t="s">
        <v>118</v>
      </c>
      <c r="M1300" s="10">
        <v>114</v>
      </c>
    </row>
    <row r="1301" spans="11:13" x14ac:dyDescent="0.25">
      <c r="K1301" s="26" t="s">
        <v>113</v>
      </c>
      <c r="L1301" s="27" t="s">
        <v>119</v>
      </c>
      <c r="M1301" s="10">
        <v>29.307518294302437</v>
      </c>
    </row>
    <row r="1302" spans="11:13" x14ac:dyDescent="0.25">
      <c r="K1302" s="26" t="s">
        <v>111</v>
      </c>
      <c r="L1302" s="27" t="s">
        <v>115</v>
      </c>
      <c r="M1302" s="10">
        <v>22.975000000000001</v>
      </c>
    </row>
    <row r="1303" spans="11:13" x14ac:dyDescent="0.25">
      <c r="K1303" s="26" t="s">
        <v>109</v>
      </c>
      <c r="L1303" s="27" t="s">
        <v>116</v>
      </c>
      <c r="M1303" s="10">
        <v>5.2949274594938052</v>
      </c>
    </row>
    <row r="1304" spans="11:13" x14ac:dyDescent="0.25">
      <c r="K1304" s="26" t="s">
        <v>109</v>
      </c>
      <c r="L1304" s="27" t="s">
        <v>117</v>
      </c>
      <c r="M1304" s="10">
        <v>110.22927689594357</v>
      </c>
    </row>
    <row r="1305" spans="11:13" x14ac:dyDescent="0.25">
      <c r="K1305" s="26" t="s">
        <v>110</v>
      </c>
      <c r="L1305" s="27" t="s">
        <v>118</v>
      </c>
      <c r="M1305" s="10">
        <v>68.911655257959296</v>
      </c>
    </row>
    <row r="1306" spans="11:13" x14ac:dyDescent="0.25">
      <c r="K1306" s="26" t="s">
        <v>109</v>
      </c>
      <c r="L1306" s="27" t="s">
        <v>119</v>
      </c>
      <c r="M1306" s="10">
        <v>440.91710758377428</v>
      </c>
    </row>
    <row r="1307" spans="11:13" x14ac:dyDescent="0.25">
      <c r="K1307" s="26" t="s">
        <v>113</v>
      </c>
      <c r="L1307" s="27" t="s">
        <v>115</v>
      </c>
      <c r="M1307" s="10">
        <v>352.73368606701939</v>
      </c>
    </row>
    <row r="1308" spans="11:13" x14ac:dyDescent="0.25">
      <c r="K1308" s="26" t="s">
        <v>113</v>
      </c>
      <c r="L1308" s="27" t="s">
        <v>116</v>
      </c>
      <c r="M1308" s="10">
        <v>18.155422057917438</v>
      </c>
    </row>
    <row r="1309" spans="11:13" x14ac:dyDescent="0.25">
      <c r="K1309" s="26" t="s">
        <v>111</v>
      </c>
      <c r="L1309" s="27" t="s">
        <v>117</v>
      </c>
      <c r="M1309" s="10">
        <v>44.091710758377424</v>
      </c>
    </row>
    <row r="1310" spans="11:13" x14ac:dyDescent="0.25">
      <c r="K1310" s="26" t="s">
        <v>111</v>
      </c>
      <c r="L1310" s="27" t="s">
        <v>118</v>
      </c>
      <c r="M1310" s="10">
        <v>142.19576719576719</v>
      </c>
    </row>
    <row r="1311" spans="11:13" x14ac:dyDescent="0.25">
      <c r="K1311" s="26" t="s">
        <v>110</v>
      </c>
      <c r="L1311" s="27" t="s">
        <v>119</v>
      </c>
      <c r="M1311" s="10">
        <v>1653.4391534391534</v>
      </c>
    </row>
    <row r="1312" spans="11:13" x14ac:dyDescent="0.25">
      <c r="K1312" s="26" t="s">
        <v>110</v>
      </c>
      <c r="L1312" s="27" t="s">
        <v>115</v>
      </c>
      <c r="M1312" s="10">
        <v>6.5466072495061338</v>
      </c>
    </row>
    <row r="1313" spans="11:13" x14ac:dyDescent="0.25">
      <c r="K1313" s="26" t="s">
        <v>113</v>
      </c>
      <c r="L1313" s="27" t="s">
        <v>116</v>
      </c>
      <c r="M1313" s="10">
        <v>127.0782590278513</v>
      </c>
    </row>
    <row r="1314" spans="11:13" x14ac:dyDescent="0.25">
      <c r="K1314" s="26" t="s">
        <v>113</v>
      </c>
      <c r="L1314" s="27" t="s">
        <v>117</v>
      </c>
      <c r="M1314" s="10">
        <v>127.0782590278513</v>
      </c>
    </row>
    <row r="1315" spans="11:13" x14ac:dyDescent="0.25">
      <c r="K1315" s="26" t="s">
        <v>113</v>
      </c>
      <c r="L1315" s="27" t="s">
        <v>118</v>
      </c>
      <c r="M1315" s="10">
        <v>158.84782378481412</v>
      </c>
    </row>
    <row r="1316" spans="11:13" x14ac:dyDescent="0.25">
      <c r="K1316" s="26" t="s">
        <v>113</v>
      </c>
      <c r="L1316" s="27" t="s">
        <v>119</v>
      </c>
      <c r="M1316" s="10">
        <v>30</v>
      </c>
    </row>
    <row r="1317" spans="11:13" x14ac:dyDescent="0.25">
      <c r="K1317" s="26" t="s">
        <v>111</v>
      </c>
      <c r="L1317" s="27" t="s">
        <v>115</v>
      </c>
      <c r="M1317" s="10">
        <v>264.74637297469025</v>
      </c>
    </row>
    <row r="1318" spans="11:13" x14ac:dyDescent="0.25">
      <c r="K1318" s="26" t="s">
        <v>109</v>
      </c>
      <c r="L1318" s="27" t="s">
        <v>116</v>
      </c>
      <c r="M1318" s="10">
        <v>10.58985491898761</v>
      </c>
    </row>
    <row r="1319" spans="11:13" x14ac:dyDescent="0.25">
      <c r="K1319" s="26" t="s">
        <v>109</v>
      </c>
      <c r="L1319" s="27" t="s">
        <v>117</v>
      </c>
      <c r="M1319" s="10">
        <v>26.474637297469023</v>
      </c>
    </row>
    <row r="1320" spans="11:13" x14ac:dyDescent="0.25">
      <c r="K1320" s="26" t="s">
        <v>109</v>
      </c>
      <c r="L1320" s="27" t="s">
        <v>118</v>
      </c>
      <c r="M1320" s="10">
        <v>21.179709837975221</v>
      </c>
    </row>
    <row r="1321" spans="11:13" x14ac:dyDescent="0.25">
      <c r="K1321" s="26" t="s">
        <v>109</v>
      </c>
      <c r="L1321" s="27" t="s">
        <v>119</v>
      </c>
      <c r="M1321" s="10">
        <v>14.825796886582653</v>
      </c>
    </row>
    <row r="1322" spans="11:13" x14ac:dyDescent="0.25">
      <c r="K1322" s="26" t="s">
        <v>110</v>
      </c>
      <c r="L1322" s="27" t="s">
        <v>115</v>
      </c>
      <c r="M1322" s="10">
        <v>14.825796886582653</v>
      </c>
    </row>
    <row r="1323" spans="11:13" x14ac:dyDescent="0.25">
      <c r="K1323" s="26" t="s">
        <v>110</v>
      </c>
      <c r="L1323" s="27" t="s">
        <v>116</v>
      </c>
      <c r="M1323" s="10">
        <v>27.557319223985893</v>
      </c>
    </row>
    <row r="1324" spans="11:13" x14ac:dyDescent="0.25">
      <c r="K1324" s="26" t="s">
        <v>111</v>
      </c>
      <c r="L1324" s="27" t="s">
        <v>117</v>
      </c>
      <c r="M1324" s="10">
        <v>380.29100529100532</v>
      </c>
    </row>
    <row r="1325" spans="11:13" x14ac:dyDescent="0.25">
      <c r="K1325" s="26" t="s">
        <v>110</v>
      </c>
      <c r="L1325" s="27" t="s">
        <v>118</v>
      </c>
      <c r="M1325" s="10">
        <v>35.273368606701936</v>
      </c>
    </row>
    <row r="1326" spans="11:13" x14ac:dyDescent="0.25">
      <c r="K1326" s="26" t="s">
        <v>109</v>
      </c>
      <c r="L1326" s="27" t="s">
        <v>119</v>
      </c>
      <c r="M1326" s="10">
        <v>318.70617283950617</v>
      </c>
    </row>
    <row r="1327" spans="11:13" x14ac:dyDescent="0.25">
      <c r="K1327" s="26" t="s">
        <v>110</v>
      </c>
      <c r="L1327" s="27" t="s">
        <v>115</v>
      </c>
      <c r="M1327" s="10">
        <v>11.485275876326551</v>
      </c>
    </row>
    <row r="1328" spans="11:13" x14ac:dyDescent="0.25">
      <c r="K1328" s="26" t="s">
        <v>113</v>
      </c>
      <c r="L1328" s="27" t="s">
        <v>116</v>
      </c>
      <c r="M1328" s="10">
        <v>105.89854918987609</v>
      </c>
    </row>
    <row r="1329" spans="11:13" x14ac:dyDescent="0.25">
      <c r="K1329" s="26" t="s">
        <v>113</v>
      </c>
      <c r="L1329" s="27" t="s">
        <v>117</v>
      </c>
      <c r="M1329" s="10">
        <v>105.89854918987609</v>
      </c>
    </row>
    <row r="1330" spans="11:13" x14ac:dyDescent="0.25">
      <c r="K1330" s="26" t="s">
        <v>113</v>
      </c>
      <c r="L1330" s="27" t="s">
        <v>118</v>
      </c>
      <c r="M1330" s="10">
        <v>105.89854918987609</v>
      </c>
    </row>
    <row r="1331" spans="11:13" x14ac:dyDescent="0.25">
      <c r="K1331" s="26" t="s">
        <v>111</v>
      </c>
      <c r="L1331" s="27" t="s">
        <v>119</v>
      </c>
      <c r="M1331" s="10">
        <v>52.949274594938046</v>
      </c>
    </row>
    <row r="1332" spans="11:13" x14ac:dyDescent="0.25">
      <c r="K1332" s="26" t="s">
        <v>109</v>
      </c>
      <c r="L1332" s="27" t="s">
        <v>115</v>
      </c>
      <c r="M1332" s="10">
        <v>99.206349206349202</v>
      </c>
    </row>
    <row r="1333" spans="11:13" x14ac:dyDescent="0.25">
      <c r="K1333" s="26" t="s">
        <v>109</v>
      </c>
      <c r="L1333" s="27" t="s">
        <v>116</v>
      </c>
      <c r="M1333" s="10">
        <v>22.045855379188712</v>
      </c>
    </row>
    <row r="1334" spans="11:13" x14ac:dyDescent="0.25">
      <c r="K1334" s="26" t="s">
        <v>111</v>
      </c>
      <c r="L1334" s="27" t="s">
        <v>117</v>
      </c>
      <c r="M1334" s="10">
        <v>64.24010381200776</v>
      </c>
    </row>
    <row r="1335" spans="11:13" x14ac:dyDescent="0.25">
      <c r="K1335" s="26" t="s">
        <v>109</v>
      </c>
      <c r="L1335" s="27" t="s">
        <v>118</v>
      </c>
      <c r="M1335" s="10">
        <v>11.022927689594356</v>
      </c>
    </row>
    <row r="1336" spans="11:13" x14ac:dyDescent="0.25">
      <c r="K1336" s="26" t="s">
        <v>109</v>
      </c>
      <c r="L1336" s="27" t="s">
        <v>119</v>
      </c>
      <c r="M1336" s="10">
        <v>55.114638447971785</v>
      </c>
    </row>
    <row r="1337" spans="11:13" x14ac:dyDescent="0.25">
      <c r="K1337" s="26" t="s">
        <v>109</v>
      </c>
      <c r="L1337" s="27" t="s">
        <v>115</v>
      </c>
      <c r="M1337" s="10">
        <v>36.63439786787805</v>
      </c>
    </row>
    <row r="1338" spans="11:13" x14ac:dyDescent="0.25">
      <c r="K1338" s="26" t="s">
        <v>110</v>
      </c>
      <c r="L1338" s="27" t="s">
        <v>116</v>
      </c>
      <c r="M1338" s="10">
        <v>40.515355319666149</v>
      </c>
    </row>
    <row r="1339" spans="11:13" x14ac:dyDescent="0.25">
      <c r="K1339" s="26" t="s">
        <v>111</v>
      </c>
      <c r="L1339" s="27" t="s">
        <v>117</v>
      </c>
      <c r="M1339" s="10">
        <v>70</v>
      </c>
    </row>
    <row r="1340" spans="11:13" x14ac:dyDescent="0.25">
      <c r="K1340" s="26" t="s">
        <v>109</v>
      </c>
      <c r="L1340" s="27" t="s">
        <v>118</v>
      </c>
      <c r="M1340" s="10">
        <v>70</v>
      </c>
    </row>
    <row r="1341" spans="11:13" x14ac:dyDescent="0.25">
      <c r="K1341" s="26" t="s">
        <v>109</v>
      </c>
      <c r="L1341" s="27" t="s">
        <v>119</v>
      </c>
      <c r="M1341" s="10">
        <v>131.93733633481878</v>
      </c>
    </row>
    <row r="1342" spans="11:13" x14ac:dyDescent="0.25">
      <c r="K1342" s="26" t="s">
        <v>109</v>
      </c>
      <c r="L1342" s="27" t="s">
        <v>115</v>
      </c>
      <c r="M1342" s="10">
        <v>256.96041524803104</v>
      </c>
    </row>
    <row r="1343" spans="11:13" x14ac:dyDescent="0.25">
      <c r="K1343" s="26" t="s">
        <v>109</v>
      </c>
      <c r="L1343" s="27" t="s">
        <v>116</v>
      </c>
      <c r="M1343" s="10">
        <v>256.96041524803104</v>
      </c>
    </row>
    <row r="1344" spans="11:13" x14ac:dyDescent="0.25">
      <c r="K1344" s="26" t="s">
        <v>113</v>
      </c>
      <c r="L1344" s="27" t="s">
        <v>117</v>
      </c>
      <c r="M1344" s="10">
        <v>256.96041524803104</v>
      </c>
    </row>
    <row r="1345" spans="11:13" x14ac:dyDescent="0.25">
      <c r="K1345" s="26" t="s">
        <v>113</v>
      </c>
      <c r="L1345" s="27" t="s">
        <v>118</v>
      </c>
      <c r="M1345" s="10">
        <v>256.96041524803104</v>
      </c>
    </row>
    <row r="1346" spans="11:13" x14ac:dyDescent="0.25">
      <c r="K1346" s="26" t="s">
        <v>109</v>
      </c>
      <c r="L1346" s="27" t="s">
        <v>119</v>
      </c>
      <c r="M1346" s="10">
        <v>256.96041524803104</v>
      </c>
    </row>
    <row r="1347" spans="11:13" x14ac:dyDescent="0.25">
      <c r="K1347" s="26" t="s">
        <v>111</v>
      </c>
      <c r="L1347" s="27" t="s">
        <v>115</v>
      </c>
      <c r="M1347" s="10">
        <v>256.96041524803104</v>
      </c>
    </row>
    <row r="1348" spans="11:13" x14ac:dyDescent="0.25">
      <c r="K1348" s="26" t="s">
        <v>109</v>
      </c>
      <c r="L1348" s="27" t="s">
        <v>116</v>
      </c>
      <c r="M1348" s="10">
        <v>256.96041524803104</v>
      </c>
    </row>
    <row r="1349" spans="11:13" x14ac:dyDescent="0.25">
      <c r="K1349" s="26" t="s">
        <v>109</v>
      </c>
      <c r="L1349" s="27" t="s">
        <v>117</v>
      </c>
      <c r="M1349" s="10">
        <v>256.96041524803104</v>
      </c>
    </row>
    <row r="1350" spans="11:13" x14ac:dyDescent="0.25">
      <c r="K1350" s="26" t="s">
        <v>109</v>
      </c>
      <c r="L1350" s="27" t="s">
        <v>118</v>
      </c>
      <c r="M1350" s="10">
        <v>19.27203114360233</v>
      </c>
    </row>
    <row r="1351" spans="11:13" x14ac:dyDescent="0.25">
      <c r="K1351" s="26" t="s">
        <v>110</v>
      </c>
      <c r="L1351" s="27" t="s">
        <v>119</v>
      </c>
      <c r="M1351" s="10">
        <v>84.719654959950716</v>
      </c>
    </row>
    <row r="1352" spans="11:13" x14ac:dyDescent="0.25">
      <c r="K1352" s="26" t="s">
        <v>113</v>
      </c>
      <c r="L1352" s="27" t="s">
        <v>115</v>
      </c>
      <c r="M1352" s="10">
        <v>55.114638447971785</v>
      </c>
    </row>
    <row r="1353" spans="11:13" x14ac:dyDescent="0.25">
      <c r="K1353" s="26" t="s">
        <v>109</v>
      </c>
      <c r="L1353" s="27" t="s">
        <v>116</v>
      </c>
      <c r="M1353" s="10">
        <v>2.204585537918871</v>
      </c>
    </row>
    <row r="1354" spans="11:13" x14ac:dyDescent="0.25">
      <c r="K1354" s="26" t="s">
        <v>109</v>
      </c>
      <c r="L1354" s="27" t="s">
        <v>117</v>
      </c>
      <c r="M1354" s="10">
        <v>12.154606595899846</v>
      </c>
    </row>
    <row r="1355" spans="11:13" x14ac:dyDescent="0.25">
      <c r="K1355" s="26" t="s">
        <v>113</v>
      </c>
      <c r="L1355" s="27" t="s">
        <v>118</v>
      </c>
      <c r="M1355" s="10">
        <v>308.07147258163894</v>
      </c>
    </row>
    <row r="1356" spans="11:13" x14ac:dyDescent="0.25">
      <c r="K1356" s="26" t="s">
        <v>109</v>
      </c>
      <c r="L1356" s="27" t="s">
        <v>119</v>
      </c>
      <c r="M1356" s="10">
        <v>154.03573629081947</v>
      </c>
    </row>
    <row r="1357" spans="11:13" x14ac:dyDescent="0.25">
      <c r="K1357" s="26" t="s">
        <v>111</v>
      </c>
      <c r="L1357" s="27" t="s">
        <v>115</v>
      </c>
      <c r="M1357" s="10">
        <v>30.807147258163894</v>
      </c>
    </row>
    <row r="1358" spans="11:13" x14ac:dyDescent="0.25">
      <c r="K1358" s="26" t="s">
        <v>109</v>
      </c>
      <c r="L1358" s="27" t="s">
        <v>116</v>
      </c>
      <c r="M1358" s="10">
        <v>33.887861983980287</v>
      </c>
    </row>
    <row r="1359" spans="11:13" x14ac:dyDescent="0.25">
      <c r="K1359" s="26" t="s">
        <v>111</v>
      </c>
      <c r="L1359" s="27" t="s">
        <v>117</v>
      </c>
      <c r="M1359" s="10">
        <v>24.250440917107586</v>
      </c>
    </row>
    <row r="1360" spans="11:13" x14ac:dyDescent="0.25">
      <c r="K1360" s="26" t="s">
        <v>109</v>
      </c>
      <c r="L1360" s="27" t="s">
        <v>118</v>
      </c>
      <c r="M1360" s="10">
        <v>3.0910007601637561</v>
      </c>
    </row>
    <row r="1361" spans="11:13" x14ac:dyDescent="0.25">
      <c r="K1361" s="26" t="s">
        <v>110</v>
      </c>
      <c r="L1361" s="27" t="s">
        <v>119</v>
      </c>
      <c r="M1361" s="10">
        <v>70</v>
      </c>
    </row>
    <row r="1362" spans="11:13" x14ac:dyDescent="0.25">
      <c r="K1362" s="26" t="s">
        <v>109</v>
      </c>
      <c r="L1362" s="27" t="s">
        <v>115</v>
      </c>
      <c r="M1362" s="10">
        <v>17.235436056532226</v>
      </c>
    </row>
    <row r="1363" spans="11:13" x14ac:dyDescent="0.25">
      <c r="K1363" s="26" t="s">
        <v>113</v>
      </c>
      <c r="L1363" s="27" t="s">
        <v>116</v>
      </c>
      <c r="M1363" s="10">
        <v>259.04828339596071</v>
      </c>
    </row>
    <row r="1364" spans="11:13" x14ac:dyDescent="0.25">
      <c r="K1364" s="26" t="s">
        <v>111</v>
      </c>
      <c r="L1364" s="27" t="s">
        <v>117</v>
      </c>
      <c r="M1364" s="10">
        <v>68.911655257959296</v>
      </c>
    </row>
    <row r="1365" spans="11:13" x14ac:dyDescent="0.25">
      <c r="K1365" s="26" t="s">
        <v>109</v>
      </c>
      <c r="L1365" s="27" t="s">
        <v>118</v>
      </c>
      <c r="M1365" s="10">
        <v>992.06349206349205</v>
      </c>
    </row>
    <row r="1366" spans="11:13" x14ac:dyDescent="0.25">
      <c r="K1366" s="26" t="s">
        <v>110</v>
      </c>
      <c r="L1366" s="27" t="s">
        <v>119</v>
      </c>
      <c r="M1366" s="10">
        <v>123.22858903265558</v>
      </c>
    </row>
    <row r="1367" spans="11:13" x14ac:dyDescent="0.25">
      <c r="K1367" s="26" t="s">
        <v>109</v>
      </c>
      <c r="L1367" s="27" t="s">
        <v>115</v>
      </c>
      <c r="M1367" s="10">
        <v>132.27513227513228</v>
      </c>
    </row>
    <row r="1368" spans="11:13" x14ac:dyDescent="0.25">
      <c r="K1368" s="26" t="s">
        <v>109</v>
      </c>
      <c r="L1368" s="27" t="s">
        <v>116</v>
      </c>
      <c r="M1368" s="10">
        <v>132.27513227513228</v>
      </c>
    </row>
    <row r="1369" spans="11:13" x14ac:dyDescent="0.25">
      <c r="K1369" s="26" t="s">
        <v>109</v>
      </c>
      <c r="L1369" s="27" t="s">
        <v>117</v>
      </c>
      <c r="M1369" s="10">
        <v>329.04045223319753</v>
      </c>
    </row>
    <row r="1370" spans="11:13" x14ac:dyDescent="0.25">
      <c r="K1370" s="26" t="s">
        <v>113</v>
      </c>
      <c r="L1370" s="27" t="s">
        <v>118</v>
      </c>
      <c r="M1370" s="10">
        <v>164.52022611659876</v>
      </c>
    </row>
    <row r="1371" spans="11:13" x14ac:dyDescent="0.25">
      <c r="K1371" s="26" t="s">
        <v>111</v>
      </c>
      <c r="L1371" s="27" t="s">
        <v>119</v>
      </c>
      <c r="M1371" s="10">
        <v>20</v>
      </c>
    </row>
    <row r="1372" spans="11:13" x14ac:dyDescent="0.25">
      <c r="K1372" s="26" t="s">
        <v>111</v>
      </c>
      <c r="L1372" s="27" t="s">
        <v>115</v>
      </c>
      <c r="M1372" s="10">
        <v>20</v>
      </c>
    </row>
    <row r="1373" spans="11:13" x14ac:dyDescent="0.25">
      <c r="K1373" s="26" t="s">
        <v>112</v>
      </c>
      <c r="L1373" s="27" t="s">
        <v>116</v>
      </c>
      <c r="M1373" s="10">
        <v>211.79709837975219</v>
      </c>
    </row>
    <row r="1374" spans="11:13" x14ac:dyDescent="0.25">
      <c r="K1374" s="26" t="s">
        <v>112</v>
      </c>
      <c r="L1374" s="27" t="s">
        <v>117</v>
      </c>
      <c r="M1374" s="10">
        <v>172.35436056532231</v>
      </c>
    </row>
    <row r="1375" spans="11:13" x14ac:dyDescent="0.25">
      <c r="K1375" s="26" t="s">
        <v>112</v>
      </c>
      <c r="L1375" s="27" t="s">
        <v>118</v>
      </c>
      <c r="M1375" s="10">
        <v>88.183421516754848</v>
      </c>
    </row>
    <row r="1376" spans="11:13" x14ac:dyDescent="0.25">
      <c r="K1376" s="26" t="s">
        <v>112</v>
      </c>
      <c r="L1376" s="27" t="s">
        <v>119</v>
      </c>
      <c r="M1376" s="10">
        <v>158.84782378481412</v>
      </c>
    </row>
    <row r="1377" spans="11:13" x14ac:dyDescent="0.25">
      <c r="K1377" s="26" t="s">
        <v>112</v>
      </c>
      <c r="L1377" s="27" t="s">
        <v>115</v>
      </c>
      <c r="M1377" s="10">
        <v>293.80257936507934</v>
      </c>
    </row>
    <row r="1378" spans="11:13" x14ac:dyDescent="0.25">
      <c r="K1378" s="26" t="s">
        <v>112</v>
      </c>
      <c r="L1378" s="27" t="s">
        <v>116</v>
      </c>
      <c r="M1378" s="10">
        <v>158.84782378481412</v>
      </c>
    </row>
    <row r="1379" spans="11:13" x14ac:dyDescent="0.25">
      <c r="K1379" s="26" t="s">
        <v>112</v>
      </c>
      <c r="L1379" s="27" t="s">
        <v>117</v>
      </c>
      <c r="M1379" s="10">
        <v>105.89854918987609</v>
      </c>
    </row>
    <row r="1380" spans="11:13" x14ac:dyDescent="0.25">
      <c r="K1380" s="26" t="s">
        <v>112</v>
      </c>
      <c r="L1380" s="27" t="s">
        <v>118</v>
      </c>
      <c r="M1380" s="10">
        <v>176.3668430335097</v>
      </c>
    </row>
    <row r="1381" spans="11:13" x14ac:dyDescent="0.25">
      <c r="K1381" s="26" t="s">
        <v>112</v>
      </c>
      <c r="L1381" s="27" t="s">
        <v>119</v>
      </c>
      <c r="M1381" s="10">
        <v>6.6137566137566139</v>
      </c>
    </row>
    <row r="1382" spans="11:13" x14ac:dyDescent="0.25">
      <c r="K1382" s="26" t="s">
        <v>112</v>
      </c>
      <c r="L1382" s="27" t="s">
        <v>115</v>
      </c>
      <c r="M1382" s="10">
        <v>110.22927689594357</v>
      </c>
    </row>
    <row r="1383" spans="11:13" x14ac:dyDescent="0.25">
      <c r="K1383" s="26" t="s">
        <v>112</v>
      </c>
      <c r="L1383" s="27" t="s">
        <v>116</v>
      </c>
      <c r="M1383" s="10">
        <v>107.93678474831697</v>
      </c>
    </row>
    <row r="1384" spans="11:13" x14ac:dyDescent="0.25">
      <c r="K1384" s="26" t="s">
        <v>112</v>
      </c>
      <c r="L1384" s="27" t="s">
        <v>117</v>
      </c>
      <c r="M1384" s="10">
        <v>486.18426383599382</v>
      </c>
    </row>
    <row r="1385" spans="11:13" x14ac:dyDescent="0.25">
      <c r="K1385" s="26" t="s">
        <v>112</v>
      </c>
      <c r="L1385" s="27" t="s">
        <v>118</v>
      </c>
      <c r="M1385" s="10">
        <v>137.37899200454268</v>
      </c>
    </row>
    <row r="1386" spans="11:13" x14ac:dyDescent="0.25">
      <c r="K1386" s="26" t="s">
        <v>112</v>
      </c>
      <c r="L1386" s="27" t="s">
        <v>119</v>
      </c>
      <c r="M1386" s="10">
        <v>32.412284255732921</v>
      </c>
    </row>
    <row r="1387" spans="11:13" x14ac:dyDescent="0.25">
      <c r="K1387" s="26" t="s">
        <v>112</v>
      </c>
      <c r="L1387" s="27" t="s">
        <v>115</v>
      </c>
      <c r="M1387" s="10">
        <v>91.585994669695125</v>
      </c>
    </row>
    <row r="1388" spans="11:13" x14ac:dyDescent="0.25">
      <c r="K1388" s="26" t="s">
        <v>111</v>
      </c>
      <c r="L1388" s="27" t="s">
        <v>116</v>
      </c>
      <c r="M1388" s="10">
        <v>64.24010381200776</v>
      </c>
    </row>
    <row r="1389" spans="11:13" x14ac:dyDescent="0.25">
      <c r="K1389" s="26" t="s">
        <v>111</v>
      </c>
      <c r="L1389" s="27" t="s">
        <v>117</v>
      </c>
      <c r="M1389" s="10">
        <v>20</v>
      </c>
    </row>
    <row r="1390" spans="11:13" x14ac:dyDescent="0.25">
      <c r="K1390" s="26" t="s">
        <v>109</v>
      </c>
      <c r="L1390" s="27" t="s">
        <v>118</v>
      </c>
      <c r="M1390" s="10">
        <v>50</v>
      </c>
    </row>
    <row r="1391" spans="11:13" x14ac:dyDescent="0.25">
      <c r="K1391" s="26" t="s">
        <v>109</v>
      </c>
      <c r="L1391" s="27" t="s">
        <v>119</v>
      </c>
      <c r="M1391" s="10">
        <v>50</v>
      </c>
    </row>
    <row r="1392" spans="11:13" x14ac:dyDescent="0.25">
      <c r="K1392" s="26" t="s">
        <v>113</v>
      </c>
      <c r="L1392" s="27" t="s">
        <v>115</v>
      </c>
      <c r="M1392" s="10">
        <v>64.110196268786581</v>
      </c>
    </row>
    <row r="1393" spans="11:13" x14ac:dyDescent="0.25">
      <c r="K1393" s="26" t="s">
        <v>109</v>
      </c>
      <c r="L1393" s="27" t="s">
        <v>116</v>
      </c>
      <c r="M1393" s="10">
        <v>183.17198933939025</v>
      </c>
    </row>
    <row r="1394" spans="11:13" x14ac:dyDescent="0.25">
      <c r="K1394" s="26" t="s">
        <v>109</v>
      </c>
      <c r="L1394" s="27" t="s">
        <v>117</v>
      </c>
      <c r="M1394" s="10">
        <v>10</v>
      </c>
    </row>
    <row r="1395" spans="11:13" x14ac:dyDescent="0.25">
      <c r="K1395" s="26" t="s">
        <v>109</v>
      </c>
      <c r="L1395" s="27" t="s">
        <v>118</v>
      </c>
      <c r="M1395" s="10">
        <v>26.455026455026456</v>
      </c>
    </row>
    <row r="1396" spans="11:13" x14ac:dyDescent="0.25">
      <c r="K1396" s="26" t="s">
        <v>110</v>
      </c>
      <c r="L1396" s="27" t="s">
        <v>119</v>
      </c>
      <c r="M1396" s="10">
        <v>47.5</v>
      </c>
    </row>
    <row r="1397" spans="11:13" x14ac:dyDescent="0.25">
      <c r="K1397" s="26" t="s">
        <v>111</v>
      </c>
      <c r="L1397" s="27" t="s">
        <v>115</v>
      </c>
      <c r="M1397" s="10">
        <v>47.5</v>
      </c>
    </row>
    <row r="1398" spans="11:13" x14ac:dyDescent="0.25">
      <c r="K1398" s="26" t="s">
        <v>112</v>
      </c>
      <c r="L1398" s="27" t="s">
        <v>116</v>
      </c>
      <c r="M1398" s="10">
        <v>50</v>
      </c>
    </row>
    <row r="1399" spans="11:13" x14ac:dyDescent="0.25">
      <c r="K1399" s="26" t="s">
        <v>112</v>
      </c>
      <c r="L1399" s="27" t="s">
        <v>117</v>
      </c>
      <c r="M1399" s="10">
        <v>27.475798400908538</v>
      </c>
    </row>
    <row r="1400" spans="11:13" x14ac:dyDescent="0.25">
      <c r="K1400" s="26" t="s">
        <v>112</v>
      </c>
      <c r="L1400" s="27" t="s">
        <v>118</v>
      </c>
      <c r="M1400" s="10">
        <v>22.045855379188712</v>
      </c>
    </row>
    <row r="1401" spans="11:13" x14ac:dyDescent="0.25">
      <c r="K1401" s="26" t="s">
        <v>112</v>
      </c>
      <c r="L1401" s="27" t="s">
        <v>119</v>
      </c>
      <c r="M1401" s="10">
        <v>1.1324245499980727</v>
      </c>
    </row>
    <row r="1402" spans="11:13" x14ac:dyDescent="0.25">
      <c r="K1402" s="26" t="s">
        <v>112</v>
      </c>
      <c r="L1402" s="27" t="s">
        <v>115</v>
      </c>
      <c r="M1402" s="10">
        <v>29.330291673456088</v>
      </c>
    </row>
    <row r="1403" spans="11:13" x14ac:dyDescent="0.25">
      <c r="K1403" s="26" t="s">
        <v>112</v>
      </c>
      <c r="L1403" s="27" t="s">
        <v>116</v>
      </c>
      <c r="M1403" s="10">
        <v>66.964285714285708</v>
      </c>
    </row>
    <row r="1404" spans="11:13" x14ac:dyDescent="0.25">
      <c r="K1404" s="26" t="s">
        <v>112</v>
      </c>
      <c r="L1404" s="27" t="s">
        <v>117</v>
      </c>
      <c r="M1404" s="10">
        <v>240.18077601410934</v>
      </c>
    </row>
    <row r="1405" spans="11:13" x14ac:dyDescent="0.25">
      <c r="K1405" s="26" t="s">
        <v>112</v>
      </c>
      <c r="L1405" s="27" t="s">
        <v>118</v>
      </c>
      <c r="M1405" s="10">
        <v>52.910052910052912</v>
      </c>
    </row>
    <row r="1406" spans="11:13" x14ac:dyDescent="0.25">
      <c r="K1406" s="26" t="s">
        <v>112</v>
      </c>
      <c r="L1406" s="27" t="s">
        <v>119</v>
      </c>
      <c r="M1406" s="10">
        <v>50</v>
      </c>
    </row>
    <row r="1407" spans="11:13" x14ac:dyDescent="0.25">
      <c r="K1407" s="26" t="s">
        <v>112</v>
      </c>
      <c r="L1407" s="27" t="s">
        <v>115</v>
      </c>
      <c r="M1407" s="10">
        <v>770.17868145409739</v>
      </c>
    </row>
    <row r="1408" spans="11:13" x14ac:dyDescent="0.25">
      <c r="K1408" s="26" t="s">
        <v>112</v>
      </c>
      <c r="L1408" s="27" t="s">
        <v>116</v>
      </c>
      <c r="M1408" s="10">
        <v>61.614294516327789</v>
      </c>
    </row>
    <row r="1409" spans="11:13" x14ac:dyDescent="0.25">
      <c r="K1409" s="26" t="s">
        <v>112</v>
      </c>
      <c r="L1409" s="27" t="s">
        <v>117</v>
      </c>
      <c r="M1409" s="10">
        <v>123.22858903265558</v>
      </c>
    </row>
    <row r="1410" spans="11:13" x14ac:dyDescent="0.25">
      <c r="K1410" s="26" t="s">
        <v>112</v>
      </c>
      <c r="L1410" s="27" t="s">
        <v>118</v>
      </c>
      <c r="M1410" s="10">
        <v>195.868430335097</v>
      </c>
    </row>
    <row r="1411" spans="11:13" x14ac:dyDescent="0.25">
      <c r="K1411" s="26" t="s">
        <v>112</v>
      </c>
      <c r="L1411" s="27" t="s">
        <v>119</v>
      </c>
      <c r="M1411" s="10">
        <v>30.742487119859188</v>
      </c>
    </row>
    <row r="1412" spans="11:13" x14ac:dyDescent="0.25">
      <c r="K1412" s="26" t="s">
        <v>112</v>
      </c>
      <c r="L1412" s="27" t="s">
        <v>115</v>
      </c>
      <c r="M1412" s="10">
        <v>183.17198933939025</v>
      </c>
    </row>
    <row r="1413" spans="11:13" x14ac:dyDescent="0.25">
      <c r="K1413" s="26" t="s">
        <v>112</v>
      </c>
      <c r="L1413" s="27" t="s">
        <v>116</v>
      </c>
      <c r="M1413" s="10">
        <v>0</v>
      </c>
    </row>
    <row r="1414" spans="11:13" x14ac:dyDescent="0.25">
      <c r="K1414" s="26" t="s">
        <v>112</v>
      </c>
      <c r="L1414" s="27" t="s">
        <v>117</v>
      </c>
      <c r="M1414" s="10">
        <v>21.565003080714728</v>
      </c>
    </row>
    <row r="1415" spans="11:13" x14ac:dyDescent="0.25">
      <c r="K1415" s="26" t="s">
        <v>112</v>
      </c>
      <c r="L1415" s="27" t="s">
        <v>118</v>
      </c>
      <c r="M1415" s="10">
        <v>39.766183854643089</v>
      </c>
    </row>
    <row r="1416" spans="11:13" x14ac:dyDescent="0.25">
      <c r="K1416" s="26" t="s">
        <v>112</v>
      </c>
      <c r="L1416" s="27" t="s">
        <v>119</v>
      </c>
      <c r="M1416" s="10">
        <v>330.68783068783068</v>
      </c>
    </row>
    <row r="1417" spans="11:13" x14ac:dyDescent="0.25">
      <c r="K1417" s="26" t="s">
        <v>112</v>
      </c>
      <c r="L1417" s="27" t="s">
        <v>115</v>
      </c>
      <c r="M1417" s="10">
        <v>30.195</v>
      </c>
    </row>
    <row r="1418" spans="11:13" x14ac:dyDescent="0.25">
      <c r="K1418" s="26" t="s">
        <v>112</v>
      </c>
      <c r="L1418" s="27" t="s">
        <v>116</v>
      </c>
      <c r="M1418" s="10">
        <v>148.25796886582651</v>
      </c>
    </row>
    <row r="1419" spans="11:13" x14ac:dyDescent="0.25">
      <c r="K1419" s="26" t="s">
        <v>111</v>
      </c>
      <c r="L1419" s="27" t="s">
        <v>117</v>
      </c>
      <c r="M1419" s="10">
        <v>195.91231600127077</v>
      </c>
    </row>
    <row r="1420" spans="11:13" x14ac:dyDescent="0.25">
      <c r="K1420" s="26" t="s">
        <v>109</v>
      </c>
      <c r="L1420" s="27" t="s">
        <v>118</v>
      </c>
      <c r="M1420" s="10">
        <v>4.2</v>
      </c>
    </row>
    <row r="1421" spans="11:13" x14ac:dyDescent="0.25">
      <c r="K1421" s="26" t="s">
        <v>112</v>
      </c>
      <c r="L1421" s="27" t="s">
        <v>119</v>
      </c>
      <c r="M1421" s="10">
        <v>445.83289208937839</v>
      </c>
    </row>
    <row r="1422" spans="11:13" x14ac:dyDescent="0.25">
      <c r="K1422" s="26" t="s">
        <v>109</v>
      </c>
      <c r="L1422" s="27" t="s">
        <v>115</v>
      </c>
      <c r="M1422" s="10">
        <v>52.949274594938046</v>
      </c>
    </row>
    <row r="1423" spans="11:13" x14ac:dyDescent="0.25">
      <c r="K1423" s="26" t="s">
        <v>110</v>
      </c>
      <c r="L1423" s="27" t="s">
        <v>116</v>
      </c>
      <c r="M1423" s="10">
        <v>4</v>
      </c>
    </row>
    <row r="1424" spans="11:13" x14ac:dyDescent="0.25">
      <c r="K1424" s="26" t="s">
        <v>111</v>
      </c>
      <c r="L1424" s="27" t="s">
        <v>117</v>
      </c>
      <c r="M1424" s="10">
        <v>154.03573629081947</v>
      </c>
    </row>
    <row r="1425" spans="11:13" x14ac:dyDescent="0.25">
      <c r="K1425" s="26" t="s">
        <v>112</v>
      </c>
      <c r="L1425" s="27" t="s">
        <v>118</v>
      </c>
      <c r="M1425" s="10">
        <v>20</v>
      </c>
    </row>
    <row r="1426" spans="11:13" x14ac:dyDescent="0.25">
      <c r="K1426" s="26" t="s">
        <v>112</v>
      </c>
      <c r="L1426" s="27" t="s">
        <v>119</v>
      </c>
      <c r="M1426" s="10">
        <v>154.03573629081947</v>
      </c>
    </row>
    <row r="1427" spans="11:13" x14ac:dyDescent="0.25">
      <c r="K1427" s="26" t="s">
        <v>112</v>
      </c>
      <c r="L1427" s="27" t="s">
        <v>115</v>
      </c>
      <c r="M1427" s="10">
        <v>110.22927689594357</v>
      </c>
    </row>
    <row r="1428" spans="11:13" x14ac:dyDescent="0.25">
      <c r="K1428" s="26" t="s">
        <v>112</v>
      </c>
      <c r="L1428" s="27" t="s">
        <v>116</v>
      </c>
      <c r="M1428" s="10">
        <v>66.137566137566139</v>
      </c>
    </row>
    <row r="1429" spans="11:13" x14ac:dyDescent="0.25">
      <c r="K1429" s="26" t="s">
        <v>112</v>
      </c>
      <c r="L1429" s="27" t="s">
        <v>117</v>
      </c>
      <c r="M1429" s="10">
        <v>3.6690705777489669</v>
      </c>
    </row>
    <row r="1430" spans="11:13" x14ac:dyDescent="0.25">
      <c r="K1430" s="26" t="s">
        <v>112</v>
      </c>
      <c r="L1430" s="27" t="s">
        <v>118</v>
      </c>
      <c r="M1430" s="10">
        <v>105.89854918987609</v>
      </c>
    </row>
    <row r="1431" spans="11:13" x14ac:dyDescent="0.25">
      <c r="K1431" s="26" t="s">
        <v>112</v>
      </c>
      <c r="L1431" s="27" t="s">
        <v>119</v>
      </c>
      <c r="M1431" s="10">
        <v>52.949274594938046</v>
      </c>
    </row>
    <row r="1432" spans="11:13" x14ac:dyDescent="0.25">
      <c r="K1432" s="26" t="s">
        <v>112</v>
      </c>
      <c r="L1432" s="27" t="s">
        <v>115</v>
      </c>
      <c r="M1432" s="10">
        <v>7.5076124523017231</v>
      </c>
    </row>
    <row r="1433" spans="11:13" x14ac:dyDescent="0.25">
      <c r="K1433" s="26" t="s">
        <v>112</v>
      </c>
      <c r="L1433" s="27" t="s">
        <v>116</v>
      </c>
      <c r="M1433" s="10">
        <v>1540.3573629081948</v>
      </c>
    </row>
    <row r="1434" spans="11:13" x14ac:dyDescent="0.25">
      <c r="K1434" s="26" t="s">
        <v>112</v>
      </c>
      <c r="L1434" s="27" t="s">
        <v>117</v>
      </c>
      <c r="M1434" s="10">
        <v>79.365079365079367</v>
      </c>
    </row>
    <row r="1435" spans="11:13" x14ac:dyDescent="0.25">
      <c r="K1435" s="26" t="s">
        <v>112</v>
      </c>
      <c r="L1435" s="27" t="s">
        <v>118</v>
      </c>
      <c r="M1435" s="10">
        <v>356.87811076988243</v>
      </c>
    </row>
    <row r="1436" spans="11:13" x14ac:dyDescent="0.25">
      <c r="K1436" s="26" t="s">
        <v>112</v>
      </c>
      <c r="L1436" s="27" t="s">
        <v>119</v>
      </c>
      <c r="M1436" s="10">
        <v>12.786596119929454</v>
      </c>
    </row>
    <row r="1437" spans="11:13" x14ac:dyDescent="0.25">
      <c r="K1437" s="26" t="s">
        <v>112</v>
      </c>
      <c r="L1437" s="27" t="s">
        <v>115</v>
      </c>
      <c r="M1437" s="10">
        <v>100</v>
      </c>
    </row>
    <row r="1438" spans="11:13" x14ac:dyDescent="0.25">
      <c r="K1438" s="26" t="s">
        <v>112</v>
      </c>
      <c r="L1438" s="27" t="s">
        <v>116</v>
      </c>
      <c r="M1438" s="10">
        <v>154.03573629081947</v>
      </c>
    </row>
    <row r="1439" spans="11:13" x14ac:dyDescent="0.25">
      <c r="K1439" s="26" t="s">
        <v>112</v>
      </c>
      <c r="L1439" s="27" t="s">
        <v>117</v>
      </c>
      <c r="M1439" s="10">
        <v>97.927689594356252</v>
      </c>
    </row>
    <row r="1440" spans="11:13" x14ac:dyDescent="0.25">
      <c r="K1440" s="26" t="s">
        <v>112</v>
      </c>
      <c r="L1440" s="27" t="s">
        <v>118</v>
      </c>
      <c r="M1440" s="10">
        <v>136.81573813732405</v>
      </c>
    </row>
    <row r="1441" spans="11:13" x14ac:dyDescent="0.25">
      <c r="K1441" s="26" t="s">
        <v>112</v>
      </c>
      <c r="L1441" s="27" t="s">
        <v>119</v>
      </c>
      <c r="M1441" s="10">
        <v>100</v>
      </c>
    </row>
    <row r="1442" spans="11:13" x14ac:dyDescent="0.25">
      <c r="K1442" s="26" t="s">
        <v>112</v>
      </c>
      <c r="L1442" s="27" t="s">
        <v>115</v>
      </c>
      <c r="M1442" s="10">
        <v>293.33898125595681</v>
      </c>
    </row>
    <row r="1443" spans="11:13" x14ac:dyDescent="0.25">
      <c r="K1443" s="26" t="s">
        <v>112</v>
      </c>
      <c r="L1443" s="27" t="s">
        <v>116</v>
      </c>
      <c r="M1443" s="10">
        <v>107.82501540357363</v>
      </c>
    </row>
    <row r="1444" spans="11:13" x14ac:dyDescent="0.25">
      <c r="K1444" s="26" t="s">
        <v>112</v>
      </c>
      <c r="L1444" s="27" t="s">
        <v>117</v>
      </c>
      <c r="M1444" s="10">
        <v>650</v>
      </c>
    </row>
    <row r="1445" spans="11:13" x14ac:dyDescent="0.25">
      <c r="K1445" s="26" t="s">
        <v>112</v>
      </c>
      <c r="L1445" s="27" t="s">
        <v>118</v>
      </c>
      <c r="M1445" s="10">
        <v>44.091710758377424</v>
      </c>
    </row>
    <row r="1446" spans="11:13" x14ac:dyDescent="0.25">
      <c r="K1446" s="26" t="s">
        <v>112</v>
      </c>
      <c r="L1446" s="27" t="s">
        <v>119</v>
      </c>
      <c r="M1446" s="10">
        <v>82.427395202725606</v>
      </c>
    </row>
    <row r="1447" spans="11:13" x14ac:dyDescent="0.25">
      <c r="K1447" s="26" t="s">
        <v>111</v>
      </c>
      <c r="L1447" s="27" t="s">
        <v>115</v>
      </c>
      <c r="M1447" s="10">
        <v>20.682523267838675</v>
      </c>
    </row>
    <row r="1448" spans="11:13" x14ac:dyDescent="0.25">
      <c r="K1448" s="26" t="s">
        <v>113</v>
      </c>
      <c r="L1448" s="27" t="s">
        <v>116</v>
      </c>
      <c r="M1448" s="10">
        <v>86.177180282661155</v>
      </c>
    </row>
    <row r="1449" spans="11:13" x14ac:dyDescent="0.25">
      <c r="K1449" s="26" t="s">
        <v>113</v>
      </c>
      <c r="L1449" s="27" t="s">
        <v>117</v>
      </c>
      <c r="M1449" s="10">
        <v>68.941744226128904</v>
      </c>
    </row>
    <row r="1450" spans="11:13" x14ac:dyDescent="0.25">
      <c r="K1450" s="26" t="s">
        <v>112</v>
      </c>
      <c r="L1450" s="27" t="s">
        <v>118</v>
      </c>
      <c r="M1450" s="10">
        <v>31.023784901758013</v>
      </c>
    </row>
    <row r="1451" spans="11:13" x14ac:dyDescent="0.25">
      <c r="K1451" s="26" t="s">
        <v>112</v>
      </c>
      <c r="L1451" s="27" t="s">
        <v>119</v>
      </c>
      <c r="M1451" s="10">
        <v>41.365046535677351</v>
      </c>
    </row>
    <row r="1452" spans="11:13" x14ac:dyDescent="0.25">
      <c r="K1452" s="26" t="s">
        <v>112</v>
      </c>
      <c r="L1452" s="27" t="s">
        <v>115</v>
      </c>
      <c r="M1452" s="10">
        <v>340.85300446836936</v>
      </c>
    </row>
    <row r="1453" spans="11:13" x14ac:dyDescent="0.25">
      <c r="K1453" s="26" t="s">
        <v>112</v>
      </c>
      <c r="L1453" s="27" t="s">
        <v>116</v>
      </c>
      <c r="M1453" s="10">
        <v>211.79709837975219</v>
      </c>
    </row>
    <row r="1454" spans="11:13" x14ac:dyDescent="0.25">
      <c r="K1454" s="26" t="s">
        <v>112</v>
      </c>
      <c r="L1454" s="27" t="s">
        <v>117</v>
      </c>
      <c r="M1454" s="10">
        <v>3.8779731127197516</v>
      </c>
    </row>
    <row r="1455" spans="11:13" x14ac:dyDescent="0.25">
      <c r="K1455" s="26" t="s">
        <v>112</v>
      </c>
      <c r="L1455" s="27" t="s">
        <v>118</v>
      </c>
      <c r="M1455" s="10">
        <v>4.5</v>
      </c>
    </row>
    <row r="1456" spans="11:13" x14ac:dyDescent="0.25">
      <c r="K1456" s="26" t="s">
        <v>112</v>
      </c>
      <c r="L1456" s="27" t="s">
        <v>119</v>
      </c>
      <c r="M1456" s="10">
        <v>200</v>
      </c>
    </row>
    <row r="1457" spans="11:13" x14ac:dyDescent="0.25">
      <c r="K1457" s="26" t="s">
        <v>112</v>
      </c>
      <c r="L1457" s="27" t="s">
        <v>115</v>
      </c>
      <c r="M1457" s="10">
        <v>49.095348120764015</v>
      </c>
    </row>
    <row r="1458" spans="11:13" x14ac:dyDescent="0.25">
      <c r="K1458" s="26" t="s">
        <v>112</v>
      </c>
      <c r="L1458" s="27" t="s">
        <v>116</v>
      </c>
      <c r="M1458" s="10">
        <v>57</v>
      </c>
    </row>
    <row r="1459" spans="11:13" x14ac:dyDescent="0.25">
      <c r="K1459" s="26" t="s">
        <v>112</v>
      </c>
      <c r="L1459" s="27" t="s">
        <v>117</v>
      </c>
      <c r="M1459" s="10">
        <v>10.782501540357364</v>
      </c>
    </row>
    <row r="1460" spans="11:13" x14ac:dyDescent="0.25">
      <c r="K1460" s="26" t="s">
        <v>112</v>
      </c>
      <c r="L1460" s="27" t="s">
        <v>118</v>
      </c>
      <c r="M1460" s="10">
        <v>59.303187546330612</v>
      </c>
    </row>
    <row r="1461" spans="11:13" x14ac:dyDescent="0.25">
      <c r="K1461" s="26" t="s">
        <v>112</v>
      </c>
      <c r="L1461" s="27" t="s">
        <v>119</v>
      </c>
      <c r="M1461" s="10">
        <v>67</v>
      </c>
    </row>
    <row r="1462" spans="11:13" x14ac:dyDescent="0.25">
      <c r="K1462" s="26" t="s">
        <v>112</v>
      </c>
      <c r="L1462" s="27" t="s">
        <v>115</v>
      </c>
      <c r="M1462" s="10">
        <v>29.30024129610479</v>
      </c>
    </row>
    <row r="1463" spans="11:13" x14ac:dyDescent="0.25">
      <c r="K1463" s="26" t="s">
        <v>112</v>
      </c>
      <c r="L1463" s="27" t="s">
        <v>116</v>
      </c>
      <c r="M1463" s="10">
        <v>78.593588417786961</v>
      </c>
    </row>
    <row r="1464" spans="11:13" x14ac:dyDescent="0.25">
      <c r="K1464" s="26" t="s">
        <v>112</v>
      </c>
      <c r="L1464" s="27" t="s">
        <v>117</v>
      </c>
      <c r="M1464" s="10">
        <v>44.091710758377424</v>
      </c>
    </row>
    <row r="1465" spans="11:13" x14ac:dyDescent="0.25">
      <c r="K1465" s="26" t="s">
        <v>112</v>
      </c>
      <c r="L1465" s="27" t="s">
        <v>118</v>
      </c>
      <c r="M1465" s="10">
        <v>22.045855379188712</v>
      </c>
    </row>
    <row r="1466" spans="11:13" x14ac:dyDescent="0.25">
      <c r="K1466" s="26" t="s">
        <v>112</v>
      </c>
      <c r="L1466" s="27" t="s">
        <v>119</v>
      </c>
      <c r="M1466" s="10">
        <v>900</v>
      </c>
    </row>
    <row r="1467" spans="11:13" x14ac:dyDescent="0.25">
      <c r="K1467" s="26" t="s">
        <v>112</v>
      </c>
      <c r="L1467" s="27" t="s">
        <v>115</v>
      </c>
      <c r="M1467" s="10">
        <v>17.235436056532226</v>
      </c>
    </row>
    <row r="1468" spans="11:13" x14ac:dyDescent="0.25">
      <c r="K1468" s="26" t="s">
        <v>112</v>
      </c>
      <c r="L1468" s="27" t="s">
        <v>116</v>
      </c>
      <c r="M1468" s="10">
        <v>17.235436056532226</v>
      </c>
    </row>
    <row r="1469" spans="11:13" x14ac:dyDescent="0.25">
      <c r="K1469" s="26" t="s">
        <v>112</v>
      </c>
      <c r="L1469" s="27" t="s">
        <v>117</v>
      </c>
      <c r="M1469" s="10">
        <v>97.934215167548501</v>
      </c>
    </row>
    <row r="1470" spans="11:13" x14ac:dyDescent="0.25">
      <c r="K1470" s="26" t="s">
        <v>112</v>
      </c>
      <c r="L1470" s="27" t="s">
        <v>118</v>
      </c>
      <c r="M1470" s="10">
        <v>16.20614212786646</v>
      </c>
    </row>
    <row r="1471" spans="11:13" x14ac:dyDescent="0.25">
      <c r="K1471" s="26" t="s">
        <v>112</v>
      </c>
      <c r="L1471" s="27" t="s">
        <v>119</v>
      </c>
      <c r="M1471" s="10">
        <v>77.017868145409736</v>
      </c>
    </row>
    <row r="1472" spans="11:13" x14ac:dyDescent="0.25">
      <c r="K1472" s="26" t="s">
        <v>109</v>
      </c>
      <c r="L1472" s="27" t="s">
        <v>115</v>
      </c>
      <c r="M1472" s="10">
        <v>4.125</v>
      </c>
    </row>
    <row r="1473" spans="11:13" x14ac:dyDescent="0.25">
      <c r="K1473" s="26" t="s">
        <v>109</v>
      </c>
      <c r="L1473" s="27" t="s">
        <v>116</v>
      </c>
      <c r="M1473" s="10">
        <v>65.035273368606695</v>
      </c>
    </row>
    <row r="1474" spans="11:13" x14ac:dyDescent="0.25">
      <c r="K1474" s="26" t="s">
        <v>111</v>
      </c>
      <c r="L1474" s="27" t="s">
        <v>117</v>
      </c>
      <c r="M1474" s="10">
        <v>36.081128747795418</v>
      </c>
    </row>
    <row r="1475" spans="11:13" x14ac:dyDescent="0.25">
      <c r="K1475" s="26" t="s">
        <v>109</v>
      </c>
      <c r="L1475" s="27" t="s">
        <v>118</v>
      </c>
      <c r="M1475" s="10">
        <v>22.045855379188712</v>
      </c>
    </row>
    <row r="1476" spans="11:13" x14ac:dyDescent="0.25">
      <c r="K1476" s="26" t="s">
        <v>111</v>
      </c>
      <c r="L1476" s="27" t="s">
        <v>119</v>
      </c>
      <c r="M1476" s="10">
        <v>66.137566137566139</v>
      </c>
    </row>
    <row r="1477" spans="11:13" x14ac:dyDescent="0.25">
      <c r="K1477" s="26" t="s">
        <v>109</v>
      </c>
      <c r="L1477" s="27" t="s">
        <v>115</v>
      </c>
      <c r="M1477" s="10">
        <v>26.956253850893408</v>
      </c>
    </row>
    <row r="1478" spans="11:13" x14ac:dyDescent="0.25">
      <c r="K1478" s="26" t="s">
        <v>109</v>
      </c>
      <c r="L1478" s="27" t="s">
        <v>116</v>
      </c>
      <c r="M1478" s="10">
        <v>46.210720887245841</v>
      </c>
    </row>
    <row r="1479" spans="11:13" x14ac:dyDescent="0.25">
      <c r="K1479" s="26" t="s">
        <v>111</v>
      </c>
      <c r="L1479" s="27" t="s">
        <v>117</v>
      </c>
      <c r="M1479" s="10">
        <v>5.511463844797178</v>
      </c>
    </row>
    <row r="1480" spans="11:13" x14ac:dyDescent="0.25">
      <c r="K1480" s="26" t="s">
        <v>111</v>
      </c>
      <c r="L1480" s="27" t="s">
        <v>118</v>
      </c>
      <c r="M1480" s="10">
        <v>237.103835978836</v>
      </c>
    </row>
    <row r="1481" spans="11:13" x14ac:dyDescent="0.25">
      <c r="K1481" s="26" t="s">
        <v>112</v>
      </c>
      <c r="L1481" s="27" t="s">
        <v>119</v>
      </c>
      <c r="M1481" s="10">
        <v>41.235449735449734</v>
      </c>
    </row>
    <row r="1482" spans="11:13" x14ac:dyDescent="0.25">
      <c r="K1482" s="26" t="s">
        <v>109</v>
      </c>
      <c r="L1482" s="27" t="s">
        <v>115</v>
      </c>
      <c r="M1482" s="10">
        <v>265.49368453481208</v>
      </c>
    </row>
    <row r="1483" spans="11:13" x14ac:dyDescent="0.25">
      <c r="K1483" s="26" t="s">
        <v>109</v>
      </c>
      <c r="L1483" s="27" t="s">
        <v>116</v>
      </c>
      <c r="M1483" s="10">
        <v>61.614294516327789</v>
      </c>
    </row>
    <row r="1484" spans="11:13" x14ac:dyDescent="0.25">
      <c r="K1484" s="26" t="s">
        <v>110</v>
      </c>
      <c r="L1484" s="27" t="s">
        <v>117</v>
      </c>
      <c r="M1484" s="10">
        <v>25.853154084798344</v>
      </c>
    </row>
    <row r="1485" spans="11:13" x14ac:dyDescent="0.25">
      <c r="K1485" s="26" t="s">
        <v>111</v>
      </c>
      <c r="L1485" s="27" t="s">
        <v>118</v>
      </c>
      <c r="M1485" s="10">
        <v>15</v>
      </c>
    </row>
    <row r="1486" spans="11:13" x14ac:dyDescent="0.25">
      <c r="K1486" s="26" t="s">
        <v>113</v>
      </c>
      <c r="L1486" s="27" t="s">
        <v>119</v>
      </c>
      <c r="M1486" s="10">
        <v>1.9303688383316095</v>
      </c>
    </row>
    <row r="1487" spans="11:13" x14ac:dyDescent="0.25">
      <c r="K1487" s="26" t="s">
        <v>110</v>
      </c>
      <c r="L1487" s="27" t="s">
        <v>115</v>
      </c>
      <c r="M1487" s="10">
        <v>771.60493827160496</v>
      </c>
    </row>
    <row r="1488" spans="11:13" x14ac:dyDescent="0.25">
      <c r="K1488" s="26" t="s">
        <v>113</v>
      </c>
      <c r="L1488" s="27" t="s">
        <v>116</v>
      </c>
      <c r="M1488" s="10">
        <v>188.4039986211651</v>
      </c>
    </row>
    <row r="1489" spans="11:13" x14ac:dyDescent="0.25">
      <c r="K1489" s="26" t="s">
        <v>113</v>
      </c>
      <c r="L1489" s="27" t="s">
        <v>117</v>
      </c>
      <c r="M1489" s="10">
        <v>579.76927683489407</v>
      </c>
    </row>
    <row r="1490" spans="11:13" x14ac:dyDescent="0.25">
      <c r="K1490" s="26" t="s">
        <v>112</v>
      </c>
      <c r="L1490" s="27" t="s">
        <v>118</v>
      </c>
      <c r="M1490" s="10">
        <v>1.1000000000000001</v>
      </c>
    </row>
    <row r="1491" spans="11:13" x14ac:dyDescent="0.25">
      <c r="K1491" s="26" t="s">
        <v>112</v>
      </c>
      <c r="L1491" s="27" t="s">
        <v>119</v>
      </c>
      <c r="M1491" s="10">
        <v>21.179709837975221</v>
      </c>
    </row>
    <row r="1492" spans="11:13" x14ac:dyDescent="0.25">
      <c r="K1492" s="26" t="s">
        <v>112</v>
      </c>
      <c r="L1492" s="27" t="s">
        <v>115</v>
      </c>
      <c r="M1492" s="10">
        <v>20</v>
      </c>
    </row>
    <row r="1493" spans="11:13" x14ac:dyDescent="0.25">
      <c r="K1493" s="26" t="s">
        <v>112</v>
      </c>
      <c r="L1493" s="27" t="s">
        <v>116</v>
      </c>
      <c r="M1493" s="10">
        <v>52.949274594938046</v>
      </c>
    </row>
    <row r="1494" spans="11:13" x14ac:dyDescent="0.25">
      <c r="K1494" s="26" t="s">
        <v>112</v>
      </c>
      <c r="L1494" s="27" t="s">
        <v>117</v>
      </c>
      <c r="M1494" s="10">
        <v>52.949274594938046</v>
      </c>
    </row>
    <row r="1495" spans="11:13" x14ac:dyDescent="0.25">
      <c r="K1495" s="26" t="s">
        <v>112</v>
      </c>
      <c r="L1495" s="27" t="s">
        <v>118</v>
      </c>
      <c r="M1495" s="10">
        <v>132.27513227513228</v>
      </c>
    </row>
    <row r="1496" spans="11:13" x14ac:dyDescent="0.25">
      <c r="K1496" s="26" t="s">
        <v>112</v>
      </c>
      <c r="L1496" s="27" t="s">
        <v>119</v>
      </c>
      <c r="M1496" s="10">
        <v>52.949274594938046</v>
      </c>
    </row>
    <row r="1497" spans="11:13" x14ac:dyDescent="0.25">
      <c r="K1497" s="26" t="s">
        <v>112</v>
      </c>
      <c r="L1497" s="27" t="s">
        <v>115</v>
      </c>
      <c r="M1497" s="10">
        <v>137.88348845225781</v>
      </c>
    </row>
    <row r="1498" spans="11:13" x14ac:dyDescent="0.25">
      <c r="K1498" s="26" t="s">
        <v>112</v>
      </c>
      <c r="L1498" s="27" t="s">
        <v>116</v>
      </c>
      <c r="M1498" s="10">
        <v>52.949274594938046</v>
      </c>
    </row>
    <row r="1499" spans="11:13" x14ac:dyDescent="0.25">
      <c r="K1499" s="26" t="s">
        <v>112</v>
      </c>
      <c r="L1499" s="27" t="s">
        <v>117</v>
      </c>
      <c r="M1499" s="10">
        <v>34.470872113064452</v>
      </c>
    </row>
    <row r="1500" spans="11:13" x14ac:dyDescent="0.25">
      <c r="K1500" s="26" t="s">
        <v>112</v>
      </c>
      <c r="L1500" s="27" t="s">
        <v>118</v>
      </c>
      <c r="M1500" s="10">
        <v>34.470872113064452</v>
      </c>
    </row>
    <row r="1501" spans="11:13" x14ac:dyDescent="0.25">
      <c r="K1501" s="26" t="s">
        <v>112</v>
      </c>
      <c r="L1501" s="27" t="s">
        <v>119</v>
      </c>
      <c r="M1501" s="10">
        <v>20.682523267838675</v>
      </c>
    </row>
    <row r="1502" spans="11:13" x14ac:dyDescent="0.25">
      <c r="K1502" s="26" t="s">
        <v>112</v>
      </c>
      <c r="L1502" s="27" t="s">
        <v>115</v>
      </c>
      <c r="M1502" s="10">
        <v>80.821516754850094</v>
      </c>
    </row>
    <row r="1503" spans="11:13" x14ac:dyDescent="0.25">
      <c r="K1503" s="26" t="s">
        <v>112</v>
      </c>
      <c r="L1503" s="27" t="s">
        <v>116</v>
      </c>
      <c r="M1503" s="10">
        <v>4.8822478897125903</v>
      </c>
    </row>
    <row r="1504" spans="11:13" x14ac:dyDescent="0.25">
      <c r="K1504" s="26" t="s">
        <v>112</v>
      </c>
      <c r="L1504" s="27" t="s">
        <v>117</v>
      </c>
      <c r="M1504" s="10">
        <v>52.949274594938046</v>
      </c>
    </row>
    <row r="1505" spans="11:13" x14ac:dyDescent="0.25">
      <c r="K1505" s="26" t="s">
        <v>112</v>
      </c>
      <c r="L1505" s="27" t="s">
        <v>118</v>
      </c>
      <c r="M1505" s="10">
        <v>23.105360443622921</v>
      </c>
    </row>
    <row r="1506" spans="11:13" x14ac:dyDescent="0.25">
      <c r="K1506" s="26" t="s">
        <v>112</v>
      </c>
      <c r="L1506" s="27" t="s">
        <v>119</v>
      </c>
      <c r="M1506" s="10">
        <v>2</v>
      </c>
    </row>
    <row r="1507" spans="11:13" x14ac:dyDescent="0.25">
      <c r="K1507" s="26" t="s">
        <v>112</v>
      </c>
      <c r="L1507" s="27" t="s">
        <v>115</v>
      </c>
      <c r="M1507" s="10">
        <v>3.8544062287204657</v>
      </c>
    </row>
    <row r="1508" spans="11:13" x14ac:dyDescent="0.25">
      <c r="K1508" s="26" t="s">
        <v>109</v>
      </c>
      <c r="L1508" s="27" t="s">
        <v>116</v>
      </c>
      <c r="M1508" s="10">
        <v>2.2045855379188714E-4</v>
      </c>
    </row>
    <row r="1509" spans="11:13" x14ac:dyDescent="0.25">
      <c r="K1509" s="26" t="s">
        <v>109</v>
      </c>
      <c r="L1509" s="27" t="s">
        <v>117</v>
      </c>
      <c r="M1509" s="10">
        <v>17.235436056532226</v>
      </c>
    </row>
    <row r="1510" spans="11:13" x14ac:dyDescent="0.25">
      <c r="K1510" s="26" t="s">
        <v>109</v>
      </c>
      <c r="L1510" s="27" t="s">
        <v>118</v>
      </c>
      <c r="M1510" s="10">
        <v>82.730093071354702</v>
      </c>
    </row>
    <row r="1511" spans="11:13" x14ac:dyDescent="0.25">
      <c r="K1511" s="26" t="s">
        <v>109</v>
      </c>
      <c r="L1511" s="27" t="s">
        <v>119</v>
      </c>
      <c r="M1511" s="10">
        <v>44.812133746983797</v>
      </c>
    </row>
    <row r="1512" spans="11:13" x14ac:dyDescent="0.25">
      <c r="K1512" s="26" t="s">
        <v>111</v>
      </c>
      <c r="L1512" s="27" t="s">
        <v>115</v>
      </c>
      <c r="M1512" s="10">
        <v>120.64805239572561</v>
      </c>
    </row>
    <row r="1513" spans="11:13" x14ac:dyDescent="0.25">
      <c r="K1513" s="26" t="s">
        <v>112</v>
      </c>
      <c r="L1513" s="27" t="s">
        <v>116</v>
      </c>
      <c r="M1513" s="10">
        <v>1.5</v>
      </c>
    </row>
    <row r="1514" spans="11:13" x14ac:dyDescent="0.25">
      <c r="K1514" s="26" t="s">
        <v>113</v>
      </c>
      <c r="L1514" s="27" t="s">
        <v>117</v>
      </c>
      <c r="M1514" s="10">
        <v>77.017868145409736</v>
      </c>
    </row>
    <row r="1515" spans="11:13" x14ac:dyDescent="0.25">
      <c r="K1515" s="26" t="s">
        <v>111</v>
      </c>
      <c r="L1515" s="27" t="s">
        <v>118</v>
      </c>
      <c r="M1515" s="10">
        <v>30.8641975308642</v>
      </c>
    </row>
    <row r="1516" spans="11:13" x14ac:dyDescent="0.25">
      <c r="K1516" s="26" t="s">
        <v>113</v>
      </c>
      <c r="L1516" s="27" t="s">
        <v>119</v>
      </c>
      <c r="M1516" s="10">
        <v>68.941744226128904</v>
      </c>
    </row>
    <row r="1517" spans="11:13" x14ac:dyDescent="0.25">
      <c r="K1517" s="26" t="s">
        <v>110</v>
      </c>
      <c r="L1517" s="27" t="s">
        <v>115</v>
      </c>
      <c r="M1517" s="10">
        <v>132.27513227513228</v>
      </c>
    </row>
    <row r="1518" spans="11:13" x14ac:dyDescent="0.25">
      <c r="K1518" s="26" t="s">
        <v>112</v>
      </c>
      <c r="L1518" s="27" t="s">
        <v>116</v>
      </c>
      <c r="M1518" s="10">
        <v>3.8607376766632191</v>
      </c>
    </row>
    <row r="1519" spans="11:13" x14ac:dyDescent="0.25">
      <c r="K1519" s="26" t="s">
        <v>112</v>
      </c>
      <c r="L1519" s="27" t="s">
        <v>117</v>
      </c>
      <c r="M1519" s="10">
        <v>110.22927689594357</v>
      </c>
    </row>
    <row r="1520" spans="11:13" x14ac:dyDescent="0.25">
      <c r="K1520" s="26" t="s">
        <v>112</v>
      </c>
      <c r="L1520" s="27" t="s">
        <v>118</v>
      </c>
      <c r="M1520" s="10">
        <v>132.27513227513228</v>
      </c>
    </row>
    <row r="1521" spans="11:13" x14ac:dyDescent="0.25">
      <c r="K1521" s="26" t="s">
        <v>112</v>
      </c>
      <c r="L1521" s="27" t="s">
        <v>119</v>
      </c>
      <c r="M1521" s="10">
        <v>2</v>
      </c>
    </row>
    <row r="1522" spans="11:13" x14ac:dyDescent="0.25">
      <c r="K1522" s="26" t="s">
        <v>112</v>
      </c>
      <c r="L1522" s="27" t="s">
        <v>115</v>
      </c>
      <c r="M1522" s="10">
        <v>317.69564756962825</v>
      </c>
    </row>
    <row r="1523" spans="11:13" x14ac:dyDescent="0.25">
      <c r="K1523" s="26" t="s">
        <v>112</v>
      </c>
      <c r="L1523" s="27" t="s">
        <v>116</v>
      </c>
      <c r="M1523" s="10">
        <v>28.659611992945326</v>
      </c>
    </row>
    <row r="1524" spans="11:13" x14ac:dyDescent="0.25">
      <c r="K1524" s="26" t="s">
        <v>112</v>
      </c>
      <c r="L1524" s="27" t="s">
        <v>117</v>
      </c>
      <c r="M1524" s="10">
        <v>52.949274594938046</v>
      </c>
    </row>
    <row r="1525" spans="11:13" x14ac:dyDescent="0.25">
      <c r="K1525" s="26" t="s">
        <v>112</v>
      </c>
      <c r="L1525" s="27" t="s">
        <v>118</v>
      </c>
      <c r="M1525" s="10">
        <v>11.732116669382433</v>
      </c>
    </row>
    <row r="1526" spans="11:13" x14ac:dyDescent="0.25">
      <c r="K1526" s="26" t="s">
        <v>112</v>
      </c>
      <c r="L1526" s="27" t="s">
        <v>119</v>
      </c>
      <c r="M1526" s="10">
        <v>689.11655257959308</v>
      </c>
    </row>
    <row r="1527" spans="11:13" x14ac:dyDescent="0.25">
      <c r="K1527" s="26" t="s">
        <v>112</v>
      </c>
      <c r="L1527" s="27" t="s">
        <v>115</v>
      </c>
      <c r="M1527" s="10">
        <v>46.210720887245841</v>
      </c>
    </row>
    <row r="1528" spans="11:13" x14ac:dyDescent="0.25">
      <c r="K1528" s="26" t="s">
        <v>112</v>
      </c>
      <c r="L1528" s="27" t="s">
        <v>116</v>
      </c>
      <c r="M1528" s="10">
        <v>28.679765598069629</v>
      </c>
    </row>
    <row r="1529" spans="11:13" x14ac:dyDescent="0.25">
      <c r="K1529" s="26" t="s">
        <v>112</v>
      </c>
      <c r="L1529" s="27" t="s">
        <v>117</v>
      </c>
      <c r="M1529" s="10">
        <v>9.4401240951396073</v>
      </c>
    </row>
    <row r="1530" spans="11:13" x14ac:dyDescent="0.25">
      <c r="K1530" s="26" t="s">
        <v>112</v>
      </c>
      <c r="L1530" s="27" t="s">
        <v>118</v>
      </c>
      <c r="M1530" s="10">
        <v>29.046570148224749</v>
      </c>
    </row>
    <row r="1531" spans="11:13" x14ac:dyDescent="0.25">
      <c r="K1531" s="26" t="s">
        <v>112</v>
      </c>
      <c r="L1531" s="27" t="s">
        <v>119</v>
      </c>
      <c r="M1531" s="10">
        <v>14.523267838676318</v>
      </c>
    </row>
    <row r="1532" spans="11:13" x14ac:dyDescent="0.25">
      <c r="K1532" s="26" t="s">
        <v>112</v>
      </c>
      <c r="L1532" s="27" t="s">
        <v>115</v>
      </c>
      <c r="M1532" s="10">
        <v>14.523267838676318</v>
      </c>
    </row>
    <row r="1533" spans="11:13" x14ac:dyDescent="0.25">
      <c r="K1533" s="26" t="s">
        <v>112</v>
      </c>
      <c r="L1533" s="27" t="s">
        <v>116</v>
      </c>
      <c r="M1533" s="10">
        <v>31.713202344019301</v>
      </c>
    </row>
    <row r="1534" spans="11:13" x14ac:dyDescent="0.25">
      <c r="K1534" s="26" t="s">
        <v>112</v>
      </c>
      <c r="L1534" s="27" t="s">
        <v>117</v>
      </c>
      <c r="M1534" s="10">
        <v>33.887693898655634</v>
      </c>
    </row>
    <row r="1535" spans="11:13" x14ac:dyDescent="0.25">
      <c r="K1535" s="26" t="s">
        <v>112</v>
      </c>
      <c r="L1535" s="27" t="s">
        <v>118</v>
      </c>
      <c r="M1535" s="10">
        <v>14.523267838676318</v>
      </c>
    </row>
    <row r="1536" spans="11:13" x14ac:dyDescent="0.25">
      <c r="K1536" s="26" t="s">
        <v>112</v>
      </c>
      <c r="L1536" s="27" t="s">
        <v>119</v>
      </c>
      <c r="M1536" s="10">
        <v>59.530896535301828</v>
      </c>
    </row>
    <row r="1537" spans="11:13" x14ac:dyDescent="0.25">
      <c r="K1537" s="26" t="s">
        <v>112</v>
      </c>
      <c r="L1537" s="27" t="s">
        <v>115</v>
      </c>
      <c r="M1537" s="10">
        <v>293.80291005291002</v>
      </c>
    </row>
    <row r="1538" spans="11:13" x14ac:dyDescent="0.25">
      <c r="K1538" s="26" t="s">
        <v>109</v>
      </c>
      <c r="L1538" s="27" t="s">
        <v>116</v>
      </c>
      <c r="M1538" s="10">
        <v>10.341261633919338</v>
      </c>
    </row>
    <row r="1539" spans="11:13" x14ac:dyDescent="0.25">
      <c r="K1539" s="26" t="s">
        <v>109</v>
      </c>
      <c r="L1539" s="27" t="s">
        <v>117</v>
      </c>
      <c r="M1539" s="10">
        <v>105.89854918987609</v>
      </c>
    </row>
    <row r="1540" spans="11:13" x14ac:dyDescent="0.25">
      <c r="K1540" s="26" t="s">
        <v>109</v>
      </c>
      <c r="L1540" s="27" t="s">
        <v>118</v>
      </c>
      <c r="M1540" s="10">
        <v>391.73721340388005</v>
      </c>
    </row>
    <row r="1541" spans="11:13" x14ac:dyDescent="0.25">
      <c r="K1541" s="26" t="s">
        <v>109</v>
      </c>
      <c r="L1541" s="27" t="s">
        <v>119</v>
      </c>
      <c r="M1541" s="10">
        <v>66.137566137566139</v>
      </c>
    </row>
    <row r="1542" spans="11:13" x14ac:dyDescent="0.25">
      <c r="K1542" s="26" t="s">
        <v>109</v>
      </c>
      <c r="L1542" s="27" t="s">
        <v>115</v>
      </c>
      <c r="M1542" s="10">
        <v>195.86860670194002</v>
      </c>
    </row>
    <row r="1543" spans="11:13" x14ac:dyDescent="0.25">
      <c r="K1543" s="26" t="s">
        <v>111</v>
      </c>
      <c r="L1543" s="27" t="s">
        <v>116</v>
      </c>
      <c r="M1543" s="10">
        <v>30</v>
      </c>
    </row>
    <row r="1544" spans="11:13" x14ac:dyDescent="0.25">
      <c r="K1544" s="26" t="s">
        <v>109</v>
      </c>
      <c r="L1544" s="27" t="s">
        <v>117</v>
      </c>
      <c r="M1544" s="10">
        <v>61.614294516327789</v>
      </c>
    </row>
    <row r="1545" spans="11:13" x14ac:dyDescent="0.25">
      <c r="K1545" s="26" t="s">
        <v>111</v>
      </c>
      <c r="L1545" s="27" t="s">
        <v>118</v>
      </c>
      <c r="M1545" s="10">
        <v>21.010474430067774</v>
      </c>
    </row>
    <row r="1546" spans="11:13" x14ac:dyDescent="0.25">
      <c r="K1546" s="26" t="s">
        <v>111</v>
      </c>
      <c r="L1546" s="27" t="s">
        <v>119</v>
      </c>
      <c r="M1546" s="10">
        <v>68.941744226128904</v>
      </c>
    </row>
    <row r="1547" spans="11:13" x14ac:dyDescent="0.25">
      <c r="K1547" s="26" t="s">
        <v>110</v>
      </c>
      <c r="L1547" s="27" t="s">
        <v>115</v>
      </c>
      <c r="M1547" s="10">
        <v>72.156084656084658</v>
      </c>
    </row>
    <row r="1548" spans="11:13" x14ac:dyDescent="0.25">
      <c r="K1548" s="26" t="s">
        <v>110</v>
      </c>
      <c r="L1548" s="27" t="s">
        <v>116</v>
      </c>
      <c r="M1548" s="10">
        <v>154.03573629081947</v>
      </c>
    </row>
    <row r="1549" spans="11:13" x14ac:dyDescent="0.25">
      <c r="K1549" s="26" t="s">
        <v>110</v>
      </c>
      <c r="L1549" s="27" t="s">
        <v>117</v>
      </c>
      <c r="M1549" s="10">
        <v>11.563218686161397</v>
      </c>
    </row>
    <row r="1550" spans="11:13" x14ac:dyDescent="0.25">
      <c r="K1550" s="26" t="s">
        <v>112</v>
      </c>
      <c r="L1550" s="27" t="s">
        <v>118</v>
      </c>
      <c r="M1550" s="10">
        <v>39.681144432954149</v>
      </c>
    </row>
    <row r="1551" spans="11:13" x14ac:dyDescent="0.25">
      <c r="K1551" s="26" t="s">
        <v>112</v>
      </c>
      <c r="L1551" s="27" t="s">
        <v>119</v>
      </c>
      <c r="M1551" s="10">
        <v>9.9207169941399513</v>
      </c>
    </row>
    <row r="1552" spans="11:13" x14ac:dyDescent="0.25">
      <c r="K1552" s="26" t="s">
        <v>110</v>
      </c>
      <c r="L1552" s="27" t="s">
        <v>115</v>
      </c>
      <c r="M1552" s="10">
        <v>99.206349206349202</v>
      </c>
    </row>
    <row r="1553" spans="11:13" x14ac:dyDescent="0.25">
      <c r="K1553" s="26" t="s">
        <v>110</v>
      </c>
      <c r="L1553" s="27" t="s">
        <v>116</v>
      </c>
      <c r="M1553" s="10">
        <v>88.183421516754848</v>
      </c>
    </row>
    <row r="1554" spans="11:13" x14ac:dyDescent="0.25">
      <c r="K1554" s="26" t="s">
        <v>112</v>
      </c>
      <c r="L1554" s="27" t="s">
        <v>117</v>
      </c>
      <c r="M1554" s="10">
        <v>107.82501540357363</v>
      </c>
    </row>
    <row r="1555" spans="11:13" x14ac:dyDescent="0.25">
      <c r="K1555" s="26" t="s">
        <v>112</v>
      </c>
      <c r="L1555" s="27" t="s">
        <v>118</v>
      </c>
      <c r="M1555" s="10">
        <v>100</v>
      </c>
    </row>
    <row r="1556" spans="11:13" x14ac:dyDescent="0.25">
      <c r="K1556" s="26" t="s">
        <v>112</v>
      </c>
      <c r="L1556" s="27" t="s">
        <v>119</v>
      </c>
      <c r="M1556" s="10">
        <v>24.645717806531117</v>
      </c>
    </row>
    <row r="1557" spans="11:13" x14ac:dyDescent="0.25">
      <c r="K1557" s="26" t="s">
        <v>112</v>
      </c>
      <c r="L1557" s="27" t="s">
        <v>115</v>
      </c>
      <c r="M1557" s="10">
        <v>391.73677248677251</v>
      </c>
    </row>
    <row r="1558" spans="11:13" x14ac:dyDescent="0.25">
      <c r="K1558" s="26" t="s">
        <v>112</v>
      </c>
      <c r="L1558" s="27" t="s">
        <v>116</v>
      </c>
      <c r="M1558" s="10">
        <v>25.696041524803107</v>
      </c>
    </row>
    <row r="1559" spans="11:13" x14ac:dyDescent="0.25">
      <c r="K1559" s="26" t="s">
        <v>112</v>
      </c>
      <c r="L1559" s="27" t="s">
        <v>117</v>
      </c>
      <c r="M1559" s="10">
        <v>26</v>
      </c>
    </row>
    <row r="1560" spans="11:13" x14ac:dyDescent="0.25">
      <c r="K1560" s="26" t="s">
        <v>112</v>
      </c>
      <c r="L1560" s="27" t="s">
        <v>118</v>
      </c>
      <c r="M1560" s="10">
        <v>144.77766287487074</v>
      </c>
    </row>
    <row r="1561" spans="11:13" x14ac:dyDescent="0.25">
      <c r="K1561" s="26" t="s">
        <v>112</v>
      </c>
      <c r="L1561" s="27" t="s">
        <v>119</v>
      </c>
      <c r="M1561" s="10">
        <v>18.916925198207515</v>
      </c>
    </row>
    <row r="1562" spans="11:13" x14ac:dyDescent="0.25">
      <c r="K1562" s="26" t="s">
        <v>112</v>
      </c>
      <c r="L1562" s="27" t="s">
        <v>115</v>
      </c>
      <c r="M1562" s="10">
        <v>27.576697690451567</v>
      </c>
    </row>
    <row r="1563" spans="11:13" x14ac:dyDescent="0.25">
      <c r="K1563" s="26" t="s">
        <v>112</v>
      </c>
      <c r="L1563" s="27" t="s">
        <v>116</v>
      </c>
      <c r="M1563" s="10">
        <v>12.528964070814293</v>
      </c>
    </row>
    <row r="1564" spans="11:13" x14ac:dyDescent="0.25">
      <c r="K1564" s="26" t="s">
        <v>112</v>
      </c>
      <c r="L1564" s="27" t="s">
        <v>117</v>
      </c>
      <c r="M1564" s="10">
        <v>33.06878306878307</v>
      </c>
    </row>
    <row r="1565" spans="11:13" x14ac:dyDescent="0.25">
      <c r="K1565" s="26" t="s">
        <v>112</v>
      </c>
      <c r="L1565" s="27" t="s">
        <v>118</v>
      </c>
      <c r="M1565" s="10">
        <v>211.79709837975219</v>
      </c>
    </row>
    <row r="1566" spans="11:13" x14ac:dyDescent="0.25">
      <c r="K1566" s="26" t="s">
        <v>112</v>
      </c>
      <c r="L1566" s="27" t="s">
        <v>119</v>
      </c>
      <c r="M1566" s="10">
        <v>68.941744226128904</v>
      </c>
    </row>
    <row r="1567" spans="11:13" x14ac:dyDescent="0.25">
      <c r="K1567" s="26" t="s">
        <v>112</v>
      </c>
      <c r="L1567" s="27" t="s">
        <v>115</v>
      </c>
      <c r="M1567" s="10">
        <v>1.7924067133778718</v>
      </c>
    </row>
    <row r="1568" spans="11:13" x14ac:dyDescent="0.25">
      <c r="K1568" s="26" t="s">
        <v>112</v>
      </c>
      <c r="L1568" s="27" t="s">
        <v>116</v>
      </c>
      <c r="M1568" s="10">
        <v>3.0807147258163896</v>
      </c>
    </row>
    <row r="1569" spans="11:13" x14ac:dyDescent="0.25">
      <c r="K1569" s="26" t="s">
        <v>112</v>
      </c>
      <c r="L1569" s="27" t="s">
        <v>117</v>
      </c>
      <c r="M1569" s="10">
        <v>44.091710758377424</v>
      </c>
    </row>
    <row r="1570" spans="11:13" x14ac:dyDescent="0.25">
      <c r="K1570" s="26" t="s">
        <v>111</v>
      </c>
      <c r="L1570" s="27" t="s">
        <v>118</v>
      </c>
      <c r="M1570" s="10">
        <v>105.89854918987609</v>
      </c>
    </row>
    <row r="1571" spans="11:13" x14ac:dyDescent="0.25">
      <c r="K1571" s="26" t="s">
        <v>111</v>
      </c>
      <c r="L1571" s="27" t="s">
        <v>119</v>
      </c>
      <c r="M1571" s="10">
        <v>370.64492216456637</v>
      </c>
    </row>
    <row r="1572" spans="11:13" x14ac:dyDescent="0.25">
      <c r="K1572" s="26" t="s">
        <v>110</v>
      </c>
      <c r="L1572" s="27" t="s">
        <v>115</v>
      </c>
      <c r="M1572" s="10">
        <v>158.84782378481412</v>
      </c>
    </row>
    <row r="1573" spans="11:13" x14ac:dyDescent="0.25">
      <c r="K1573" s="26" t="s">
        <v>109</v>
      </c>
      <c r="L1573" s="27" t="s">
        <v>116</v>
      </c>
      <c r="M1573" s="10">
        <v>105.89854918987609</v>
      </c>
    </row>
    <row r="1574" spans="11:13" x14ac:dyDescent="0.25">
      <c r="K1574" s="26" t="s">
        <v>112</v>
      </c>
      <c r="L1574" s="27" t="s">
        <v>117</v>
      </c>
      <c r="M1574" s="10">
        <v>27.576697690451567</v>
      </c>
    </row>
    <row r="1575" spans="11:13" x14ac:dyDescent="0.25">
      <c r="K1575" s="26" t="s">
        <v>109</v>
      </c>
      <c r="L1575" s="27" t="s">
        <v>118</v>
      </c>
      <c r="M1575" s="10">
        <v>529.49274594938049</v>
      </c>
    </row>
    <row r="1576" spans="11:13" x14ac:dyDescent="0.25">
      <c r="K1576" s="26" t="s">
        <v>111</v>
      </c>
      <c r="L1576" s="27" t="s">
        <v>119</v>
      </c>
      <c r="M1576" s="10">
        <v>50</v>
      </c>
    </row>
    <row r="1577" spans="11:13" x14ac:dyDescent="0.25">
      <c r="K1577" s="26" t="s">
        <v>110</v>
      </c>
      <c r="L1577" s="27" t="s">
        <v>115</v>
      </c>
      <c r="M1577" s="10">
        <v>48.778137507212399</v>
      </c>
    </row>
    <row r="1578" spans="11:13" x14ac:dyDescent="0.25">
      <c r="K1578" s="26" t="s">
        <v>110</v>
      </c>
      <c r="L1578" s="27" t="s">
        <v>116</v>
      </c>
      <c r="M1578" s="10">
        <v>195.8553791887125</v>
      </c>
    </row>
    <row r="1579" spans="11:13" x14ac:dyDescent="0.25">
      <c r="K1579" s="26" t="s">
        <v>112</v>
      </c>
      <c r="L1579" s="27" t="s">
        <v>117</v>
      </c>
      <c r="M1579" s="10">
        <v>30.807147258163894</v>
      </c>
    </row>
    <row r="1580" spans="11:13" x14ac:dyDescent="0.25">
      <c r="K1580" s="26" t="s">
        <v>112</v>
      </c>
      <c r="L1580" s="27" t="s">
        <v>118</v>
      </c>
      <c r="M1580" s="10">
        <v>25.696041524803107</v>
      </c>
    </row>
    <row r="1581" spans="11:13" x14ac:dyDescent="0.25">
      <c r="K1581" s="26" t="s">
        <v>110</v>
      </c>
      <c r="L1581" s="27" t="s">
        <v>119</v>
      </c>
      <c r="M1581" s="10">
        <v>30.807147258163894</v>
      </c>
    </row>
    <row r="1582" spans="11:13" x14ac:dyDescent="0.25">
      <c r="K1582" s="26" t="s">
        <v>110</v>
      </c>
      <c r="L1582" s="27" t="s">
        <v>115</v>
      </c>
      <c r="M1582" s="10">
        <v>68.941744226128904</v>
      </c>
    </row>
    <row r="1583" spans="11:13" x14ac:dyDescent="0.25">
      <c r="K1583" s="26" t="s">
        <v>110</v>
      </c>
      <c r="L1583" s="27" t="s">
        <v>116</v>
      </c>
      <c r="M1583" s="10">
        <v>53.912507701786815</v>
      </c>
    </row>
    <row r="1584" spans="11:13" x14ac:dyDescent="0.25">
      <c r="K1584" s="26" t="s">
        <v>112</v>
      </c>
      <c r="L1584" s="27" t="s">
        <v>117</v>
      </c>
      <c r="M1584" s="10">
        <v>130.98931402964493</v>
      </c>
    </row>
    <row r="1585" spans="11:13" x14ac:dyDescent="0.25">
      <c r="K1585" s="26" t="s">
        <v>112</v>
      </c>
      <c r="L1585" s="27" t="s">
        <v>118</v>
      </c>
      <c r="M1585" s="10">
        <v>45.792997334847563</v>
      </c>
    </row>
    <row r="1586" spans="11:13" x14ac:dyDescent="0.25">
      <c r="K1586" s="26" t="s">
        <v>112</v>
      </c>
      <c r="L1586" s="27" t="s">
        <v>119</v>
      </c>
      <c r="M1586" s="10">
        <v>1792.4067133778719</v>
      </c>
    </row>
    <row r="1587" spans="11:13" x14ac:dyDescent="0.25">
      <c r="K1587" s="26" t="s">
        <v>112</v>
      </c>
      <c r="L1587" s="27" t="s">
        <v>115</v>
      </c>
      <c r="M1587" s="10">
        <v>15.403573629081947</v>
      </c>
    </row>
    <row r="1588" spans="11:13" x14ac:dyDescent="0.25">
      <c r="K1588" s="26" t="s">
        <v>112</v>
      </c>
      <c r="L1588" s="27" t="s">
        <v>116</v>
      </c>
      <c r="M1588" s="10">
        <v>183.17198933939025</v>
      </c>
    </row>
    <row r="1589" spans="11:13" x14ac:dyDescent="0.25">
      <c r="K1589" s="26" t="s">
        <v>112</v>
      </c>
      <c r="L1589" s="27" t="s">
        <v>117</v>
      </c>
      <c r="M1589" s="10">
        <v>27.726432532347506</v>
      </c>
    </row>
    <row r="1590" spans="11:13" x14ac:dyDescent="0.25">
      <c r="K1590" s="26" t="s">
        <v>112</v>
      </c>
      <c r="L1590" s="27" t="s">
        <v>118</v>
      </c>
      <c r="M1590" s="10">
        <v>15</v>
      </c>
    </row>
    <row r="1591" spans="11:13" x14ac:dyDescent="0.25">
      <c r="K1591" s="26" t="s">
        <v>112</v>
      </c>
      <c r="L1591" s="27" t="s">
        <v>119</v>
      </c>
      <c r="M1591" s="10">
        <v>51.369044884458127</v>
      </c>
    </row>
    <row r="1592" spans="11:13" x14ac:dyDescent="0.25">
      <c r="K1592" s="26" t="s">
        <v>112</v>
      </c>
      <c r="L1592" s="27" t="s">
        <v>115</v>
      </c>
      <c r="M1592" s="10">
        <v>756.79304013635442</v>
      </c>
    </row>
    <row r="1593" spans="11:13" x14ac:dyDescent="0.25">
      <c r="K1593" s="26" t="s">
        <v>112</v>
      </c>
      <c r="L1593" s="27" t="s">
        <v>116</v>
      </c>
      <c r="M1593" s="10">
        <v>77.017868145409736</v>
      </c>
    </row>
    <row r="1594" spans="11:13" x14ac:dyDescent="0.25">
      <c r="K1594" s="26" t="s">
        <v>112</v>
      </c>
      <c r="L1594" s="27" t="s">
        <v>117</v>
      </c>
      <c r="M1594" s="10">
        <v>756.79304013635442</v>
      </c>
    </row>
    <row r="1595" spans="11:13" x14ac:dyDescent="0.25">
      <c r="K1595" s="26" t="s">
        <v>112</v>
      </c>
      <c r="L1595" s="27" t="s">
        <v>118</v>
      </c>
      <c r="M1595" s="10">
        <v>987.12135669959264</v>
      </c>
    </row>
    <row r="1596" spans="11:13" x14ac:dyDescent="0.25">
      <c r="K1596" s="26" t="s">
        <v>112</v>
      </c>
      <c r="L1596" s="27" t="s">
        <v>119</v>
      </c>
      <c r="M1596" s="10">
        <v>27.726432532347506</v>
      </c>
    </row>
    <row r="1597" spans="11:13" x14ac:dyDescent="0.25">
      <c r="K1597" s="26" t="s">
        <v>112</v>
      </c>
      <c r="L1597" s="27" t="s">
        <v>115</v>
      </c>
      <c r="M1597" s="10">
        <v>77.017868145409736</v>
      </c>
    </row>
    <row r="1598" spans="11:13" x14ac:dyDescent="0.25">
      <c r="K1598" s="26" t="s">
        <v>110</v>
      </c>
      <c r="L1598" s="27" t="s">
        <v>116</v>
      </c>
      <c r="M1598" s="10">
        <v>315.24953789279112</v>
      </c>
    </row>
    <row r="1599" spans="11:13" x14ac:dyDescent="0.25">
      <c r="K1599" s="26" t="s">
        <v>110</v>
      </c>
      <c r="L1599" s="27" t="s">
        <v>117</v>
      </c>
      <c r="M1599" s="10">
        <v>37.850875178021781</v>
      </c>
    </row>
    <row r="1600" spans="11:13" x14ac:dyDescent="0.25">
      <c r="K1600" s="26" t="s">
        <v>109</v>
      </c>
      <c r="L1600" s="27" t="s">
        <v>118</v>
      </c>
      <c r="M1600" s="10">
        <v>66.137566137566139</v>
      </c>
    </row>
    <row r="1601" spans="11:13" x14ac:dyDescent="0.25">
      <c r="K1601" s="26" t="s">
        <v>110</v>
      </c>
      <c r="L1601" s="27" t="s">
        <v>119</v>
      </c>
      <c r="M1601" s="10">
        <v>18.317198933939025</v>
      </c>
    </row>
    <row r="1602" spans="11:13" x14ac:dyDescent="0.25">
      <c r="K1602" s="26" t="s">
        <v>110</v>
      </c>
      <c r="L1602" s="27" t="s">
        <v>115</v>
      </c>
      <c r="M1602" s="10">
        <v>25.696041524803107</v>
      </c>
    </row>
    <row r="1603" spans="11:13" x14ac:dyDescent="0.25">
      <c r="K1603" s="26" t="s">
        <v>109</v>
      </c>
      <c r="L1603" s="27" t="s">
        <v>116</v>
      </c>
      <c r="M1603" s="10">
        <v>51.706308169596689</v>
      </c>
    </row>
    <row r="1604" spans="11:13" x14ac:dyDescent="0.25">
      <c r="K1604" s="26" t="s">
        <v>109</v>
      </c>
      <c r="L1604" s="27" t="s">
        <v>117</v>
      </c>
      <c r="M1604" s="10">
        <v>4.8500881834215166</v>
      </c>
    </row>
    <row r="1605" spans="11:13" x14ac:dyDescent="0.25">
      <c r="K1605" s="26" t="s">
        <v>112</v>
      </c>
      <c r="L1605" s="27" t="s">
        <v>118</v>
      </c>
      <c r="M1605" s="10">
        <v>68.941744226128904</v>
      </c>
    </row>
    <row r="1606" spans="11:13" x14ac:dyDescent="0.25">
      <c r="K1606" s="26" t="s">
        <v>111</v>
      </c>
      <c r="L1606" s="27" t="s">
        <v>119</v>
      </c>
      <c r="M1606" s="10">
        <v>34.470872113064452</v>
      </c>
    </row>
    <row r="1607" spans="11:13" x14ac:dyDescent="0.25">
      <c r="K1607" s="26" t="s">
        <v>109</v>
      </c>
      <c r="L1607" s="27" t="s">
        <v>115</v>
      </c>
      <c r="M1607" s="10">
        <v>61.614294516327789</v>
      </c>
    </row>
    <row r="1608" spans="11:13" x14ac:dyDescent="0.25">
      <c r="K1608" s="26" t="s">
        <v>111</v>
      </c>
      <c r="L1608" s="27" t="s">
        <v>116</v>
      </c>
      <c r="M1608" s="10">
        <v>46.210720887245841</v>
      </c>
    </row>
    <row r="1609" spans="11:13" x14ac:dyDescent="0.25">
      <c r="K1609" s="26" t="s">
        <v>111</v>
      </c>
      <c r="L1609" s="27" t="s">
        <v>117</v>
      </c>
      <c r="M1609" s="10">
        <v>423.59419675950437</v>
      </c>
    </row>
    <row r="1610" spans="11:13" x14ac:dyDescent="0.25">
      <c r="K1610" s="26" t="s">
        <v>110</v>
      </c>
      <c r="L1610" s="27" t="s">
        <v>118</v>
      </c>
      <c r="M1610" s="10">
        <v>38.508934072704868</v>
      </c>
    </row>
    <row r="1611" spans="11:13" x14ac:dyDescent="0.25">
      <c r="K1611" s="26" t="s">
        <v>111</v>
      </c>
      <c r="L1611" s="27" t="s">
        <v>119</v>
      </c>
      <c r="M1611" s="10">
        <v>2.2749999999999999</v>
      </c>
    </row>
    <row r="1612" spans="11:13" x14ac:dyDescent="0.25">
      <c r="K1612" s="26" t="s">
        <v>112</v>
      </c>
      <c r="L1612" s="27" t="s">
        <v>115</v>
      </c>
      <c r="M1612" s="10">
        <v>178.52766354969</v>
      </c>
    </row>
    <row r="1613" spans="11:13" x14ac:dyDescent="0.25">
      <c r="K1613" s="26" t="s">
        <v>110</v>
      </c>
      <c r="L1613" s="27" t="s">
        <v>116</v>
      </c>
      <c r="M1613" s="10">
        <v>1.5</v>
      </c>
    </row>
    <row r="1614" spans="11:13" x14ac:dyDescent="0.25">
      <c r="K1614" s="26" t="s">
        <v>110</v>
      </c>
      <c r="L1614" s="27" t="s">
        <v>117</v>
      </c>
      <c r="M1614" s="10">
        <v>110.22927689594357</v>
      </c>
    </row>
    <row r="1615" spans="11:13" x14ac:dyDescent="0.25">
      <c r="K1615" s="26" t="s">
        <v>112</v>
      </c>
      <c r="L1615" s="27" t="s">
        <v>118</v>
      </c>
      <c r="M1615" s="10">
        <v>6.8941744226128918</v>
      </c>
    </row>
    <row r="1616" spans="11:13" x14ac:dyDescent="0.25">
      <c r="K1616" s="26" t="s">
        <v>112</v>
      </c>
      <c r="L1616" s="27" t="s">
        <v>119</v>
      </c>
      <c r="M1616" s="10">
        <v>308.07147258163894</v>
      </c>
    </row>
    <row r="1617" spans="11:13" x14ac:dyDescent="0.25">
      <c r="K1617" s="26" t="s">
        <v>112</v>
      </c>
      <c r="L1617" s="27" t="s">
        <v>115</v>
      </c>
      <c r="M1617" s="10">
        <v>138.63216266173754</v>
      </c>
    </row>
    <row r="1618" spans="11:13" x14ac:dyDescent="0.25">
      <c r="K1618" s="26" t="s">
        <v>112</v>
      </c>
      <c r="L1618" s="27" t="s">
        <v>116</v>
      </c>
      <c r="M1618" s="10">
        <v>200</v>
      </c>
    </row>
    <row r="1619" spans="11:13" x14ac:dyDescent="0.25">
      <c r="K1619" s="26" t="s">
        <v>112</v>
      </c>
      <c r="L1619" s="27" t="s">
        <v>117</v>
      </c>
      <c r="M1619" s="10">
        <v>55</v>
      </c>
    </row>
    <row r="1620" spans="11:13" x14ac:dyDescent="0.25">
      <c r="K1620" s="26" t="s">
        <v>112</v>
      </c>
      <c r="L1620" s="27" t="s">
        <v>118</v>
      </c>
      <c r="M1620" s="10">
        <v>123.22858903265558</v>
      </c>
    </row>
    <row r="1621" spans="11:13" x14ac:dyDescent="0.25">
      <c r="K1621" s="26" t="s">
        <v>112</v>
      </c>
      <c r="L1621" s="27" t="s">
        <v>119</v>
      </c>
      <c r="M1621" s="10">
        <v>410.95235907566502</v>
      </c>
    </row>
    <row r="1622" spans="11:13" x14ac:dyDescent="0.25">
      <c r="K1622" s="26" t="s">
        <v>112</v>
      </c>
      <c r="L1622" s="27" t="s">
        <v>115</v>
      </c>
      <c r="M1622" s="10">
        <v>382.3350970017637</v>
      </c>
    </row>
    <row r="1623" spans="11:13" x14ac:dyDescent="0.25">
      <c r="K1623" s="26" t="s">
        <v>112</v>
      </c>
      <c r="L1623" s="27" t="s">
        <v>116</v>
      </c>
      <c r="M1623" s="10">
        <v>18.317198933939025</v>
      </c>
    </row>
    <row r="1624" spans="11:13" x14ac:dyDescent="0.25">
      <c r="K1624" s="26" t="s">
        <v>112</v>
      </c>
      <c r="L1624" s="27" t="s">
        <v>117</v>
      </c>
      <c r="M1624" s="10">
        <v>105.89854918987609</v>
      </c>
    </row>
    <row r="1625" spans="11:13" x14ac:dyDescent="0.25">
      <c r="K1625" s="26" t="s">
        <v>112</v>
      </c>
      <c r="L1625" s="27" t="s">
        <v>118</v>
      </c>
      <c r="M1625" s="10">
        <v>16.294606485253382</v>
      </c>
    </row>
    <row r="1626" spans="11:13" x14ac:dyDescent="0.25">
      <c r="K1626" s="26" t="s">
        <v>112</v>
      </c>
      <c r="L1626" s="27" t="s">
        <v>119</v>
      </c>
      <c r="M1626" s="10">
        <v>211.79709837975219</v>
      </c>
    </row>
    <row r="1627" spans="11:13" x14ac:dyDescent="0.25">
      <c r="K1627" s="26" t="s">
        <v>112</v>
      </c>
      <c r="L1627" s="27" t="s">
        <v>115</v>
      </c>
      <c r="M1627" s="10">
        <v>211.79709837975219</v>
      </c>
    </row>
    <row r="1628" spans="11:13" x14ac:dyDescent="0.25">
      <c r="K1628" s="26" t="s">
        <v>112</v>
      </c>
      <c r="L1628" s="27" t="s">
        <v>116</v>
      </c>
      <c r="M1628" s="10">
        <v>211.79709837975219</v>
      </c>
    </row>
    <row r="1629" spans="11:13" x14ac:dyDescent="0.25">
      <c r="K1629" s="26" t="s">
        <v>112</v>
      </c>
      <c r="L1629" s="27" t="s">
        <v>117</v>
      </c>
      <c r="M1629" s="10">
        <v>146.5375914715122</v>
      </c>
    </row>
    <row r="1630" spans="11:13" x14ac:dyDescent="0.25">
      <c r="K1630" s="26" t="s">
        <v>112</v>
      </c>
      <c r="L1630" s="27" t="s">
        <v>118</v>
      </c>
      <c r="M1630" s="10">
        <v>256.96041524803104</v>
      </c>
    </row>
    <row r="1631" spans="11:13" x14ac:dyDescent="0.25">
      <c r="K1631" s="26" t="s">
        <v>112</v>
      </c>
      <c r="L1631" s="27" t="s">
        <v>119</v>
      </c>
      <c r="M1631" s="10">
        <v>66.137566137566139</v>
      </c>
    </row>
    <row r="1632" spans="11:13" x14ac:dyDescent="0.25">
      <c r="K1632" s="26" t="s">
        <v>110</v>
      </c>
      <c r="L1632" s="27" t="s">
        <v>115</v>
      </c>
      <c r="M1632" s="10">
        <v>103.41261633919338</v>
      </c>
    </row>
    <row r="1633" spans="11:13" x14ac:dyDescent="0.25">
      <c r="K1633" s="26" t="s">
        <v>110</v>
      </c>
      <c r="L1633" s="27" t="s">
        <v>116</v>
      </c>
      <c r="M1633" s="10">
        <v>211.79709837975219</v>
      </c>
    </row>
    <row r="1634" spans="11:13" x14ac:dyDescent="0.25">
      <c r="K1634" s="26" t="s">
        <v>110</v>
      </c>
      <c r="L1634" s="27" t="s">
        <v>117</v>
      </c>
      <c r="M1634" s="10">
        <v>128.48020762401552</v>
      </c>
    </row>
    <row r="1635" spans="11:13" x14ac:dyDescent="0.25">
      <c r="K1635" s="26" t="s">
        <v>110</v>
      </c>
      <c r="L1635" s="27" t="s">
        <v>118</v>
      </c>
      <c r="M1635" s="10">
        <v>103.41261633919338</v>
      </c>
    </row>
    <row r="1636" spans="11:13" x14ac:dyDescent="0.25">
      <c r="K1636" s="26" t="s">
        <v>109</v>
      </c>
      <c r="L1636" s="27" t="s">
        <v>119</v>
      </c>
      <c r="M1636" s="10">
        <v>154.65167548500884</v>
      </c>
    </row>
    <row r="1637" spans="11:13" x14ac:dyDescent="0.25">
      <c r="K1637" s="26" t="s">
        <v>109</v>
      </c>
      <c r="L1637" s="27" t="s">
        <v>115</v>
      </c>
      <c r="M1637" s="10">
        <v>120</v>
      </c>
    </row>
    <row r="1638" spans="11:13" x14ac:dyDescent="0.25">
      <c r="K1638" s="26" t="s">
        <v>109</v>
      </c>
      <c r="L1638" s="27" t="s">
        <v>116</v>
      </c>
      <c r="M1638" s="10">
        <v>26.474637297469023</v>
      </c>
    </row>
    <row r="1639" spans="11:13" x14ac:dyDescent="0.25">
      <c r="K1639" s="26" t="s">
        <v>109</v>
      </c>
      <c r="L1639" s="27" t="s">
        <v>117</v>
      </c>
      <c r="M1639" s="10">
        <v>960.72310405643736</v>
      </c>
    </row>
    <row r="1640" spans="11:13" x14ac:dyDescent="0.25">
      <c r="K1640" s="26" t="s">
        <v>109</v>
      </c>
      <c r="L1640" s="27" t="s">
        <v>118</v>
      </c>
      <c r="M1640" s="10">
        <v>55.114638447971785</v>
      </c>
    </row>
    <row r="1641" spans="11:13" x14ac:dyDescent="0.25">
      <c r="K1641" s="26" t="s">
        <v>111</v>
      </c>
      <c r="L1641" s="27" t="s">
        <v>119</v>
      </c>
      <c r="M1641" s="10">
        <v>55.114638447971785</v>
      </c>
    </row>
    <row r="1642" spans="11:13" x14ac:dyDescent="0.25">
      <c r="K1642" s="26" t="s">
        <v>111</v>
      </c>
      <c r="L1642" s="27" t="s">
        <v>115</v>
      </c>
      <c r="M1642" s="10">
        <v>55.114638447971785</v>
      </c>
    </row>
    <row r="1643" spans="11:13" x14ac:dyDescent="0.25">
      <c r="K1643" s="26" t="s">
        <v>111</v>
      </c>
      <c r="L1643" s="27" t="s">
        <v>116</v>
      </c>
      <c r="M1643" s="10">
        <v>44.091710758377424</v>
      </c>
    </row>
    <row r="1644" spans="11:13" x14ac:dyDescent="0.25">
      <c r="K1644" s="26" t="s">
        <v>111</v>
      </c>
      <c r="L1644" s="27" t="s">
        <v>117</v>
      </c>
      <c r="M1644" s="10">
        <v>44.091710758377424</v>
      </c>
    </row>
    <row r="1645" spans="11:13" x14ac:dyDescent="0.25">
      <c r="K1645" s="26" t="s">
        <v>110</v>
      </c>
      <c r="L1645" s="27" t="s">
        <v>118</v>
      </c>
      <c r="M1645" s="10">
        <v>44.091710758377424</v>
      </c>
    </row>
    <row r="1646" spans="11:13" x14ac:dyDescent="0.25">
      <c r="K1646" s="26" t="s">
        <v>110</v>
      </c>
      <c r="L1646" s="27" t="s">
        <v>119</v>
      </c>
      <c r="M1646" s="10">
        <v>44.091710758377424</v>
      </c>
    </row>
    <row r="1647" spans="11:13" x14ac:dyDescent="0.25">
      <c r="K1647" s="26" t="s">
        <v>112</v>
      </c>
      <c r="L1647" s="27" t="s">
        <v>115</v>
      </c>
      <c r="M1647" s="10">
        <v>55.114638447971785</v>
      </c>
    </row>
    <row r="1648" spans="11:13" x14ac:dyDescent="0.25">
      <c r="K1648" s="26" t="s">
        <v>112</v>
      </c>
      <c r="L1648" s="27" t="s">
        <v>116</v>
      </c>
      <c r="M1648" s="10">
        <v>44.091710758377424</v>
      </c>
    </row>
    <row r="1649" spans="11:13" x14ac:dyDescent="0.25">
      <c r="K1649" s="26" t="s">
        <v>112</v>
      </c>
      <c r="L1649" s="27" t="s">
        <v>117</v>
      </c>
      <c r="M1649" s="10">
        <v>55.114638447971785</v>
      </c>
    </row>
    <row r="1650" spans="11:13" x14ac:dyDescent="0.25">
      <c r="K1650" s="26" t="s">
        <v>112</v>
      </c>
      <c r="L1650" s="27" t="s">
        <v>118</v>
      </c>
      <c r="M1650" s="10">
        <v>44.091710758377424</v>
      </c>
    </row>
    <row r="1651" spans="11:13" x14ac:dyDescent="0.25">
      <c r="K1651" s="26" t="s">
        <v>112</v>
      </c>
      <c r="L1651" s="27" t="s">
        <v>119</v>
      </c>
      <c r="M1651" s="10">
        <v>44.091710758377424</v>
      </c>
    </row>
    <row r="1652" spans="11:13" x14ac:dyDescent="0.25">
      <c r="K1652" s="26" t="s">
        <v>112</v>
      </c>
      <c r="L1652" s="27" t="s">
        <v>115</v>
      </c>
      <c r="M1652" s="10">
        <v>44.091710758377424</v>
      </c>
    </row>
    <row r="1653" spans="11:13" x14ac:dyDescent="0.25">
      <c r="K1653" s="26" t="s">
        <v>112</v>
      </c>
      <c r="L1653" s="27" t="s">
        <v>116</v>
      </c>
      <c r="M1653" s="10">
        <v>44.091710758377424</v>
      </c>
    </row>
    <row r="1654" spans="11:13" x14ac:dyDescent="0.25">
      <c r="K1654" s="26" t="s">
        <v>112</v>
      </c>
      <c r="L1654" s="27" t="s">
        <v>117</v>
      </c>
      <c r="M1654" s="10">
        <v>44.091710758377424</v>
      </c>
    </row>
    <row r="1655" spans="11:13" x14ac:dyDescent="0.25">
      <c r="K1655" s="26" t="s">
        <v>112</v>
      </c>
      <c r="L1655" s="27" t="s">
        <v>118</v>
      </c>
      <c r="M1655" s="10">
        <v>44.091710758377424</v>
      </c>
    </row>
    <row r="1656" spans="11:13" x14ac:dyDescent="0.25">
      <c r="K1656" s="26" t="s">
        <v>112</v>
      </c>
      <c r="L1656" s="27" t="s">
        <v>119</v>
      </c>
      <c r="M1656" s="10">
        <v>44.091710758377424</v>
      </c>
    </row>
    <row r="1657" spans="11:13" x14ac:dyDescent="0.25">
      <c r="K1657" s="26" t="s">
        <v>112</v>
      </c>
      <c r="L1657" s="27" t="s">
        <v>115</v>
      </c>
      <c r="M1657" s="10">
        <v>55.114638447971785</v>
      </c>
    </row>
    <row r="1658" spans="11:13" x14ac:dyDescent="0.25">
      <c r="K1658" s="26" t="s">
        <v>112</v>
      </c>
      <c r="L1658" s="27" t="s">
        <v>116</v>
      </c>
      <c r="M1658" s="10">
        <v>220.45855379188714</v>
      </c>
    </row>
    <row r="1659" spans="11:13" x14ac:dyDescent="0.25">
      <c r="K1659" s="26" t="s">
        <v>112</v>
      </c>
      <c r="L1659" s="27" t="s">
        <v>117</v>
      </c>
      <c r="M1659" s="10">
        <v>256.84522442229064</v>
      </c>
    </row>
    <row r="1660" spans="11:13" x14ac:dyDescent="0.25">
      <c r="K1660" s="26" t="s">
        <v>112</v>
      </c>
      <c r="L1660" s="27" t="s">
        <v>118</v>
      </c>
      <c r="M1660" s="10">
        <v>1058.985491898761</v>
      </c>
    </row>
    <row r="1661" spans="11:13" x14ac:dyDescent="0.25">
      <c r="K1661" s="26" t="s">
        <v>112</v>
      </c>
      <c r="L1661" s="27" t="s">
        <v>119</v>
      </c>
      <c r="M1661" s="10">
        <v>529.49274594938049</v>
      </c>
    </row>
    <row r="1662" spans="11:13" x14ac:dyDescent="0.25">
      <c r="K1662" s="26" t="s">
        <v>112</v>
      </c>
      <c r="L1662" s="27" t="s">
        <v>115</v>
      </c>
      <c r="M1662" s="10">
        <v>529.49274594938049</v>
      </c>
    </row>
    <row r="1663" spans="11:13" x14ac:dyDescent="0.25">
      <c r="K1663" s="26" t="s">
        <v>112</v>
      </c>
      <c r="L1663" s="27" t="s">
        <v>116</v>
      </c>
      <c r="M1663" s="10">
        <v>423.59419675950437</v>
      </c>
    </row>
    <row r="1664" spans="11:13" x14ac:dyDescent="0.25">
      <c r="K1664" s="26" t="s">
        <v>112</v>
      </c>
      <c r="L1664" s="27" t="s">
        <v>117</v>
      </c>
      <c r="M1664" s="10">
        <v>154.03573629081947</v>
      </c>
    </row>
    <row r="1665" spans="11:13" x14ac:dyDescent="0.25">
      <c r="K1665" s="26" t="s">
        <v>112</v>
      </c>
      <c r="L1665" s="27" t="s">
        <v>118</v>
      </c>
      <c r="M1665" s="10">
        <v>462.10720887245844</v>
      </c>
    </row>
    <row r="1666" spans="11:13" x14ac:dyDescent="0.25">
      <c r="K1666" s="26" t="s">
        <v>112</v>
      </c>
      <c r="L1666" s="27" t="s">
        <v>119</v>
      </c>
      <c r="M1666" s="10">
        <v>39.182463200254155</v>
      </c>
    </row>
    <row r="1667" spans="11:13" x14ac:dyDescent="0.25">
      <c r="K1667" s="26" t="s">
        <v>112</v>
      </c>
      <c r="L1667" s="27" t="s">
        <v>115</v>
      </c>
      <c r="M1667" s="10">
        <v>150</v>
      </c>
    </row>
    <row r="1668" spans="11:13" x14ac:dyDescent="0.25">
      <c r="K1668" s="26" t="s">
        <v>112</v>
      </c>
      <c r="L1668" s="27" t="s">
        <v>116</v>
      </c>
      <c r="M1668" s="10">
        <v>231.05360443622922</v>
      </c>
    </row>
    <row r="1669" spans="11:13" x14ac:dyDescent="0.25">
      <c r="K1669" s="26" t="s">
        <v>112</v>
      </c>
      <c r="L1669" s="27" t="s">
        <v>117</v>
      </c>
      <c r="M1669" s="10">
        <v>6.8941744226128918</v>
      </c>
    </row>
    <row r="1670" spans="11:13" x14ac:dyDescent="0.25">
      <c r="K1670" s="26" t="s">
        <v>110</v>
      </c>
      <c r="L1670" s="27" t="s">
        <v>118</v>
      </c>
      <c r="M1670" s="10">
        <v>6.8941744226128918</v>
      </c>
    </row>
    <row r="1671" spans="11:13" x14ac:dyDescent="0.25">
      <c r="K1671" s="26" t="s">
        <v>110</v>
      </c>
      <c r="L1671" s="27" t="s">
        <v>119</v>
      </c>
      <c r="M1671" s="10">
        <v>61.614294516327789</v>
      </c>
    </row>
    <row r="1672" spans="11:13" x14ac:dyDescent="0.25">
      <c r="K1672" s="26" t="s">
        <v>110</v>
      </c>
      <c r="L1672" s="27" t="s">
        <v>115</v>
      </c>
      <c r="M1672" s="10">
        <v>77.017868145409736</v>
      </c>
    </row>
    <row r="1673" spans="11:13" x14ac:dyDescent="0.25">
      <c r="K1673" s="26" t="s">
        <v>110</v>
      </c>
      <c r="L1673" s="27" t="s">
        <v>116</v>
      </c>
      <c r="M1673" s="10">
        <v>123.22858903265558</v>
      </c>
    </row>
    <row r="1674" spans="11:13" x14ac:dyDescent="0.25">
      <c r="K1674" s="26" t="s">
        <v>109</v>
      </c>
      <c r="L1674" s="27" t="s">
        <v>117</v>
      </c>
      <c r="M1674" s="10">
        <v>134.01109057301295</v>
      </c>
    </row>
    <row r="1675" spans="11:13" x14ac:dyDescent="0.25">
      <c r="K1675" s="26" t="s">
        <v>110</v>
      </c>
      <c r="L1675" s="27" t="s">
        <v>118</v>
      </c>
      <c r="M1675" s="10">
        <v>5.4951596801817066</v>
      </c>
    </row>
    <row r="1676" spans="11:13" x14ac:dyDescent="0.25">
      <c r="K1676" s="26" t="s">
        <v>109</v>
      </c>
      <c r="L1676" s="27" t="s">
        <v>119</v>
      </c>
      <c r="M1676" s="10">
        <v>10.990319360363413</v>
      </c>
    </row>
    <row r="1677" spans="11:13" x14ac:dyDescent="0.25">
      <c r="K1677" s="26" t="s">
        <v>109</v>
      </c>
      <c r="L1677" s="27" t="s">
        <v>115</v>
      </c>
      <c r="M1677" s="10">
        <v>924.21441774491689</v>
      </c>
    </row>
    <row r="1678" spans="11:13" x14ac:dyDescent="0.25">
      <c r="K1678" s="26" t="s">
        <v>111</v>
      </c>
      <c r="L1678" s="27" t="s">
        <v>116</v>
      </c>
      <c r="M1678" s="10">
        <v>2.4091189155884165</v>
      </c>
    </row>
    <row r="1679" spans="11:13" x14ac:dyDescent="0.25">
      <c r="K1679" s="26" t="s">
        <v>109</v>
      </c>
      <c r="L1679" s="27" t="s">
        <v>117</v>
      </c>
      <c r="M1679" s="10">
        <v>23.105360443622921</v>
      </c>
    </row>
    <row r="1680" spans="11:13" x14ac:dyDescent="0.25">
      <c r="K1680" s="26" t="s">
        <v>111</v>
      </c>
      <c r="L1680" s="27" t="s">
        <v>118</v>
      </c>
      <c r="M1680" s="10">
        <v>4.9603174603174605</v>
      </c>
    </row>
    <row r="1681" spans="11:13" x14ac:dyDescent="0.25">
      <c r="K1681" s="26" t="s">
        <v>111</v>
      </c>
      <c r="L1681" s="27" t="s">
        <v>119</v>
      </c>
      <c r="M1681" s="10">
        <v>6.8941744226128918</v>
      </c>
    </row>
    <row r="1682" spans="11:13" x14ac:dyDescent="0.25">
      <c r="K1682" s="26" t="s">
        <v>111</v>
      </c>
      <c r="L1682" s="27" t="s">
        <v>115</v>
      </c>
      <c r="M1682" s="10">
        <v>6.8941744226128918</v>
      </c>
    </row>
    <row r="1683" spans="11:13" x14ac:dyDescent="0.25">
      <c r="K1683" s="26" t="s">
        <v>110</v>
      </c>
      <c r="L1683" s="27" t="s">
        <v>116</v>
      </c>
      <c r="M1683" s="10">
        <v>6.8941744226128918</v>
      </c>
    </row>
    <row r="1684" spans="11:13" x14ac:dyDescent="0.25">
      <c r="K1684" s="26" t="s">
        <v>112</v>
      </c>
      <c r="L1684" s="27" t="s">
        <v>117</v>
      </c>
      <c r="M1684" s="10">
        <v>6.8941744226128918</v>
      </c>
    </row>
    <row r="1685" spans="11:13" x14ac:dyDescent="0.25">
      <c r="K1685" s="26" t="s">
        <v>112</v>
      </c>
      <c r="L1685" s="27" t="s">
        <v>118</v>
      </c>
      <c r="M1685" s="10">
        <v>6.8941744226128918</v>
      </c>
    </row>
    <row r="1686" spans="11:13" x14ac:dyDescent="0.25">
      <c r="K1686" s="26" t="s">
        <v>112</v>
      </c>
      <c r="L1686" s="27" t="s">
        <v>119</v>
      </c>
      <c r="M1686" s="10">
        <v>6.8941744226128918</v>
      </c>
    </row>
    <row r="1687" spans="11:13" x14ac:dyDescent="0.25">
      <c r="K1687" s="26" t="s">
        <v>110</v>
      </c>
      <c r="L1687" s="27" t="s">
        <v>115</v>
      </c>
      <c r="M1687" s="10">
        <v>137.88348845225781</v>
      </c>
    </row>
    <row r="1688" spans="11:13" x14ac:dyDescent="0.25">
      <c r="K1688" s="26" t="s">
        <v>110</v>
      </c>
      <c r="L1688" s="27" t="s">
        <v>116</v>
      </c>
      <c r="M1688" s="10">
        <v>65.494657014822465</v>
      </c>
    </row>
    <row r="1689" spans="11:13" x14ac:dyDescent="0.25">
      <c r="K1689" s="26" t="s">
        <v>112</v>
      </c>
      <c r="L1689" s="27" t="s">
        <v>117</v>
      </c>
      <c r="M1689" s="10">
        <v>10.341261633919338</v>
      </c>
    </row>
    <row r="1690" spans="11:13" x14ac:dyDescent="0.25">
      <c r="K1690" s="26" t="s">
        <v>112</v>
      </c>
      <c r="L1690" s="27" t="s">
        <v>118</v>
      </c>
      <c r="M1690" s="10">
        <v>68.689496002271341</v>
      </c>
    </row>
    <row r="1691" spans="11:13" x14ac:dyDescent="0.25">
      <c r="K1691" s="26" t="s">
        <v>112</v>
      </c>
      <c r="L1691" s="27" t="s">
        <v>119</v>
      </c>
      <c r="M1691" s="10">
        <v>462.10720887245844</v>
      </c>
    </row>
    <row r="1692" spans="11:13" x14ac:dyDescent="0.25">
      <c r="K1692" s="26" t="s">
        <v>112</v>
      </c>
      <c r="L1692" s="27" t="s">
        <v>115</v>
      </c>
      <c r="M1692" s="10">
        <v>42.365976861658794</v>
      </c>
    </row>
    <row r="1693" spans="11:13" x14ac:dyDescent="0.25">
      <c r="K1693" s="26" t="s">
        <v>112</v>
      </c>
      <c r="L1693" s="27" t="s">
        <v>116</v>
      </c>
      <c r="M1693" s="10">
        <v>16.294606485253382</v>
      </c>
    </row>
    <row r="1694" spans="11:13" x14ac:dyDescent="0.25">
      <c r="K1694" s="26" t="s">
        <v>112</v>
      </c>
      <c r="L1694" s="27" t="s">
        <v>117</v>
      </c>
      <c r="M1694" s="10">
        <v>15.4320987654321</v>
      </c>
    </row>
    <row r="1695" spans="11:13" x14ac:dyDescent="0.25">
      <c r="K1695" s="26" t="s">
        <v>112</v>
      </c>
      <c r="L1695" s="27" t="s">
        <v>118</v>
      </c>
      <c r="M1695" s="10">
        <v>16.294606485253382</v>
      </c>
    </row>
    <row r="1696" spans="11:13" x14ac:dyDescent="0.25">
      <c r="K1696" s="26" t="s">
        <v>112</v>
      </c>
      <c r="L1696" s="27" t="s">
        <v>119</v>
      </c>
      <c r="M1696" s="10">
        <v>4.0215088805605346</v>
      </c>
    </row>
    <row r="1697" spans="11:13" x14ac:dyDescent="0.25">
      <c r="K1697" s="26" t="s">
        <v>112</v>
      </c>
      <c r="L1697" s="27" t="s">
        <v>115</v>
      </c>
      <c r="M1697" s="10">
        <v>1.7</v>
      </c>
    </row>
    <row r="1698" spans="11:13" x14ac:dyDescent="0.25">
      <c r="K1698" s="26" t="s">
        <v>112</v>
      </c>
      <c r="L1698" s="27" t="s">
        <v>116</v>
      </c>
      <c r="M1698" s="10">
        <v>68.25</v>
      </c>
    </row>
    <row r="1699" spans="11:13" x14ac:dyDescent="0.25">
      <c r="K1699" s="26" t="s">
        <v>112</v>
      </c>
      <c r="L1699" s="27" t="s">
        <v>117</v>
      </c>
      <c r="M1699" s="10">
        <v>15.403573629081947</v>
      </c>
    </row>
    <row r="1700" spans="11:13" x14ac:dyDescent="0.25">
      <c r="K1700" s="26" t="s">
        <v>112</v>
      </c>
      <c r="L1700" s="27" t="s">
        <v>118</v>
      </c>
      <c r="M1700" s="10">
        <v>30.807147258163894</v>
      </c>
    </row>
    <row r="1701" spans="11:13" x14ac:dyDescent="0.25">
      <c r="K1701" s="26" t="s">
        <v>112</v>
      </c>
      <c r="L1701" s="27" t="s">
        <v>119</v>
      </c>
      <c r="M1701" s="10">
        <v>15.403573629081947</v>
      </c>
    </row>
    <row r="1702" spans="11:13" x14ac:dyDescent="0.25">
      <c r="K1702" s="26" t="s">
        <v>110</v>
      </c>
      <c r="L1702" s="27" t="s">
        <v>115</v>
      </c>
      <c r="M1702" s="10">
        <v>12.322858903265558</v>
      </c>
    </row>
    <row r="1703" spans="11:13" x14ac:dyDescent="0.25">
      <c r="K1703" s="26" t="s">
        <v>110</v>
      </c>
      <c r="L1703" s="27" t="s">
        <v>116</v>
      </c>
      <c r="M1703" s="10">
        <v>7.7017868145409736</v>
      </c>
    </row>
    <row r="1704" spans="11:13" x14ac:dyDescent="0.25">
      <c r="K1704" s="26" t="s">
        <v>110</v>
      </c>
      <c r="L1704" s="27" t="s">
        <v>117</v>
      </c>
      <c r="M1704" s="10">
        <v>10.012322858903266</v>
      </c>
    </row>
    <row r="1705" spans="11:13" x14ac:dyDescent="0.25">
      <c r="K1705" s="26" t="s">
        <v>110</v>
      </c>
      <c r="L1705" s="27" t="s">
        <v>118</v>
      </c>
      <c r="M1705" s="10">
        <v>154.03573629081947</v>
      </c>
    </row>
    <row r="1706" spans="11:13" x14ac:dyDescent="0.25">
      <c r="K1706" s="26" t="s">
        <v>113</v>
      </c>
      <c r="L1706" s="27" t="s">
        <v>119</v>
      </c>
      <c r="M1706" s="10">
        <v>53.912507701786815</v>
      </c>
    </row>
    <row r="1707" spans="11:13" x14ac:dyDescent="0.25">
      <c r="K1707" s="26" t="s">
        <v>109</v>
      </c>
      <c r="L1707" s="27" t="s">
        <v>115</v>
      </c>
      <c r="M1707" s="10">
        <v>154.03573629081947</v>
      </c>
    </row>
    <row r="1708" spans="11:13" x14ac:dyDescent="0.25">
      <c r="K1708" s="26" t="s">
        <v>110</v>
      </c>
      <c r="L1708" s="27" t="s">
        <v>116</v>
      </c>
      <c r="M1708" s="10">
        <v>130.93037584719656</v>
      </c>
    </row>
    <row r="1709" spans="11:13" x14ac:dyDescent="0.25">
      <c r="K1709" s="26" t="s">
        <v>110</v>
      </c>
      <c r="L1709" s="27" t="s">
        <v>117</v>
      </c>
      <c r="M1709" s="10">
        <v>30.807147258163894</v>
      </c>
    </row>
    <row r="1710" spans="11:13" x14ac:dyDescent="0.25">
      <c r="K1710" s="26" t="s">
        <v>110</v>
      </c>
      <c r="L1710" s="27" t="s">
        <v>118</v>
      </c>
      <c r="M1710" s="10">
        <v>200</v>
      </c>
    </row>
    <row r="1711" spans="11:13" x14ac:dyDescent="0.25">
      <c r="K1711" s="26" t="s">
        <v>111</v>
      </c>
      <c r="L1711" s="27" t="s">
        <v>119</v>
      </c>
      <c r="M1711" s="10">
        <v>385.08934072704869</v>
      </c>
    </row>
    <row r="1712" spans="11:13" x14ac:dyDescent="0.25">
      <c r="K1712" s="26" t="s">
        <v>111</v>
      </c>
      <c r="L1712" s="27" t="s">
        <v>115</v>
      </c>
      <c r="M1712" s="10">
        <v>269.5625385089341</v>
      </c>
    </row>
    <row r="1713" spans="11:13" x14ac:dyDescent="0.25">
      <c r="K1713" s="26" t="s">
        <v>111</v>
      </c>
      <c r="L1713" s="27" t="s">
        <v>116</v>
      </c>
      <c r="M1713" s="10">
        <v>5.0017227913814493</v>
      </c>
    </row>
    <row r="1714" spans="11:13" x14ac:dyDescent="0.25">
      <c r="K1714" s="26" t="s">
        <v>110</v>
      </c>
      <c r="L1714" s="27" t="s">
        <v>117</v>
      </c>
      <c r="M1714" s="10">
        <v>33.06878306878307</v>
      </c>
    </row>
    <row r="1715" spans="11:13" x14ac:dyDescent="0.25">
      <c r="K1715" s="26" t="s">
        <v>111</v>
      </c>
      <c r="L1715" s="27" t="s">
        <v>118</v>
      </c>
      <c r="M1715" s="10">
        <v>9.5553257497414688</v>
      </c>
    </row>
    <row r="1716" spans="11:13" x14ac:dyDescent="0.25">
      <c r="K1716" s="26" t="s">
        <v>111</v>
      </c>
      <c r="L1716" s="27" t="s">
        <v>119</v>
      </c>
      <c r="M1716" s="10">
        <v>144.3241622574956</v>
      </c>
    </row>
    <row r="1717" spans="11:13" x14ac:dyDescent="0.25">
      <c r="K1717" s="26" t="s">
        <v>112</v>
      </c>
      <c r="L1717" s="27" t="s">
        <v>115</v>
      </c>
      <c r="M1717" s="10">
        <v>105.89854918987609</v>
      </c>
    </row>
    <row r="1718" spans="11:13" x14ac:dyDescent="0.25">
      <c r="K1718" s="26" t="s">
        <v>112</v>
      </c>
      <c r="L1718" s="27" t="s">
        <v>116</v>
      </c>
      <c r="M1718" s="10">
        <v>64.24010381200776</v>
      </c>
    </row>
    <row r="1719" spans="11:13" x14ac:dyDescent="0.25">
      <c r="K1719" s="26" t="s">
        <v>110</v>
      </c>
      <c r="L1719" s="27" t="s">
        <v>117</v>
      </c>
      <c r="M1719" s="10">
        <v>154.17624914881864</v>
      </c>
    </row>
    <row r="1720" spans="11:13" x14ac:dyDescent="0.25">
      <c r="K1720" s="26" t="s">
        <v>112</v>
      </c>
      <c r="L1720" s="27" t="s">
        <v>118</v>
      </c>
      <c r="M1720" s="10">
        <v>211.79709837975219</v>
      </c>
    </row>
    <row r="1721" spans="11:13" x14ac:dyDescent="0.25">
      <c r="K1721" s="26" t="s">
        <v>112</v>
      </c>
      <c r="L1721" s="27" t="s">
        <v>119</v>
      </c>
      <c r="M1721" s="10">
        <v>211.79709837975219</v>
      </c>
    </row>
    <row r="1722" spans="11:13" x14ac:dyDescent="0.25">
      <c r="K1722" s="26" t="s">
        <v>112</v>
      </c>
      <c r="L1722" s="27" t="s">
        <v>115</v>
      </c>
      <c r="M1722" s="10">
        <v>84.718839351900883</v>
      </c>
    </row>
    <row r="1723" spans="11:13" x14ac:dyDescent="0.25">
      <c r="K1723" s="26" t="s">
        <v>112</v>
      </c>
      <c r="L1723" s="27" t="s">
        <v>116</v>
      </c>
      <c r="M1723" s="10">
        <v>97.934193121693127</v>
      </c>
    </row>
    <row r="1724" spans="11:13" x14ac:dyDescent="0.25">
      <c r="K1724" s="26" t="s">
        <v>112</v>
      </c>
      <c r="L1724" s="27" t="s">
        <v>117</v>
      </c>
      <c r="M1724" s="10">
        <v>43.258143060596318</v>
      </c>
    </row>
    <row r="1725" spans="11:13" x14ac:dyDescent="0.25">
      <c r="K1725" s="26" t="s">
        <v>112</v>
      </c>
      <c r="L1725" s="27" t="s">
        <v>118</v>
      </c>
      <c r="M1725" s="10">
        <v>110.22927689594357</v>
      </c>
    </row>
    <row r="1726" spans="11:13" x14ac:dyDescent="0.25">
      <c r="K1726" s="26" t="s">
        <v>112</v>
      </c>
      <c r="L1726" s="27" t="s">
        <v>119</v>
      </c>
      <c r="M1726" s="10">
        <v>30</v>
      </c>
    </row>
    <row r="1727" spans="11:13" x14ac:dyDescent="0.25">
      <c r="K1727" s="26" t="s">
        <v>112</v>
      </c>
      <c r="L1727" s="27" t="s">
        <v>115</v>
      </c>
      <c r="M1727" s="10">
        <v>30</v>
      </c>
    </row>
    <row r="1728" spans="11:13" x14ac:dyDescent="0.25">
      <c r="K1728" s="26" t="s">
        <v>112</v>
      </c>
      <c r="L1728" s="27" t="s">
        <v>116</v>
      </c>
      <c r="M1728" s="10">
        <v>46</v>
      </c>
    </row>
    <row r="1729" spans="11:13" x14ac:dyDescent="0.25">
      <c r="K1729" s="26" t="s">
        <v>112</v>
      </c>
      <c r="L1729" s="27" t="s">
        <v>117</v>
      </c>
      <c r="M1729" s="10">
        <v>5.5153395380903127</v>
      </c>
    </row>
    <row r="1730" spans="11:13" x14ac:dyDescent="0.25">
      <c r="K1730" s="26" t="s">
        <v>112</v>
      </c>
      <c r="L1730" s="27" t="s">
        <v>118</v>
      </c>
      <c r="M1730" s="10">
        <v>15.403573629081947</v>
      </c>
    </row>
    <row r="1731" spans="11:13" x14ac:dyDescent="0.25">
      <c r="K1731" s="26" t="s">
        <v>112</v>
      </c>
      <c r="L1731" s="27" t="s">
        <v>119</v>
      </c>
      <c r="M1731" s="10">
        <v>61.614294516327789</v>
      </c>
    </row>
    <row r="1732" spans="11:13" x14ac:dyDescent="0.25">
      <c r="K1732" s="26" t="s">
        <v>112</v>
      </c>
      <c r="L1732" s="27" t="s">
        <v>115</v>
      </c>
      <c r="M1732" s="10">
        <v>9.2421441774491679</v>
      </c>
    </row>
    <row r="1733" spans="11:13" x14ac:dyDescent="0.25">
      <c r="K1733" s="26" t="s">
        <v>112</v>
      </c>
      <c r="L1733" s="27" t="s">
        <v>116</v>
      </c>
      <c r="M1733" s="10">
        <v>77.017868145409736</v>
      </c>
    </row>
    <row r="1734" spans="11:13" x14ac:dyDescent="0.25">
      <c r="K1734" s="26" t="s">
        <v>112</v>
      </c>
      <c r="L1734" s="27" t="s">
        <v>117</v>
      </c>
      <c r="M1734" s="10">
        <v>329.04045223319753</v>
      </c>
    </row>
    <row r="1735" spans="11:13" x14ac:dyDescent="0.25">
      <c r="K1735" s="26" t="s">
        <v>112</v>
      </c>
      <c r="L1735" s="27" t="s">
        <v>118</v>
      </c>
      <c r="M1735" s="10">
        <v>154.32098765432099</v>
      </c>
    </row>
    <row r="1736" spans="11:13" x14ac:dyDescent="0.25">
      <c r="K1736" s="26" t="s">
        <v>112</v>
      </c>
      <c r="L1736" s="27" t="s">
        <v>119</v>
      </c>
      <c r="M1736" s="10">
        <v>77.160493827160494</v>
      </c>
    </row>
    <row r="1737" spans="11:13" x14ac:dyDescent="0.25">
      <c r="K1737" s="26" t="s">
        <v>110</v>
      </c>
      <c r="L1737" s="27" t="s">
        <v>115</v>
      </c>
      <c r="M1737" s="10">
        <v>77.088124574409321</v>
      </c>
    </row>
    <row r="1738" spans="11:13" x14ac:dyDescent="0.25">
      <c r="K1738" s="26" t="s">
        <v>110</v>
      </c>
      <c r="L1738" s="27" t="s">
        <v>116</v>
      </c>
      <c r="M1738" s="10">
        <v>105.89854918987609</v>
      </c>
    </row>
    <row r="1739" spans="11:13" x14ac:dyDescent="0.25">
      <c r="K1739" s="26" t="s">
        <v>110</v>
      </c>
      <c r="L1739" s="27" t="s">
        <v>117</v>
      </c>
      <c r="M1739" s="10">
        <v>293.80257936507934</v>
      </c>
    </row>
    <row r="1740" spans="11:13" x14ac:dyDescent="0.25">
      <c r="K1740" s="26" t="s">
        <v>112</v>
      </c>
      <c r="L1740" s="27" t="s">
        <v>118</v>
      </c>
      <c r="M1740" s="10">
        <v>81.030710639332298</v>
      </c>
    </row>
    <row r="1741" spans="11:13" x14ac:dyDescent="0.25">
      <c r="K1741" s="26" t="s">
        <v>112</v>
      </c>
      <c r="L1741" s="27" t="s">
        <v>119</v>
      </c>
      <c r="M1741" s="10">
        <v>344.88056053446309</v>
      </c>
    </row>
    <row r="1742" spans="11:13" x14ac:dyDescent="0.25">
      <c r="K1742" s="26" t="s">
        <v>112</v>
      </c>
      <c r="L1742" s="27" t="s">
        <v>115</v>
      </c>
      <c r="M1742" s="10">
        <v>39.743418936922865</v>
      </c>
    </row>
    <row r="1743" spans="11:13" x14ac:dyDescent="0.25">
      <c r="K1743" s="26" t="s">
        <v>112</v>
      </c>
      <c r="L1743" s="27" t="s">
        <v>116</v>
      </c>
      <c r="M1743" s="10">
        <v>66.137566137566139</v>
      </c>
    </row>
    <row r="1744" spans="11:13" x14ac:dyDescent="0.25">
      <c r="K1744" s="26" t="s">
        <v>112</v>
      </c>
      <c r="L1744" s="27" t="s">
        <v>117</v>
      </c>
      <c r="M1744" s="10">
        <v>66.137566137566139</v>
      </c>
    </row>
    <row r="1745" spans="11:13" x14ac:dyDescent="0.25">
      <c r="K1745" s="26" t="s">
        <v>112</v>
      </c>
      <c r="L1745" s="27" t="s">
        <v>118</v>
      </c>
      <c r="M1745" s="10">
        <v>44.091710758377424</v>
      </c>
    </row>
    <row r="1746" spans="11:13" x14ac:dyDescent="0.25">
      <c r="K1746" s="26" t="s">
        <v>112</v>
      </c>
      <c r="L1746" s="27" t="s">
        <v>119</v>
      </c>
      <c r="M1746" s="10">
        <v>66.137566137566139</v>
      </c>
    </row>
    <row r="1747" spans="11:13" x14ac:dyDescent="0.25">
      <c r="K1747" s="26" t="s">
        <v>112</v>
      </c>
      <c r="L1747" s="27" t="s">
        <v>115</v>
      </c>
      <c r="M1747" s="10">
        <v>66.137566137566139</v>
      </c>
    </row>
    <row r="1748" spans="11:13" x14ac:dyDescent="0.25">
      <c r="K1748" s="26" t="s">
        <v>112</v>
      </c>
      <c r="L1748" s="27" t="s">
        <v>116</v>
      </c>
      <c r="M1748" s="10">
        <v>110.22927689594357</v>
      </c>
    </row>
    <row r="1749" spans="11:13" x14ac:dyDescent="0.25">
      <c r="K1749" s="26" t="s">
        <v>112</v>
      </c>
      <c r="L1749" s="27" t="s">
        <v>117</v>
      </c>
      <c r="M1749" s="10">
        <v>110.22927689594357</v>
      </c>
    </row>
    <row r="1750" spans="11:13" x14ac:dyDescent="0.25">
      <c r="K1750" s="26" t="s">
        <v>112</v>
      </c>
      <c r="L1750" s="27" t="s">
        <v>118</v>
      </c>
      <c r="M1750" s="10">
        <v>130</v>
      </c>
    </row>
    <row r="1751" spans="11:13" x14ac:dyDescent="0.25">
      <c r="K1751" s="26" t="s">
        <v>112</v>
      </c>
      <c r="L1751" s="27" t="s">
        <v>119</v>
      </c>
      <c r="M1751" s="10">
        <v>77.017868145409736</v>
      </c>
    </row>
    <row r="1752" spans="11:13" x14ac:dyDescent="0.25">
      <c r="K1752" s="26" t="s">
        <v>112</v>
      </c>
      <c r="L1752" s="27" t="s">
        <v>115</v>
      </c>
      <c r="M1752" s="10">
        <v>10.782501540357364</v>
      </c>
    </row>
    <row r="1753" spans="11:13" x14ac:dyDescent="0.25">
      <c r="K1753" s="26" t="s">
        <v>112</v>
      </c>
      <c r="L1753" s="27" t="s">
        <v>116</v>
      </c>
      <c r="M1753" s="10">
        <v>106.87199630314232</v>
      </c>
    </row>
    <row r="1754" spans="11:13" x14ac:dyDescent="0.25">
      <c r="K1754" s="26" t="s">
        <v>112</v>
      </c>
      <c r="L1754" s="27" t="s">
        <v>117</v>
      </c>
      <c r="M1754" s="10">
        <v>29.765643869377694</v>
      </c>
    </row>
    <row r="1755" spans="11:13" x14ac:dyDescent="0.25">
      <c r="K1755" s="26" t="s">
        <v>112</v>
      </c>
      <c r="L1755" s="27" t="s">
        <v>118</v>
      </c>
      <c r="M1755" s="10">
        <v>140.17252002464573</v>
      </c>
    </row>
    <row r="1756" spans="11:13" x14ac:dyDescent="0.25">
      <c r="K1756" s="26" t="s">
        <v>112</v>
      </c>
      <c r="L1756" s="27" t="s">
        <v>119</v>
      </c>
      <c r="M1756" s="10">
        <v>4.621072088724584</v>
      </c>
    </row>
    <row r="1757" spans="11:13" x14ac:dyDescent="0.25">
      <c r="K1757" s="26" t="s">
        <v>112</v>
      </c>
      <c r="L1757" s="27" t="s">
        <v>115</v>
      </c>
      <c r="M1757" s="10">
        <v>329.04045223319753</v>
      </c>
    </row>
    <row r="1758" spans="11:13" x14ac:dyDescent="0.25">
      <c r="K1758" s="26" t="s">
        <v>112</v>
      </c>
      <c r="L1758" s="27" t="s">
        <v>116</v>
      </c>
      <c r="M1758" s="10">
        <v>45</v>
      </c>
    </row>
    <row r="1759" spans="11:13" x14ac:dyDescent="0.25">
      <c r="K1759" s="26" t="s">
        <v>112</v>
      </c>
      <c r="L1759" s="27" t="s">
        <v>117</v>
      </c>
      <c r="M1759" s="10">
        <v>70</v>
      </c>
    </row>
    <row r="1760" spans="11:13" x14ac:dyDescent="0.25">
      <c r="K1760" s="26" t="s">
        <v>112</v>
      </c>
      <c r="L1760" s="27" t="s">
        <v>118</v>
      </c>
      <c r="M1760" s="10">
        <v>220.45855379188714</v>
      </c>
    </row>
    <row r="1761" spans="11:13" x14ac:dyDescent="0.25">
      <c r="K1761" s="26" t="s">
        <v>110</v>
      </c>
      <c r="L1761" s="27" t="s">
        <v>119</v>
      </c>
      <c r="M1761" s="10">
        <v>97.767638911520294</v>
      </c>
    </row>
    <row r="1762" spans="11:13" x14ac:dyDescent="0.25">
      <c r="K1762" s="26" t="s">
        <v>109</v>
      </c>
      <c r="L1762" s="27" t="s">
        <v>115</v>
      </c>
      <c r="M1762" s="10">
        <v>50</v>
      </c>
    </row>
    <row r="1763" spans="11:13" x14ac:dyDescent="0.25">
      <c r="K1763" s="26" t="s">
        <v>109</v>
      </c>
      <c r="L1763" s="27" t="s">
        <v>116</v>
      </c>
      <c r="M1763" s="10">
        <v>220.45855379188714</v>
      </c>
    </row>
    <row r="1764" spans="11:13" x14ac:dyDescent="0.25">
      <c r="K1764" s="26" t="s">
        <v>109</v>
      </c>
      <c r="L1764" s="27" t="s">
        <v>117</v>
      </c>
      <c r="M1764" s="10">
        <v>43.130006161429456</v>
      </c>
    </row>
    <row r="1765" spans="11:13" x14ac:dyDescent="0.25">
      <c r="K1765" s="26" t="s">
        <v>110</v>
      </c>
      <c r="L1765" s="27" t="s">
        <v>118</v>
      </c>
      <c r="M1765" s="10">
        <v>44.091710758377424</v>
      </c>
    </row>
    <row r="1766" spans="11:13" x14ac:dyDescent="0.25">
      <c r="K1766" s="26" t="s">
        <v>113</v>
      </c>
      <c r="L1766" s="27" t="s">
        <v>119</v>
      </c>
      <c r="M1766" s="10">
        <v>44.091710758377424</v>
      </c>
    </row>
    <row r="1767" spans="11:13" x14ac:dyDescent="0.25">
      <c r="K1767" s="26" t="s">
        <v>113</v>
      </c>
      <c r="L1767" s="27" t="s">
        <v>115</v>
      </c>
      <c r="M1767" s="10">
        <v>44.091710758377424</v>
      </c>
    </row>
    <row r="1768" spans="11:13" x14ac:dyDescent="0.25">
      <c r="K1768" s="26" t="s">
        <v>113</v>
      </c>
      <c r="L1768" s="27" t="s">
        <v>116</v>
      </c>
      <c r="M1768" s="10">
        <v>44.091710758377424</v>
      </c>
    </row>
    <row r="1769" spans="11:13" x14ac:dyDescent="0.25">
      <c r="K1769" s="26" t="s">
        <v>109</v>
      </c>
      <c r="L1769" s="27" t="s">
        <v>117</v>
      </c>
      <c r="M1769" s="10">
        <v>32.412284255732921</v>
      </c>
    </row>
    <row r="1770" spans="11:13" x14ac:dyDescent="0.25">
      <c r="K1770" s="26" t="s">
        <v>111</v>
      </c>
      <c r="L1770" s="27" t="s">
        <v>118</v>
      </c>
      <c r="M1770" s="10">
        <v>4.0515355319666151</v>
      </c>
    </row>
    <row r="1771" spans="11:13" x14ac:dyDescent="0.25">
      <c r="K1771" s="26" t="s">
        <v>111</v>
      </c>
      <c r="L1771" s="27" t="s">
        <v>119</v>
      </c>
      <c r="M1771" s="10">
        <v>16.20614212786646</v>
      </c>
    </row>
    <row r="1772" spans="11:13" x14ac:dyDescent="0.25">
      <c r="K1772" s="26" t="s">
        <v>111</v>
      </c>
      <c r="L1772" s="27" t="s">
        <v>115</v>
      </c>
      <c r="M1772" s="10">
        <v>529.49274594938049</v>
      </c>
    </row>
    <row r="1773" spans="11:13" x14ac:dyDescent="0.25">
      <c r="K1773" s="26" t="s">
        <v>110</v>
      </c>
      <c r="L1773" s="27" t="s">
        <v>116</v>
      </c>
      <c r="M1773" s="10">
        <v>243.09213191799691</v>
      </c>
    </row>
    <row r="1774" spans="11:13" x14ac:dyDescent="0.25">
      <c r="K1774" s="26" t="s">
        <v>110</v>
      </c>
      <c r="L1774" s="27" t="s">
        <v>117</v>
      </c>
      <c r="M1774" s="10">
        <v>132.27513227513228</v>
      </c>
    </row>
    <row r="1775" spans="11:13" x14ac:dyDescent="0.25">
      <c r="K1775" s="26" t="s">
        <v>112</v>
      </c>
      <c r="L1775" s="27" t="s">
        <v>118</v>
      </c>
      <c r="M1775" s="10">
        <v>132.27513227513228</v>
      </c>
    </row>
    <row r="1776" spans="11:13" x14ac:dyDescent="0.25">
      <c r="K1776" s="26" t="s">
        <v>112</v>
      </c>
      <c r="L1776" s="27" t="s">
        <v>119</v>
      </c>
      <c r="M1776" s="10">
        <v>132.27513227513228</v>
      </c>
    </row>
    <row r="1777" spans="11:13" x14ac:dyDescent="0.25">
      <c r="K1777" s="26" t="s">
        <v>112</v>
      </c>
      <c r="L1777" s="27" t="s">
        <v>115</v>
      </c>
      <c r="M1777" s="10">
        <v>34.470872113064452</v>
      </c>
    </row>
    <row r="1778" spans="11:13" x14ac:dyDescent="0.25">
      <c r="K1778" s="26" t="s">
        <v>112</v>
      </c>
      <c r="L1778" s="27" t="s">
        <v>116</v>
      </c>
      <c r="M1778" s="10">
        <v>5511.4638447971784</v>
      </c>
    </row>
    <row r="1779" spans="11:13" x14ac:dyDescent="0.25">
      <c r="K1779" s="26" t="s">
        <v>112</v>
      </c>
      <c r="L1779" s="27" t="s">
        <v>117</v>
      </c>
      <c r="M1779" s="10">
        <v>529.49274594938049</v>
      </c>
    </row>
    <row r="1780" spans="11:13" x14ac:dyDescent="0.25">
      <c r="K1780" s="26" t="s">
        <v>112</v>
      </c>
      <c r="L1780" s="27" t="s">
        <v>118</v>
      </c>
      <c r="M1780" s="10">
        <v>440.91710758377428</v>
      </c>
    </row>
    <row r="1781" spans="11:13" x14ac:dyDescent="0.25">
      <c r="K1781" s="26" t="s">
        <v>112</v>
      </c>
      <c r="L1781" s="27" t="s">
        <v>119</v>
      </c>
      <c r="M1781" s="10">
        <v>100</v>
      </c>
    </row>
    <row r="1782" spans="11:13" x14ac:dyDescent="0.25">
      <c r="K1782" s="26" t="s">
        <v>112</v>
      </c>
      <c r="L1782" s="27" t="s">
        <v>115</v>
      </c>
      <c r="M1782" s="10">
        <v>45.846259910375728</v>
      </c>
    </row>
    <row r="1783" spans="11:13" x14ac:dyDescent="0.25">
      <c r="K1783" s="26" t="s">
        <v>112</v>
      </c>
      <c r="L1783" s="27" t="s">
        <v>116</v>
      </c>
      <c r="M1783" s="10">
        <v>8.617718028266113</v>
      </c>
    </row>
    <row r="1784" spans="11:13" x14ac:dyDescent="0.25">
      <c r="K1784" s="26" t="s">
        <v>112</v>
      </c>
      <c r="L1784" s="27" t="s">
        <v>117</v>
      </c>
      <c r="M1784" s="10">
        <v>22.045855379188712</v>
      </c>
    </row>
    <row r="1785" spans="11:13" x14ac:dyDescent="0.25">
      <c r="K1785" s="26" t="s">
        <v>112</v>
      </c>
      <c r="L1785" s="27" t="s">
        <v>118</v>
      </c>
      <c r="M1785" s="10">
        <v>6.8941744226128918</v>
      </c>
    </row>
    <row r="1786" spans="11:13" x14ac:dyDescent="0.25">
      <c r="K1786" s="26" t="s">
        <v>112</v>
      </c>
      <c r="L1786" s="27" t="s">
        <v>119</v>
      </c>
      <c r="M1786" s="10">
        <v>44.091710758377424</v>
      </c>
    </row>
    <row r="1787" spans="11:13" x14ac:dyDescent="0.25">
      <c r="K1787" s="26" t="s">
        <v>112</v>
      </c>
      <c r="L1787" s="27" t="s">
        <v>115</v>
      </c>
      <c r="M1787" s="10">
        <v>44.091710758377424</v>
      </c>
    </row>
    <row r="1788" spans="11:13" x14ac:dyDescent="0.25">
      <c r="K1788" s="26" t="s">
        <v>112</v>
      </c>
      <c r="L1788" s="27" t="s">
        <v>116</v>
      </c>
      <c r="M1788" s="10">
        <v>44.091710758377424</v>
      </c>
    </row>
    <row r="1789" spans="11:13" x14ac:dyDescent="0.25">
      <c r="K1789" s="26" t="s">
        <v>112</v>
      </c>
      <c r="L1789" s="27" t="s">
        <v>117</v>
      </c>
      <c r="M1789" s="10">
        <v>44.091710758377424</v>
      </c>
    </row>
    <row r="1790" spans="11:13" x14ac:dyDescent="0.25">
      <c r="K1790" s="26" t="s">
        <v>112</v>
      </c>
      <c r="L1790" s="27" t="s">
        <v>118</v>
      </c>
      <c r="M1790" s="10">
        <v>55.114638447971785</v>
      </c>
    </row>
    <row r="1791" spans="11:13" x14ac:dyDescent="0.25">
      <c r="K1791" s="26" t="s">
        <v>112</v>
      </c>
      <c r="L1791" s="27" t="s">
        <v>119</v>
      </c>
      <c r="M1791" s="10">
        <v>44.091710758377424</v>
      </c>
    </row>
    <row r="1792" spans="11:13" x14ac:dyDescent="0.25">
      <c r="K1792" s="26" t="s">
        <v>112</v>
      </c>
      <c r="L1792" s="27" t="s">
        <v>115</v>
      </c>
      <c r="M1792" s="10">
        <v>27.475798400908538</v>
      </c>
    </row>
    <row r="1793" spans="11:13" x14ac:dyDescent="0.25">
      <c r="K1793" s="26" t="s">
        <v>109</v>
      </c>
      <c r="L1793" s="27" t="s">
        <v>116</v>
      </c>
      <c r="M1793" s="10">
        <v>44.091710758377424</v>
      </c>
    </row>
    <row r="1794" spans="11:13" x14ac:dyDescent="0.25">
      <c r="K1794" s="26" t="s">
        <v>109</v>
      </c>
      <c r="L1794" s="27" t="s">
        <v>117</v>
      </c>
      <c r="M1794" s="10">
        <v>4.1365046535677346</v>
      </c>
    </row>
    <row r="1795" spans="11:13" x14ac:dyDescent="0.25">
      <c r="K1795" s="26" t="s">
        <v>113</v>
      </c>
      <c r="L1795" s="27" t="s">
        <v>118</v>
      </c>
      <c r="M1795" s="10">
        <v>17.999537892791125</v>
      </c>
    </row>
    <row r="1796" spans="11:13" x14ac:dyDescent="0.25">
      <c r="K1796" s="26" t="s">
        <v>110</v>
      </c>
      <c r="L1796" s="27" t="s">
        <v>119</v>
      </c>
      <c r="M1796" s="10">
        <v>385.08934072704869</v>
      </c>
    </row>
    <row r="1797" spans="11:13" x14ac:dyDescent="0.25">
      <c r="K1797" s="26" t="s">
        <v>110</v>
      </c>
      <c r="L1797" s="27" t="s">
        <v>115</v>
      </c>
      <c r="M1797" s="10">
        <v>46.210720887245841</v>
      </c>
    </row>
    <row r="1798" spans="11:13" x14ac:dyDescent="0.25">
      <c r="K1798" s="26" t="s">
        <v>113</v>
      </c>
      <c r="L1798" s="27" t="s">
        <v>116</v>
      </c>
      <c r="M1798" s="10">
        <v>51.706308169596689</v>
      </c>
    </row>
    <row r="1799" spans="11:13" x14ac:dyDescent="0.25">
      <c r="K1799" s="26" t="s">
        <v>113</v>
      </c>
      <c r="L1799" s="27" t="s">
        <v>117</v>
      </c>
      <c r="M1799" s="10">
        <v>56.67011375387797</v>
      </c>
    </row>
    <row r="1800" spans="11:13" x14ac:dyDescent="0.25">
      <c r="K1800" s="26" t="s">
        <v>109</v>
      </c>
      <c r="L1800" s="27" t="s">
        <v>118</v>
      </c>
      <c r="M1800" s="10">
        <v>391.73686067019401</v>
      </c>
    </row>
    <row r="1801" spans="11:13" x14ac:dyDescent="0.25">
      <c r="K1801" s="26" t="s">
        <v>111</v>
      </c>
      <c r="L1801" s="27" t="s">
        <v>119</v>
      </c>
      <c r="M1801" s="10">
        <v>661.37566137566137</v>
      </c>
    </row>
    <row r="1802" spans="11:13" x14ac:dyDescent="0.25">
      <c r="K1802" s="26" t="s">
        <v>111</v>
      </c>
      <c r="L1802" s="27" t="s">
        <v>115</v>
      </c>
      <c r="M1802" s="10">
        <v>25.696041524803107</v>
      </c>
    </row>
    <row r="1803" spans="11:13" x14ac:dyDescent="0.25">
      <c r="K1803" s="26" t="s">
        <v>110</v>
      </c>
      <c r="L1803" s="27" t="s">
        <v>116</v>
      </c>
      <c r="M1803" s="10">
        <v>34.470872113064452</v>
      </c>
    </row>
    <row r="1804" spans="11:13" x14ac:dyDescent="0.25">
      <c r="K1804" s="26" t="s">
        <v>112</v>
      </c>
      <c r="L1804" s="27" t="s">
        <v>117</v>
      </c>
      <c r="M1804" s="10">
        <v>206.82523267838675</v>
      </c>
    </row>
    <row r="1805" spans="11:13" x14ac:dyDescent="0.25">
      <c r="K1805" s="26" t="s">
        <v>112</v>
      </c>
      <c r="L1805" s="27" t="s">
        <v>118</v>
      </c>
      <c r="M1805" s="10">
        <v>121.54606595899845</v>
      </c>
    </row>
    <row r="1806" spans="11:13" x14ac:dyDescent="0.25">
      <c r="K1806" s="26" t="s">
        <v>112</v>
      </c>
      <c r="L1806" s="27" t="s">
        <v>119</v>
      </c>
      <c r="M1806" s="10">
        <v>154.03573629081947</v>
      </c>
    </row>
    <row r="1807" spans="11:13" x14ac:dyDescent="0.25">
      <c r="K1807" s="26" t="s">
        <v>112</v>
      </c>
      <c r="L1807" s="27" t="s">
        <v>115</v>
      </c>
      <c r="M1807" s="10">
        <v>66.137566137566139</v>
      </c>
    </row>
    <row r="1808" spans="11:13" x14ac:dyDescent="0.25">
      <c r="K1808" s="26" t="s">
        <v>112</v>
      </c>
      <c r="L1808" s="27" t="s">
        <v>116</v>
      </c>
      <c r="M1808" s="10">
        <v>308.07147258163894</v>
      </c>
    </row>
    <row r="1809" spans="11:13" x14ac:dyDescent="0.25">
      <c r="K1809" s="26" t="s">
        <v>112</v>
      </c>
      <c r="L1809" s="27" t="s">
        <v>117</v>
      </c>
      <c r="M1809" s="10">
        <v>107.82501540357363</v>
      </c>
    </row>
    <row r="1810" spans="11:13" x14ac:dyDescent="0.25">
      <c r="K1810" s="26" t="s">
        <v>112</v>
      </c>
      <c r="L1810" s="27" t="s">
        <v>118</v>
      </c>
      <c r="M1810" s="10">
        <v>52.949274594938046</v>
      </c>
    </row>
    <row r="1811" spans="11:13" x14ac:dyDescent="0.25">
      <c r="K1811" s="26" t="s">
        <v>112</v>
      </c>
      <c r="L1811" s="27" t="s">
        <v>119</v>
      </c>
      <c r="M1811" s="10">
        <v>52.949274594938046</v>
      </c>
    </row>
    <row r="1812" spans="11:13" x14ac:dyDescent="0.25">
      <c r="K1812" s="26" t="s">
        <v>112</v>
      </c>
      <c r="L1812" s="27" t="s">
        <v>115</v>
      </c>
      <c r="M1812" s="10">
        <v>52.949274594938046</v>
      </c>
    </row>
    <row r="1813" spans="11:13" x14ac:dyDescent="0.25">
      <c r="K1813" s="26" t="s">
        <v>112</v>
      </c>
      <c r="L1813" s="27" t="s">
        <v>116</v>
      </c>
      <c r="M1813" s="10">
        <v>26.186075169439309</v>
      </c>
    </row>
    <row r="1814" spans="11:13" x14ac:dyDescent="0.25">
      <c r="K1814" s="26" t="s">
        <v>112</v>
      </c>
      <c r="L1814" s="27" t="s">
        <v>117</v>
      </c>
      <c r="M1814" s="10">
        <v>26.474637297469023</v>
      </c>
    </row>
    <row r="1815" spans="11:13" x14ac:dyDescent="0.25">
      <c r="K1815" s="26" t="s">
        <v>112</v>
      </c>
      <c r="L1815" s="27" t="s">
        <v>118</v>
      </c>
      <c r="M1815" s="10">
        <v>10.341261633919338</v>
      </c>
    </row>
    <row r="1816" spans="11:13" x14ac:dyDescent="0.25">
      <c r="K1816" s="26" t="s">
        <v>112</v>
      </c>
      <c r="L1816" s="27" t="s">
        <v>119</v>
      </c>
      <c r="M1816" s="10">
        <v>66.137566137566139</v>
      </c>
    </row>
    <row r="1817" spans="11:13" x14ac:dyDescent="0.25">
      <c r="K1817" s="26" t="s">
        <v>112</v>
      </c>
      <c r="L1817" s="27" t="s">
        <v>115</v>
      </c>
      <c r="M1817" s="10">
        <v>220.45855379188714</v>
      </c>
    </row>
    <row r="1818" spans="11:13" x14ac:dyDescent="0.25">
      <c r="K1818" s="26" t="s">
        <v>112</v>
      </c>
      <c r="L1818" s="27" t="s">
        <v>116</v>
      </c>
      <c r="M1818" s="10">
        <v>114.6384479717813</v>
      </c>
    </row>
    <row r="1819" spans="11:13" x14ac:dyDescent="0.25">
      <c r="K1819" s="26" t="s">
        <v>112</v>
      </c>
      <c r="L1819" s="27" t="s">
        <v>117</v>
      </c>
      <c r="M1819" s="10">
        <v>48.618426383599385</v>
      </c>
    </row>
    <row r="1820" spans="11:13" x14ac:dyDescent="0.25">
      <c r="K1820" s="26" t="s">
        <v>109</v>
      </c>
      <c r="L1820" s="27" t="s">
        <v>118</v>
      </c>
      <c r="M1820" s="10">
        <v>202.57677659833075</v>
      </c>
    </row>
    <row r="1821" spans="11:13" x14ac:dyDescent="0.25">
      <c r="K1821" s="26" t="s">
        <v>110</v>
      </c>
      <c r="L1821" s="27" t="s">
        <v>119</v>
      </c>
      <c r="M1821" s="10">
        <v>81.030710639332298</v>
      </c>
    </row>
    <row r="1822" spans="11:13" x14ac:dyDescent="0.25">
      <c r="K1822" s="26" t="s">
        <v>113</v>
      </c>
      <c r="L1822" s="27" t="s">
        <v>115</v>
      </c>
      <c r="M1822" s="10">
        <v>529.49274594938049</v>
      </c>
    </row>
    <row r="1823" spans="11:13" x14ac:dyDescent="0.25">
      <c r="K1823" s="26" t="s">
        <v>113</v>
      </c>
      <c r="L1823" s="27" t="s">
        <v>116</v>
      </c>
      <c r="M1823" s="10">
        <v>53.912507701786815</v>
      </c>
    </row>
    <row r="1824" spans="11:13" x14ac:dyDescent="0.25">
      <c r="K1824" s="26" t="s">
        <v>109</v>
      </c>
      <c r="L1824" s="27" t="s">
        <v>117</v>
      </c>
      <c r="M1824" s="10">
        <v>30.8641975308642</v>
      </c>
    </row>
    <row r="1825" spans="11:13" x14ac:dyDescent="0.25">
      <c r="K1825" s="26" t="s">
        <v>110</v>
      </c>
      <c r="L1825" s="27" t="s">
        <v>118</v>
      </c>
      <c r="M1825" s="10">
        <v>110.22927689594357</v>
      </c>
    </row>
    <row r="1826" spans="11:13" x14ac:dyDescent="0.25">
      <c r="K1826" s="26" t="s">
        <v>111</v>
      </c>
      <c r="L1826" s="27" t="s">
        <v>119</v>
      </c>
      <c r="M1826" s="10">
        <v>52.949274594938046</v>
      </c>
    </row>
    <row r="1827" spans="11:13" x14ac:dyDescent="0.25">
      <c r="K1827" s="26" t="s">
        <v>111</v>
      </c>
      <c r="L1827" s="27" t="s">
        <v>115</v>
      </c>
      <c r="M1827" s="10">
        <v>107.82501540357363</v>
      </c>
    </row>
    <row r="1828" spans="11:13" x14ac:dyDescent="0.25">
      <c r="K1828" s="26" t="s">
        <v>111</v>
      </c>
      <c r="L1828" s="27" t="s">
        <v>116</v>
      </c>
      <c r="M1828" s="10">
        <v>81.030710639332298</v>
      </c>
    </row>
    <row r="1829" spans="11:13" x14ac:dyDescent="0.25">
      <c r="K1829" s="26" t="s">
        <v>110</v>
      </c>
      <c r="L1829" s="27" t="s">
        <v>117</v>
      </c>
      <c r="M1829" s="10">
        <v>60</v>
      </c>
    </row>
    <row r="1830" spans="11:13" x14ac:dyDescent="0.25">
      <c r="K1830" s="26" t="s">
        <v>109</v>
      </c>
      <c r="L1830" s="27" t="s">
        <v>118</v>
      </c>
      <c r="M1830" s="10">
        <v>440.91710758377428</v>
      </c>
    </row>
    <row r="1831" spans="11:13" x14ac:dyDescent="0.25">
      <c r="K1831" s="26" t="s">
        <v>110</v>
      </c>
      <c r="L1831" s="27" t="s">
        <v>119</v>
      </c>
      <c r="M1831" s="10">
        <v>13.227513227513228</v>
      </c>
    </row>
    <row r="1832" spans="11:13" x14ac:dyDescent="0.25">
      <c r="K1832" s="26" t="s">
        <v>112</v>
      </c>
      <c r="L1832" s="27" t="s">
        <v>115</v>
      </c>
      <c r="M1832" s="10">
        <v>308.07147258163894</v>
      </c>
    </row>
    <row r="1833" spans="11:13" x14ac:dyDescent="0.25">
      <c r="K1833" s="26" t="s">
        <v>112</v>
      </c>
      <c r="L1833" s="27" t="s">
        <v>116</v>
      </c>
      <c r="M1833" s="10">
        <v>123.22858903265558</v>
      </c>
    </row>
    <row r="1834" spans="11:13" x14ac:dyDescent="0.25">
      <c r="K1834" s="26" t="s">
        <v>112</v>
      </c>
      <c r="L1834" s="27" t="s">
        <v>117</v>
      </c>
      <c r="M1834" s="10">
        <v>50</v>
      </c>
    </row>
    <row r="1835" spans="11:13" x14ac:dyDescent="0.25">
      <c r="K1835" s="26" t="s">
        <v>112</v>
      </c>
      <c r="L1835" s="27" t="s">
        <v>118</v>
      </c>
      <c r="M1835" s="10">
        <v>44.091710758377424</v>
      </c>
    </row>
    <row r="1836" spans="11:13" x14ac:dyDescent="0.25">
      <c r="K1836" s="26" t="s">
        <v>112</v>
      </c>
      <c r="L1836" s="27" t="s">
        <v>119</v>
      </c>
      <c r="M1836" s="10">
        <v>44.091710758377424</v>
      </c>
    </row>
    <row r="1837" spans="11:13" x14ac:dyDescent="0.25">
      <c r="K1837" s="26" t="s">
        <v>112</v>
      </c>
      <c r="L1837" s="27" t="s">
        <v>115</v>
      </c>
      <c r="M1837" s="10">
        <v>132.27513227513228</v>
      </c>
    </row>
    <row r="1838" spans="11:13" x14ac:dyDescent="0.25">
      <c r="K1838" s="26" t="s">
        <v>112</v>
      </c>
      <c r="L1838" s="27" t="s">
        <v>116</v>
      </c>
      <c r="M1838" s="10">
        <v>11.375</v>
      </c>
    </row>
    <row r="1839" spans="11:13" x14ac:dyDescent="0.25">
      <c r="K1839" s="26" t="s">
        <v>112</v>
      </c>
      <c r="L1839" s="27" t="s">
        <v>117</v>
      </c>
      <c r="M1839" s="10">
        <v>26.186075169439309</v>
      </c>
    </row>
    <row r="1840" spans="11:13" x14ac:dyDescent="0.25">
      <c r="K1840" s="26" t="s">
        <v>112</v>
      </c>
      <c r="L1840" s="27" t="s">
        <v>118</v>
      </c>
      <c r="M1840" s="10">
        <v>50</v>
      </c>
    </row>
    <row r="1841" spans="11:13" x14ac:dyDescent="0.25">
      <c r="K1841" s="26" t="s">
        <v>112</v>
      </c>
      <c r="L1841" s="27" t="s">
        <v>119</v>
      </c>
      <c r="M1841" s="10">
        <v>400</v>
      </c>
    </row>
    <row r="1842" spans="11:13" x14ac:dyDescent="0.25">
      <c r="K1842" s="26" t="s">
        <v>112</v>
      </c>
      <c r="L1842" s="27" t="s">
        <v>115</v>
      </c>
      <c r="M1842" s="10">
        <v>32.589212970506765</v>
      </c>
    </row>
    <row r="1843" spans="11:13" x14ac:dyDescent="0.25">
      <c r="K1843" s="26" t="s">
        <v>112</v>
      </c>
      <c r="L1843" s="27" t="s">
        <v>116</v>
      </c>
      <c r="M1843" s="10">
        <v>80</v>
      </c>
    </row>
    <row r="1844" spans="11:13" x14ac:dyDescent="0.25">
      <c r="K1844" s="26" t="s">
        <v>112</v>
      </c>
      <c r="L1844" s="27" t="s">
        <v>117</v>
      </c>
      <c r="M1844" s="10">
        <v>44.091710758377424</v>
      </c>
    </row>
    <row r="1845" spans="11:13" x14ac:dyDescent="0.25">
      <c r="K1845" s="26" t="s">
        <v>109</v>
      </c>
      <c r="L1845" s="27" t="s">
        <v>118</v>
      </c>
      <c r="M1845" s="10">
        <v>73.2687957357561</v>
      </c>
    </row>
    <row r="1846" spans="11:13" x14ac:dyDescent="0.25">
      <c r="K1846" s="26" t="s">
        <v>110</v>
      </c>
      <c r="L1846" s="27" t="s">
        <v>119</v>
      </c>
      <c r="M1846" s="10">
        <v>27.475798400908538</v>
      </c>
    </row>
    <row r="1847" spans="11:13" x14ac:dyDescent="0.25">
      <c r="K1847" s="26" t="s">
        <v>110</v>
      </c>
      <c r="L1847" s="27" t="s">
        <v>115</v>
      </c>
      <c r="M1847" s="10">
        <v>34.492830058600482</v>
      </c>
    </row>
    <row r="1848" spans="11:13" x14ac:dyDescent="0.25">
      <c r="K1848" s="26" t="s">
        <v>113</v>
      </c>
      <c r="L1848" s="27" t="s">
        <v>116</v>
      </c>
      <c r="M1848" s="10">
        <v>137.88348845225781</v>
      </c>
    </row>
    <row r="1849" spans="11:13" x14ac:dyDescent="0.25">
      <c r="K1849" s="26" t="s">
        <v>109</v>
      </c>
      <c r="L1849" s="27" t="s">
        <v>117</v>
      </c>
      <c r="M1849" s="10">
        <v>2.5853154084798344</v>
      </c>
    </row>
    <row r="1850" spans="11:13" x14ac:dyDescent="0.25">
      <c r="K1850" s="26" t="s">
        <v>111</v>
      </c>
      <c r="L1850" s="27" t="s">
        <v>118</v>
      </c>
      <c r="M1850" s="10">
        <v>109.90319360363415</v>
      </c>
    </row>
    <row r="1851" spans="11:13" x14ac:dyDescent="0.25">
      <c r="K1851" s="26" t="s">
        <v>109</v>
      </c>
      <c r="L1851" s="27" t="s">
        <v>119</v>
      </c>
      <c r="M1851" s="10">
        <v>137.37899200454268</v>
      </c>
    </row>
    <row r="1852" spans="11:13" x14ac:dyDescent="0.25">
      <c r="K1852" s="26" t="s">
        <v>112</v>
      </c>
      <c r="L1852" s="27" t="s">
        <v>115</v>
      </c>
      <c r="M1852" s="10">
        <v>41.213697601362803</v>
      </c>
    </row>
    <row r="1853" spans="11:13" x14ac:dyDescent="0.25">
      <c r="K1853" s="26" t="s">
        <v>112</v>
      </c>
      <c r="L1853" s="27" t="s">
        <v>116</v>
      </c>
      <c r="M1853" s="10">
        <v>27.475798400908538</v>
      </c>
    </row>
    <row r="1854" spans="11:13" x14ac:dyDescent="0.25">
      <c r="K1854" s="26" t="s">
        <v>112</v>
      </c>
      <c r="L1854" s="27" t="s">
        <v>117</v>
      </c>
      <c r="M1854" s="10">
        <v>44.091710758377424</v>
      </c>
    </row>
    <row r="1855" spans="11:13" x14ac:dyDescent="0.25">
      <c r="K1855" s="26" t="s">
        <v>112</v>
      </c>
      <c r="L1855" s="27" t="s">
        <v>118</v>
      </c>
      <c r="M1855" s="10">
        <v>274.75798400908536</v>
      </c>
    </row>
    <row r="1856" spans="11:13" x14ac:dyDescent="0.25">
      <c r="K1856" s="26" t="s">
        <v>112</v>
      </c>
      <c r="L1856" s="27" t="s">
        <v>119</v>
      </c>
      <c r="M1856" s="10">
        <v>164.85479040545121</v>
      </c>
    </row>
    <row r="1857" spans="11:13" x14ac:dyDescent="0.25">
      <c r="K1857" s="26" t="s">
        <v>112</v>
      </c>
      <c r="L1857" s="27" t="s">
        <v>115</v>
      </c>
      <c r="M1857" s="10">
        <v>457.92997334847558</v>
      </c>
    </row>
    <row r="1858" spans="11:13" x14ac:dyDescent="0.25">
      <c r="K1858" s="26" t="s">
        <v>112</v>
      </c>
      <c r="L1858" s="27" t="s">
        <v>116</v>
      </c>
      <c r="M1858" s="10">
        <v>45.792997334847563</v>
      </c>
    </row>
    <row r="1859" spans="11:13" x14ac:dyDescent="0.25">
      <c r="K1859" s="26" t="s">
        <v>112</v>
      </c>
      <c r="L1859" s="27" t="s">
        <v>117</v>
      </c>
      <c r="M1859" s="10">
        <v>30.807147258163894</v>
      </c>
    </row>
    <row r="1860" spans="11:13" x14ac:dyDescent="0.25">
      <c r="K1860" s="26" t="s">
        <v>112</v>
      </c>
      <c r="L1860" s="27" t="s">
        <v>118</v>
      </c>
      <c r="M1860" s="10">
        <v>77.017868145409736</v>
      </c>
    </row>
    <row r="1861" spans="11:13" x14ac:dyDescent="0.25">
      <c r="K1861" s="26" t="s">
        <v>109</v>
      </c>
      <c r="L1861" s="27" t="s">
        <v>119</v>
      </c>
      <c r="M1861" s="10">
        <v>46.210720887245841</v>
      </c>
    </row>
    <row r="1862" spans="11:13" x14ac:dyDescent="0.25">
      <c r="K1862" s="26" t="s">
        <v>109</v>
      </c>
      <c r="L1862" s="27" t="s">
        <v>115</v>
      </c>
      <c r="M1862" s="10">
        <v>61.614294516327789</v>
      </c>
    </row>
    <row r="1863" spans="11:13" x14ac:dyDescent="0.25">
      <c r="K1863" s="26" t="s">
        <v>109</v>
      </c>
      <c r="L1863" s="27" t="s">
        <v>116</v>
      </c>
      <c r="M1863" s="10">
        <v>132.31669747381392</v>
      </c>
    </row>
    <row r="1864" spans="11:13" x14ac:dyDescent="0.25">
      <c r="K1864" s="26" t="s">
        <v>112</v>
      </c>
      <c r="L1864" s="27" t="s">
        <v>117</v>
      </c>
      <c r="M1864" s="10">
        <v>61.614294516327789</v>
      </c>
    </row>
    <row r="1865" spans="11:13" x14ac:dyDescent="0.25">
      <c r="K1865" s="26" t="s">
        <v>112</v>
      </c>
      <c r="L1865" s="27" t="s">
        <v>118</v>
      </c>
      <c r="M1865" s="10">
        <v>33.436745949672527</v>
      </c>
    </row>
    <row r="1866" spans="11:13" x14ac:dyDescent="0.25">
      <c r="K1866" s="26" t="s">
        <v>112</v>
      </c>
      <c r="L1866" s="27" t="s">
        <v>119</v>
      </c>
      <c r="M1866" s="10">
        <v>95.194085027726445</v>
      </c>
    </row>
    <row r="1867" spans="11:13" x14ac:dyDescent="0.25">
      <c r="K1867" s="26" t="s">
        <v>112</v>
      </c>
      <c r="L1867" s="27" t="s">
        <v>115</v>
      </c>
      <c r="M1867" s="10">
        <v>44.091710758377424</v>
      </c>
    </row>
    <row r="1868" spans="11:13" x14ac:dyDescent="0.25">
      <c r="K1868" s="26" t="s">
        <v>109</v>
      </c>
      <c r="L1868" s="27" t="s">
        <v>116</v>
      </c>
      <c r="M1868" s="10">
        <v>44.091710758377424</v>
      </c>
    </row>
    <row r="1869" spans="11:13" x14ac:dyDescent="0.25">
      <c r="K1869" s="26" t="s">
        <v>109</v>
      </c>
      <c r="L1869" s="27" t="s">
        <v>117</v>
      </c>
      <c r="M1869" s="10">
        <v>44.091710758377424</v>
      </c>
    </row>
    <row r="1870" spans="11:13" x14ac:dyDescent="0.25">
      <c r="K1870" s="26" t="s">
        <v>109</v>
      </c>
      <c r="L1870" s="27" t="s">
        <v>118</v>
      </c>
      <c r="M1870" s="10">
        <v>44.091710758377424</v>
      </c>
    </row>
    <row r="1871" spans="11:13" x14ac:dyDescent="0.25">
      <c r="K1871" s="26" t="s">
        <v>110</v>
      </c>
      <c r="L1871" s="27" t="s">
        <v>119</v>
      </c>
      <c r="M1871" s="10">
        <v>44.091710758377424</v>
      </c>
    </row>
    <row r="1872" spans="11:13" x14ac:dyDescent="0.25">
      <c r="K1872" s="26" t="s">
        <v>110</v>
      </c>
      <c r="L1872" s="27" t="s">
        <v>115</v>
      </c>
      <c r="M1872" s="10">
        <v>44.091710758377424</v>
      </c>
    </row>
    <row r="1873" spans="11:13" x14ac:dyDescent="0.25">
      <c r="K1873" s="26" t="s">
        <v>109</v>
      </c>
      <c r="L1873" s="27" t="s">
        <v>116</v>
      </c>
      <c r="M1873" s="10">
        <v>44.091710758377424</v>
      </c>
    </row>
    <row r="1874" spans="11:13" x14ac:dyDescent="0.25">
      <c r="K1874" s="26" t="s">
        <v>111</v>
      </c>
      <c r="L1874" s="27" t="s">
        <v>117</v>
      </c>
      <c r="M1874" s="10">
        <v>55.114638447971785</v>
      </c>
    </row>
    <row r="1875" spans="11:13" x14ac:dyDescent="0.25">
      <c r="K1875" s="26" t="s">
        <v>109</v>
      </c>
      <c r="L1875" s="27" t="s">
        <v>118</v>
      </c>
      <c r="M1875" s="10">
        <v>132.27513227513228</v>
      </c>
    </row>
    <row r="1876" spans="11:13" x14ac:dyDescent="0.25">
      <c r="K1876" s="26" t="s">
        <v>109</v>
      </c>
      <c r="L1876" s="27" t="s">
        <v>119</v>
      </c>
      <c r="M1876" s="10">
        <v>108.24305555555556</v>
      </c>
    </row>
    <row r="1877" spans="11:13" x14ac:dyDescent="0.25">
      <c r="K1877" s="26" t="s">
        <v>112</v>
      </c>
      <c r="L1877" s="27" t="s">
        <v>115</v>
      </c>
      <c r="M1877" s="10">
        <v>102.60583346912173</v>
      </c>
    </row>
    <row r="1878" spans="11:13" x14ac:dyDescent="0.25">
      <c r="K1878" s="26" t="s">
        <v>112</v>
      </c>
      <c r="L1878" s="27" t="s">
        <v>116</v>
      </c>
      <c r="M1878" s="10">
        <v>15</v>
      </c>
    </row>
    <row r="1879" spans="11:13" x14ac:dyDescent="0.25">
      <c r="K1879" s="26" t="s">
        <v>112</v>
      </c>
      <c r="L1879" s="27" t="s">
        <v>117</v>
      </c>
      <c r="M1879" s="10">
        <v>11.175850860174991</v>
      </c>
    </row>
    <row r="1880" spans="11:13" x14ac:dyDescent="0.25">
      <c r="K1880" s="26" t="s">
        <v>112</v>
      </c>
      <c r="L1880" s="27" t="s">
        <v>118</v>
      </c>
      <c r="M1880" s="10">
        <v>66.137566137566139</v>
      </c>
    </row>
    <row r="1881" spans="11:13" x14ac:dyDescent="0.25">
      <c r="K1881" s="26" t="s">
        <v>112</v>
      </c>
      <c r="L1881" s="27" t="s">
        <v>119</v>
      </c>
      <c r="M1881" s="10">
        <v>12.848020762401553</v>
      </c>
    </row>
    <row r="1882" spans="11:13" x14ac:dyDescent="0.25">
      <c r="K1882" s="26" t="s">
        <v>112</v>
      </c>
      <c r="L1882" s="27" t="s">
        <v>115</v>
      </c>
      <c r="M1882" s="10">
        <v>92.421441774491683</v>
      </c>
    </row>
    <row r="1883" spans="11:13" x14ac:dyDescent="0.25">
      <c r="K1883" s="26" t="s">
        <v>109</v>
      </c>
      <c r="L1883" s="27" t="s">
        <v>116</v>
      </c>
      <c r="M1883" s="10">
        <v>5.2910052910052912</v>
      </c>
    </row>
    <row r="1884" spans="11:13" x14ac:dyDescent="0.25">
      <c r="K1884" s="26" t="s">
        <v>110</v>
      </c>
      <c r="L1884" s="27" t="s">
        <v>117</v>
      </c>
      <c r="M1884" s="10">
        <v>110.22927689594357</v>
      </c>
    </row>
    <row r="1885" spans="11:13" x14ac:dyDescent="0.25">
      <c r="K1885" s="26" t="s">
        <v>110</v>
      </c>
      <c r="L1885" s="27" t="s">
        <v>118</v>
      </c>
      <c r="M1885" s="10">
        <v>11.3</v>
      </c>
    </row>
    <row r="1886" spans="11:13" x14ac:dyDescent="0.25">
      <c r="K1886" s="26" t="s">
        <v>109</v>
      </c>
      <c r="L1886" s="27" t="s">
        <v>119</v>
      </c>
      <c r="M1886" s="10">
        <v>231.05360443622922</v>
      </c>
    </row>
    <row r="1887" spans="11:13" x14ac:dyDescent="0.25">
      <c r="K1887" s="26" t="s">
        <v>109</v>
      </c>
      <c r="L1887" s="27" t="s">
        <v>115</v>
      </c>
      <c r="M1887" s="10">
        <v>15.403573629081947</v>
      </c>
    </row>
    <row r="1888" spans="11:13" x14ac:dyDescent="0.25">
      <c r="K1888" s="26" t="s">
        <v>110</v>
      </c>
      <c r="L1888" s="27" t="s">
        <v>116</v>
      </c>
      <c r="M1888" s="10">
        <v>15.403573629081947</v>
      </c>
    </row>
    <row r="1889" spans="11:13" x14ac:dyDescent="0.25">
      <c r="K1889" s="26" t="s">
        <v>110</v>
      </c>
      <c r="L1889" s="27" t="s">
        <v>117</v>
      </c>
      <c r="M1889" s="10">
        <v>61.614294516327789</v>
      </c>
    </row>
    <row r="1890" spans="11:13" x14ac:dyDescent="0.25">
      <c r="K1890" s="26" t="s">
        <v>112</v>
      </c>
      <c r="L1890" s="27" t="s">
        <v>118</v>
      </c>
      <c r="M1890" s="10">
        <v>9.2421441774491679</v>
      </c>
    </row>
    <row r="1891" spans="11:13" x14ac:dyDescent="0.25">
      <c r="K1891" s="26" t="s">
        <v>112</v>
      </c>
      <c r="L1891" s="27" t="s">
        <v>119</v>
      </c>
      <c r="M1891" s="10">
        <v>77.017868145409736</v>
      </c>
    </row>
    <row r="1892" spans="11:13" x14ac:dyDescent="0.25">
      <c r="K1892" s="26" t="s">
        <v>112</v>
      </c>
      <c r="L1892" s="27" t="s">
        <v>115</v>
      </c>
      <c r="M1892" s="10">
        <v>73.2687957357561</v>
      </c>
    </row>
    <row r="1893" spans="11:13" x14ac:dyDescent="0.25">
      <c r="K1893" s="26" t="s">
        <v>112</v>
      </c>
      <c r="L1893" s="27" t="s">
        <v>116</v>
      </c>
      <c r="M1893" s="10">
        <v>45.792997334847563</v>
      </c>
    </row>
    <row r="1894" spans="11:13" x14ac:dyDescent="0.25">
      <c r="K1894" s="26" t="s">
        <v>112</v>
      </c>
      <c r="L1894" s="27" t="s">
        <v>117</v>
      </c>
      <c r="M1894" s="10">
        <v>54.951596801817075</v>
      </c>
    </row>
    <row r="1895" spans="11:13" x14ac:dyDescent="0.25">
      <c r="K1895" s="26" t="s">
        <v>110</v>
      </c>
      <c r="L1895" s="27" t="s">
        <v>118</v>
      </c>
      <c r="M1895" s="10">
        <v>274.75798400908536</v>
      </c>
    </row>
    <row r="1896" spans="11:13" x14ac:dyDescent="0.25">
      <c r="K1896" s="26" t="s">
        <v>110</v>
      </c>
      <c r="L1896" s="27" t="s">
        <v>119</v>
      </c>
      <c r="M1896" s="10">
        <v>91.585994669695125</v>
      </c>
    </row>
    <row r="1897" spans="11:13" x14ac:dyDescent="0.25">
      <c r="K1897" s="26" t="s">
        <v>110</v>
      </c>
      <c r="L1897" s="27" t="s">
        <v>115</v>
      </c>
      <c r="M1897" s="10">
        <v>6.4240103812007767</v>
      </c>
    </row>
    <row r="1898" spans="11:13" x14ac:dyDescent="0.25">
      <c r="K1898" s="26" t="s">
        <v>109</v>
      </c>
      <c r="L1898" s="27" t="s">
        <v>116</v>
      </c>
      <c r="M1898" s="10">
        <v>72.162081128747801</v>
      </c>
    </row>
    <row r="1899" spans="11:13" x14ac:dyDescent="0.25">
      <c r="K1899" s="26" t="s">
        <v>110</v>
      </c>
      <c r="L1899" s="27" t="s">
        <v>117</v>
      </c>
      <c r="M1899" s="10">
        <v>19.841269841269842</v>
      </c>
    </row>
    <row r="1900" spans="11:13" x14ac:dyDescent="0.25">
      <c r="K1900" s="26" t="s">
        <v>109</v>
      </c>
      <c r="L1900" s="27" t="s">
        <v>118</v>
      </c>
      <c r="M1900" s="10">
        <v>33.06878306878307</v>
      </c>
    </row>
    <row r="1901" spans="11:13" x14ac:dyDescent="0.25">
      <c r="K1901" s="26" t="s">
        <v>110</v>
      </c>
      <c r="L1901" s="27" t="s">
        <v>119</v>
      </c>
      <c r="M1901" s="10">
        <v>48.259220958290243</v>
      </c>
    </row>
    <row r="1902" spans="11:13" x14ac:dyDescent="0.25">
      <c r="K1902" s="26" t="s">
        <v>110</v>
      </c>
      <c r="L1902" s="27" t="s">
        <v>115</v>
      </c>
      <c r="M1902" s="10">
        <v>414.18741181657845</v>
      </c>
    </row>
    <row r="1903" spans="11:13" x14ac:dyDescent="0.25">
      <c r="K1903" s="26" t="s">
        <v>110</v>
      </c>
      <c r="L1903" s="27" t="s">
        <v>116</v>
      </c>
      <c r="M1903" s="10">
        <v>2.2648490999961455</v>
      </c>
    </row>
    <row r="1904" spans="11:13" x14ac:dyDescent="0.25">
      <c r="K1904" s="26" t="s">
        <v>110</v>
      </c>
      <c r="L1904" s="27" t="s">
        <v>117</v>
      </c>
      <c r="M1904" s="10">
        <v>440.91710758377428</v>
      </c>
    </row>
    <row r="1905" spans="11:13" x14ac:dyDescent="0.25">
      <c r="K1905" s="26" t="s">
        <v>110</v>
      </c>
      <c r="L1905" s="27" t="s">
        <v>118</v>
      </c>
      <c r="M1905" s="10">
        <v>110.22927689594357</v>
      </c>
    </row>
    <row r="1906" spans="11:13" x14ac:dyDescent="0.25">
      <c r="K1906" s="26" t="s">
        <v>109</v>
      </c>
      <c r="L1906" s="27" t="s">
        <v>119</v>
      </c>
      <c r="M1906" s="10">
        <v>132.27513227513228</v>
      </c>
    </row>
    <row r="1907" spans="11:13" x14ac:dyDescent="0.25">
      <c r="K1907" s="26" t="s">
        <v>110</v>
      </c>
      <c r="L1907" s="27" t="s">
        <v>115</v>
      </c>
      <c r="M1907" s="10">
        <v>132.27513227513228</v>
      </c>
    </row>
    <row r="1908" spans="11:13" x14ac:dyDescent="0.25">
      <c r="K1908" s="26" t="s">
        <v>112</v>
      </c>
      <c r="L1908" s="27" t="s">
        <v>116</v>
      </c>
      <c r="M1908" s="10">
        <v>16.452022611659878</v>
      </c>
    </row>
    <row r="1909" spans="11:13" x14ac:dyDescent="0.25">
      <c r="K1909" s="26" t="s">
        <v>112</v>
      </c>
      <c r="L1909" s="27" t="s">
        <v>117</v>
      </c>
      <c r="M1909" s="10">
        <v>5.6698633156966487</v>
      </c>
    </row>
    <row r="1910" spans="11:13" x14ac:dyDescent="0.25">
      <c r="K1910" s="26" t="s">
        <v>109</v>
      </c>
      <c r="L1910" s="27" t="s">
        <v>118</v>
      </c>
      <c r="M1910" s="10">
        <v>243.09213191799691</v>
      </c>
    </row>
    <row r="1911" spans="11:13" x14ac:dyDescent="0.25">
      <c r="K1911" s="26" t="s">
        <v>110</v>
      </c>
      <c r="L1911" s="27" t="s">
        <v>119</v>
      </c>
      <c r="M1911" s="10">
        <v>508.31792975970427</v>
      </c>
    </row>
    <row r="1912" spans="11:13" x14ac:dyDescent="0.25">
      <c r="K1912" s="26" t="s">
        <v>110</v>
      </c>
      <c r="L1912" s="27" t="s">
        <v>115</v>
      </c>
      <c r="M1912" s="10">
        <v>154.03573629081947</v>
      </c>
    </row>
    <row r="1913" spans="11:13" x14ac:dyDescent="0.25">
      <c r="K1913" s="26" t="s">
        <v>110</v>
      </c>
      <c r="L1913" s="27" t="s">
        <v>116</v>
      </c>
      <c r="M1913" s="10">
        <v>53.912507701786815</v>
      </c>
    </row>
    <row r="1914" spans="11:13" x14ac:dyDescent="0.25">
      <c r="K1914" s="26" t="s">
        <v>113</v>
      </c>
      <c r="L1914" s="27" t="s">
        <v>117</v>
      </c>
      <c r="M1914" s="10">
        <v>110.22927689594357</v>
      </c>
    </row>
    <row r="1915" spans="11:13" x14ac:dyDescent="0.25">
      <c r="K1915" s="26" t="s">
        <v>113</v>
      </c>
      <c r="L1915" s="27" t="s">
        <v>118</v>
      </c>
      <c r="M1915" s="10">
        <v>110.22927689594357</v>
      </c>
    </row>
    <row r="1916" spans="11:13" x14ac:dyDescent="0.25">
      <c r="K1916" s="26" t="s">
        <v>110</v>
      </c>
      <c r="L1916" s="27" t="s">
        <v>119</v>
      </c>
      <c r="M1916" s="10">
        <v>661.37566137566137</v>
      </c>
    </row>
    <row r="1917" spans="11:13" x14ac:dyDescent="0.25">
      <c r="K1917" s="26" t="s">
        <v>110</v>
      </c>
      <c r="L1917" s="27" t="s">
        <v>115</v>
      </c>
      <c r="M1917" s="10">
        <v>770.17868145409739</v>
      </c>
    </row>
    <row r="1918" spans="11:13" x14ac:dyDescent="0.25">
      <c r="K1918" s="26" t="s">
        <v>110</v>
      </c>
      <c r="L1918" s="27" t="s">
        <v>116</v>
      </c>
      <c r="M1918" s="10">
        <v>58.60048259220958</v>
      </c>
    </row>
    <row r="1919" spans="11:13" x14ac:dyDescent="0.25">
      <c r="K1919" s="26" t="s">
        <v>113</v>
      </c>
      <c r="L1919" s="27" t="s">
        <v>117</v>
      </c>
      <c r="M1919" s="10">
        <v>97.767638911520294</v>
      </c>
    </row>
    <row r="1920" spans="11:13" x14ac:dyDescent="0.25">
      <c r="K1920" s="26" t="s">
        <v>110</v>
      </c>
      <c r="L1920" s="27" t="s">
        <v>118</v>
      </c>
      <c r="M1920" s="10">
        <v>176.3668430335097</v>
      </c>
    </row>
    <row r="1921" spans="11:13" x14ac:dyDescent="0.25">
      <c r="K1921" s="26" t="s">
        <v>110</v>
      </c>
      <c r="L1921" s="27" t="s">
        <v>119</v>
      </c>
      <c r="M1921" s="10">
        <v>94.841534391534395</v>
      </c>
    </row>
    <row r="1922" spans="11:13" x14ac:dyDescent="0.25">
      <c r="K1922" s="26" t="s">
        <v>110</v>
      </c>
      <c r="L1922" s="27" t="s">
        <v>115</v>
      </c>
      <c r="M1922" s="10">
        <v>20</v>
      </c>
    </row>
    <row r="1923" spans="11:13" x14ac:dyDescent="0.25">
      <c r="K1923" s="26" t="s">
        <v>110</v>
      </c>
      <c r="L1923" s="27" t="s">
        <v>116</v>
      </c>
      <c r="M1923" s="10">
        <v>68.941744226128904</v>
      </c>
    </row>
    <row r="1924" spans="11:13" x14ac:dyDescent="0.25">
      <c r="K1924" s="26" t="s">
        <v>112</v>
      </c>
      <c r="L1924" s="27" t="s">
        <v>117</v>
      </c>
      <c r="M1924" s="10">
        <v>154.03573629081947</v>
      </c>
    </row>
    <row r="1925" spans="11:13" x14ac:dyDescent="0.25">
      <c r="K1925" s="26" t="s">
        <v>109</v>
      </c>
      <c r="L1925" s="27" t="s">
        <v>118</v>
      </c>
      <c r="M1925" s="10">
        <v>105.89854918987609</v>
      </c>
    </row>
    <row r="1926" spans="11:13" x14ac:dyDescent="0.25">
      <c r="K1926" s="26" t="s">
        <v>110</v>
      </c>
      <c r="L1926" s="27" t="s">
        <v>119</v>
      </c>
      <c r="M1926" s="10">
        <v>46.210720887245841</v>
      </c>
    </row>
    <row r="1927" spans="11:13" x14ac:dyDescent="0.25">
      <c r="K1927" s="26" t="s">
        <v>110</v>
      </c>
      <c r="L1927" s="27" t="s">
        <v>115</v>
      </c>
      <c r="M1927" s="10">
        <v>46.210720887245841</v>
      </c>
    </row>
    <row r="1928" spans="11:13" x14ac:dyDescent="0.25">
      <c r="K1928" s="26" t="s">
        <v>111</v>
      </c>
      <c r="L1928" s="27" t="s">
        <v>116</v>
      </c>
      <c r="M1928" s="10">
        <v>46.210720887245841</v>
      </c>
    </row>
    <row r="1929" spans="11:13" x14ac:dyDescent="0.25">
      <c r="K1929" s="26" t="s">
        <v>110</v>
      </c>
      <c r="L1929" s="27" t="s">
        <v>117</v>
      </c>
      <c r="M1929" s="10">
        <v>66.137566137566139</v>
      </c>
    </row>
    <row r="1930" spans="11:13" x14ac:dyDescent="0.25">
      <c r="K1930" s="26" t="s">
        <v>112</v>
      </c>
      <c r="L1930" s="27" t="s">
        <v>118</v>
      </c>
      <c r="M1930" s="10">
        <v>128.48020762401552</v>
      </c>
    </row>
    <row r="1931" spans="11:13" x14ac:dyDescent="0.25">
      <c r="K1931" s="26" t="s">
        <v>110</v>
      </c>
      <c r="L1931" s="27" t="s">
        <v>119</v>
      </c>
      <c r="M1931" s="10">
        <v>25.696041524803107</v>
      </c>
    </row>
    <row r="1932" spans="11:13" x14ac:dyDescent="0.25">
      <c r="K1932" s="26" t="s">
        <v>111</v>
      </c>
      <c r="L1932" s="27" t="s">
        <v>115</v>
      </c>
      <c r="M1932" s="10">
        <v>146.5375914715122</v>
      </c>
    </row>
    <row r="1933" spans="11:13" x14ac:dyDescent="0.25">
      <c r="K1933" s="26" t="s">
        <v>110</v>
      </c>
      <c r="L1933" s="27" t="s">
        <v>116</v>
      </c>
      <c r="M1933" s="10">
        <v>38.54406228720466</v>
      </c>
    </row>
    <row r="1934" spans="11:13" x14ac:dyDescent="0.25">
      <c r="K1934" s="26" t="s">
        <v>110</v>
      </c>
      <c r="L1934" s="27" t="s">
        <v>117</v>
      </c>
      <c r="M1934" s="10">
        <v>154.03573629081947</v>
      </c>
    </row>
    <row r="1935" spans="11:13" x14ac:dyDescent="0.25">
      <c r="K1935" s="26" t="s">
        <v>110</v>
      </c>
      <c r="L1935" s="27" t="s">
        <v>118</v>
      </c>
      <c r="M1935" s="10">
        <v>77.017868145409736</v>
      </c>
    </row>
    <row r="1936" spans="11:13" x14ac:dyDescent="0.25">
      <c r="K1936" s="26" t="s">
        <v>109</v>
      </c>
      <c r="L1936" s="27" t="s">
        <v>119</v>
      </c>
      <c r="M1936" s="10">
        <v>420.48407445708375</v>
      </c>
    </row>
    <row r="1937" spans="11:13" x14ac:dyDescent="0.25">
      <c r="K1937" s="26" t="s">
        <v>109</v>
      </c>
      <c r="L1937" s="27" t="s">
        <v>115</v>
      </c>
      <c r="M1937" s="10">
        <v>63.539129513925651</v>
      </c>
    </row>
    <row r="1938" spans="11:13" x14ac:dyDescent="0.25">
      <c r="K1938" s="26" t="s">
        <v>112</v>
      </c>
      <c r="L1938" s="27" t="s">
        <v>116</v>
      </c>
      <c r="M1938" s="10">
        <v>46.210720887245841</v>
      </c>
    </row>
    <row r="1939" spans="11:13" x14ac:dyDescent="0.25">
      <c r="K1939" s="26" t="s">
        <v>112</v>
      </c>
      <c r="L1939" s="27" t="s">
        <v>117</v>
      </c>
      <c r="M1939" s="10">
        <v>55.452865064695011</v>
      </c>
    </row>
    <row r="1940" spans="11:13" x14ac:dyDescent="0.25">
      <c r="K1940" s="26" t="s">
        <v>110</v>
      </c>
      <c r="L1940" s="27" t="s">
        <v>118</v>
      </c>
      <c r="M1940" s="10">
        <v>107.82501540357363</v>
      </c>
    </row>
    <row r="1941" spans="11:13" x14ac:dyDescent="0.25">
      <c r="K1941" s="26" t="s">
        <v>109</v>
      </c>
      <c r="L1941" s="27" t="s">
        <v>119</v>
      </c>
      <c r="M1941" s="10">
        <v>88.183421516754848</v>
      </c>
    </row>
    <row r="1942" spans="11:13" x14ac:dyDescent="0.25">
      <c r="K1942" s="26" t="s">
        <v>109</v>
      </c>
      <c r="L1942" s="27" t="s">
        <v>115</v>
      </c>
      <c r="M1942" s="10">
        <v>55.114638447971785</v>
      </c>
    </row>
    <row r="1943" spans="11:13" x14ac:dyDescent="0.25">
      <c r="K1943" s="26" t="s">
        <v>109</v>
      </c>
      <c r="L1943" s="27" t="s">
        <v>116</v>
      </c>
      <c r="M1943" s="10">
        <v>4.123893272438913</v>
      </c>
    </row>
    <row r="1944" spans="11:13" x14ac:dyDescent="0.25">
      <c r="K1944" s="26" t="s">
        <v>109</v>
      </c>
      <c r="L1944" s="27" t="s">
        <v>117</v>
      </c>
      <c r="M1944" s="10">
        <v>97.934215167548501</v>
      </c>
    </row>
    <row r="1945" spans="11:13" x14ac:dyDescent="0.25">
      <c r="K1945" s="26" t="s">
        <v>109</v>
      </c>
      <c r="L1945" s="27" t="s">
        <v>118</v>
      </c>
      <c r="M1945" s="10">
        <v>3.607804232804233</v>
      </c>
    </row>
    <row r="1946" spans="11:13" x14ac:dyDescent="0.25">
      <c r="K1946" s="26" t="s">
        <v>110</v>
      </c>
      <c r="L1946" s="27" t="s">
        <v>119</v>
      </c>
      <c r="M1946" s="10">
        <v>46.210720887245841</v>
      </c>
    </row>
    <row r="1947" spans="11:13" x14ac:dyDescent="0.25">
      <c r="K1947" s="26" t="s">
        <v>109</v>
      </c>
      <c r="L1947" s="27" t="s">
        <v>115</v>
      </c>
      <c r="M1947" s="10">
        <v>154.03573629081947</v>
      </c>
    </row>
    <row r="1948" spans="11:13" x14ac:dyDescent="0.25">
      <c r="K1948" s="26" t="s">
        <v>110</v>
      </c>
      <c r="L1948" s="27" t="s">
        <v>116</v>
      </c>
      <c r="M1948" s="10">
        <v>65.178425941013529</v>
      </c>
    </row>
    <row r="1949" spans="11:13" x14ac:dyDescent="0.25">
      <c r="K1949" s="26" t="s">
        <v>112</v>
      </c>
      <c r="L1949" s="27" t="s">
        <v>117</v>
      </c>
      <c r="M1949" s="10">
        <v>308.07147258163894</v>
      </c>
    </row>
    <row r="1950" spans="11:13" x14ac:dyDescent="0.25">
      <c r="K1950" s="26" t="s">
        <v>110</v>
      </c>
      <c r="L1950" s="27" t="s">
        <v>118</v>
      </c>
      <c r="M1950" s="10">
        <v>308.07147258163894</v>
      </c>
    </row>
    <row r="1951" spans="11:13" x14ac:dyDescent="0.25">
      <c r="K1951" s="26" t="s">
        <v>110</v>
      </c>
      <c r="L1951" s="27" t="s">
        <v>119</v>
      </c>
      <c r="M1951" s="10">
        <v>46.210720887245841</v>
      </c>
    </row>
    <row r="1952" spans="11:13" x14ac:dyDescent="0.25">
      <c r="K1952" s="26" t="s">
        <v>109</v>
      </c>
      <c r="L1952" s="27" t="s">
        <v>115</v>
      </c>
      <c r="M1952" s="10">
        <v>211.79709837975219</v>
      </c>
    </row>
    <row r="1953" spans="11:13" x14ac:dyDescent="0.25">
      <c r="K1953" s="26" t="s">
        <v>109</v>
      </c>
      <c r="L1953" s="27" t="s">
        <v>116</v>
      </c>
      <c r="M1953" s="10">
        <v>46.210720887245841</v>
      </c>
    </row>
    <row r="1954" spans="11:13" x14ac:dyDescent="0.25">
      <c r="K1954" s="26" t="s">
        <v>110</v>
      </c>
      <c r="L1954" s="27" t="s">
        <v>117</v>
      </c>
      <c r="M1954" s="10">
        <v>46.210720887245841</v>
      </c>
    </row>
    <row r="1955" spans="11:13" x14ac:dyDescent="0.25">
      <c r="K1955" s="26" t="s">
        <v>110</v>
      </c>
      <c r="L1955" s="27" t="s">
        <v>118</v>
      </c>
      <c r="M1955" s="10">
        <v>0.58660583346912176</v>
      </c>
    </row>
    <row r="1956" spans="11:13" x14ac:dyDescent="0.25">
      <c r="K1956" s="26" t="s">
        <v>109</v>
      </c>
      <c r="L1956" s="27" t="s">
        <v>119</v>
      </c>
      <c r="M1956" s="10">
        <v>0.55800000000000005</v>
      </c>
    </row>
    <row r="1957" spans="11:13" x14ac:dyDescent="0.25">
      <c r="K1957" s="26" t="s">
        <v>109</v>
      </c>
      <c r="L1957" s="27" t="s">
        <v>115</v>
      </c>
      <c r="M1957" s="10">
        <v>46.210720887245841</v>
      </c>
    </row>
    <row r="1958" spans="11:13" x14ac:dyDescent="0.25">
      <c r="K1958" s="26" t="s">
        <v>111</v>
      </c>
      <c r="L1958" s="27" t="s">
        <v>116</v>
      </c>
      <c r="M1958" s="10">
        <v>30.807147258163894</v>
      </c>
    </row>
    <row r="1959" spans="11:13" x14ac:dyDescent="0.25">
      <c r="K1959" s="26" t="s">
        <v>112</v>
      </c>
      <c r="L1959" s="27" t="s">
        <v>117</v>
      </c>
      <c r="M1959" s="10">
        <v>30.807147258163894</v>
      </c>
    </row>
    <row r="1960" spans="11:13" x14ac:dyDescent="0.25">
      <c r="K1960" s="26" t="s">
        <v>110</v>
      </c>
      <c r="L1960" s="27" t="s">
        <v>118</v>
      </c>
      <c r="M1960" s="10">
        <v>0.55800000000000005</v>
      </c>
    </row>
    <row r="1961" spans="11:13" x14ac:dyDescent="0.25">
      <c r="K1961" s="26" t="s">
        <v>109</v>
      </c>
      <c r="L1961" s="27" t="s">
        <v>119</v>
      </c>
      <c r="M1961" s="10">
        <v>80</v>
      </c>
    </row>
    <row r="1962" spans="11:13" x14ac:dyDescent="0.25">
      <c r="K1962" s="26" t="s">
        <v>109</v>
      </c>
      <c r="L1962" s="27" t="s">
        <v>115</v>
      </c>
      <c r="M1962" s="10">
        <v>100.2145619467321</v>
      </c>
    </row>
    <row r="1963" spans="11:13" x14ac:dyDescent="0.25">
      <c r="K1963" s="26" t="s">
        <v>109</v>
      </c>
      <c r="L1963" s="27" t="s">
        <v>116</v>
      </c>
      <c r="M1963" s="10">
        <v>15.403573629081947</v>
      </c>
    </row>
    <row r="1964" spans="11:13" x14ac:dyDescent="0.25">
      <c r="K1964" s="26" t="s">
        <v>110</v>
      </c>
      <c r="L1964" s="27" t="s">
        <v>117</v>
      </c>
      <c r="M1964" s="10">
        <v>15.403573629081947</v>
      </c>
    </row>
    <row r="1965" spans="11:13" x14ac:dyDescent="0.25">
      <c r="K1965" s="26" t="s">
        <v>110</v>
      </c>
      <c r="L1965" s="27" t="s">
        <v>118</v>
      </c>
      <c r="M1965" s="10">
        <v>15.403573629081947</v>
      </c>
    </row>
    <row r="1966" spans="11:13" x14ac:dyDescent="0.25">
      <c r="K1966" s="26" t="s">
        <v>110</v>
      </c>
      <c r="L1966" s="27" t="s">
        <v>119</v>
      </c>
      <c r="M1966" s="10">
        <v>15.403573629081947</v>
      </c>
    </row>
    <row r="1967" spans="11:13" x14ac:dyDescent="0.25">
      <c r="K1967" s="26" t="s">
        <v>110</v>
      </c>
      <c r="L1967" s="27" t="s">
        <v>115</v>
      </c>
      <c r="M1967" s="10">
        <v>15.403573629081947</v>
      </c>
    </row>
    <row r="1968" spans="11:13" x14ac:dyDescent="0.25">
      <c r="K1968" s="26" t="s">
        <v>110</v>
      </c>
      <c r="L1968" s="27" t="s">
        <v>116</v>
      </c>
      <c r="M1968" s="10">
        <v>15.403573629081947</v>
      </c>
    </row>
    <row r="1969" spans="11:13" x14ac:dyDescent="0.25">
      <c r="K1969" s="26" t="s">
        <v>110</v>
      </c>
      <c r="L1969" s="27" t="s">
        <v>117</v>
      </c>
      <c r="M1969" s="10">
        <v>15.403573629081947</v>
      </c>
    </row>
    <row r="1970" spans="11:13" x14ac:dyDescent="0.25">
      <c r="K1970" s="26" t="s">
        <v>109</v>
      </c>
      <c r="L1970" s="27" t="s">
        <v>118</v>
      </c>
      <c r="M1970" s="10">
        <v>30.807147258163894</v>
      </c>
    </row>
    <row r="1971" spans="11:13" x14ac:dyDescent="0.25">
      <c r="K1971" s="26" t="s">
        <v>109</v>
      </c>
      <c r="L1971" s="27" t="s">
        <v>119</v>
      </c>
      <c r="M1971" s="10">
        <v>30.807147258163894</v>
      </c>
    </row>
    <row r="1972" spans="11:13" x14ac:dyDescent="0.25">
      <c r="K1972" s="26" t="s">
        <v>110</v>
      </c>
      <c r="L1972" s="27" t="s">
        <v>115</v>
      </c>
      <c r="M1972" s="10">
        <v>58.533579790511403</v>
      </c>
    </row>
    <row r="1973" spans="11:13" x14ac:dyDescent="0.25">
      <c r="K1973" s="26" t="s">
        <v>110</v>
      </c>
      <c r="L1973" s="27" t="s">
        <v>116</v>
      </c>
      <c r="M1973" s="10">
        <v>30.807147258163894</v>
      </c>
    </row>
    <row r="1974" spans="11:13" x14ac:dyDescent="0.25">
      <c r="K1974" s="26" t="s">
        <v>110</v>
      </c>
      <c r="L1974" s="27" t="s">
        <v>117</v>
      </c>
      <c r="M1974" s="10">
        <v>30.807147258163894</v>
      </c>
    </row>
    <row r="1975" spans="11:13" x14ac:dyDescent="0.25">
      <c r="K1975" s="26" t="s">
        <v>110</v>
      </c>
      <c r="L1975" s="27" t="s">
        <v>118</v>
      </c>
      <c r="M1975" s="10">
        <v>30.807147258163894</v>
      </c>
    </row>
    <row r="1976" spans="11:13" x14ac:dyDescent="0.25">
      <c r="K1976" s="26" t="s">
        <v>110</v>
      </c>
      <c r="L1976" s="27" t="s">
        <v>119</v>
      </c>
      <c r="M1976" s="10">
        <v>30.807147258163894</v>
      </c>
    </row>
    <row r="1977" spans="11:13" x14ac:dyDescent="0.25">
      <c r="K1977" s="26" t="s">
        <v>109</v>
      </c>
      <c r="L1977" s="27" t="s">
        <v>115</v>
      </c>
      <c r="M1977" s="10">
        <v>30.807147258163894</v>
      </c>
    </row>
    <row r="1978" spans="11:13" x14ac:dyDescent="0.25">
      <c r="K1978" s="26" t="s">
        <v>110</v>
      </c>
      <c r="L1978" s="27" t="s">
        <v>116</v>
      </c>
      <c r="M1978" s="10">
        <v>30.807147258163894</v>
      </c>
    </row>
    <row r="1979" spans="11:13" x14ac:dyDescent="0.25">
      <c r="K1979" s="26" t="s">
        <v>109</v>
      </c>
      <c r="L1979" s="27" t="s">
        <v>117</v>
      </c>
      <c r="M1979" s="10">
        <v>246.60597658656809</v>
      </c>
    </row>
    <row r="1980" spans="11:13" x14ac:dyDescent="0.25">
      <c r="K1980" s="26" t="s">
        <v>109</v>
      </c>
      <c r="L1980" s="27" t="s">
        <v>118</v>
      </c>
      <c r="M1980" s="10">
        <v>132.27513227513228</v>
      </c>
    </row>
    <row r="1981" spans="11:13" x14ac:dyDescent="0.25">
      <c r="K1981" s="26" t="s">
        <v>110</v>
      </c>
      <c r="L1981" s="27" t="s">
        <v>119</v>
      </c>
      <c r="M1981" s="10">
        <v>132.27513227513228</v>
      </c>
    </row>
    <row r="1982" spans="11:13" x14ac:dyDescent="0.25">
      <c r="K1982" s="26" t="s">
        <v>110</v>
      </c>
      <c r="L1982" s="27" t="s">
        <v>115</v>
      </c>
      <c r="M1982" s="10">
        <v>23.105360443622921</v>
      </c>
    </row>
    <row r="1983" spans="11:13" x14ac:dyDescent="0.25">
      <c r="K1983" s="26" t="s">
        <v>109</v>
      </c>
      <c r="L1983" s="27" t="s">
        <v>116</v>
      </c>
      <c r="M1983" s="10">
        <v>123.22858903265558</v>
      </c>
    </row>
    <row r="1984" spans="11:13" x14ac:dyDescent="0.25">
      <c r="K1984" s="26" t="s">
        <v>112</v>
      </c>
      <c r="L1984" s="27" t="s">
        <v>117</v>
      </c>
      <c r="M1984" s="10">
        <v>154.03573629081947</v>
      </c>
    </row>
    <row r="1985" spans="11:13" x14ac:dyDescent="0.25">
      <c r="K1985" s="26" t="s">
        <v>110</v>
      </c>
      <c r="L1985" s="27" t="s">
        <v>118</v>
      </c>
      <c r="M1985" s="10">
        <v>154.03573629081947</v>
      </c>
    </row>
    <row r="1986" spans="11:13" x14ac:dyDescent="0.25">
      <c r="K1986" s="26" t="s">
        <v>110</v>
      </c>
      <c r="L1986" s="27" t="s">
        <v>119</v>
      </c>
      <c r="M1986" s="10">
        <v>184.84288354898337</v>
      </c>
    </row>
    <row r="1987" spans="11:13" x14ac:dyDescent="0.25">
      <c r="K1987" s="26" t="s">
        <v>109</v>
      </c>
      <c r="L1987" s="27" t="s">
        <v>115</v>
      </c>
      <c r="M1987" s="10">
        <v>154.03573629081947</v>
      </c>
    </row>
    <row r="1988" spans="11:13" x14ac:dyDescent="0.25">
      <c r="K1988" s="26" t="s">
        <v>109</v>
      </c>
      <c r="L1988" s="27" t="s">
        <v>116</v>
      </c>
      <c r="M1988" s="10">
        <v>123.5</v>
      </c>
    </row>
    <row r="1989" spans="11:13" x14ac:dyDescent="0.25">
      <c r="K1989" s="26" t="s">
        <v>110</v>
      </c>
      <c r="L1989" s="27" t="s">
        <v>117</v>
      </c>
      <c r="M1989" s="10">
        <v>158.84782378481412</v>
      </c>
    </row>
    <row r="1990" spans="11:13" x14ac:dyDescent="0.25">
      <c r="K1990" s="26" t="s">
        <v>109</v>
      </c>
      <c r="L1990" s="27" t="s">
        <v>118</v>
      </c>
      <c r="M1990" s="10">
        <v>72.388831437435371</v>
      </c>
    </row>
    <row r="1991" spans="11:13" x14ac:dyDescent="0.25">
      <c r="K1991" s="26" t="s">
        <v>110</v>
      </c>
      <c r="L1991" s="27" t="s">
        <v>119</v>
      </c>
      <c r="M1991" s="10">
        <v>15.403573629081947</v>
      </c>
    </row>
    <row r="1992" spans="11:13" x14ac:dyDescent="0.25">
      <c r="K1992" s="26" t="s">
        <v>110</v>
      </c>
      <c r="L1992" s="27" t="s">
        <v>115</v>
      </c>
      <c r="M1992" s="10">
        <v>15.403573629081947</v>
      </c>
    </row>
    <row r="1993" spans="11:13" x14ac:dyDescent="0.25">
      <c r="K1993" s="26" t="s">
        <v>110</v>
      </c>
      <c r="L1993" s="27" t="s">
        <v>116</v>
      </c>
      <c r="M1993" s="10">
        <v>15.403573629081947</v>
      </c>
    </row>
    <row r="1994" spans="11:13" x14ac:dyDescent="0.25">
      <c r="K1994" s="26" t="s">
        <v>109</v>
      </c>
      <c r="L1994" s="27" t="s">
        <v>117</v>
      </c>
      <c r="M1994" s="10">
        <v>15.403573629081947</v>
      </c>
    </row>
    <row r="1995" spans="11:13" x14ac:dyDescent="0.25">
      <c r="K1995" s="26" t="s">
        <v>109</v>
      </c>
      <c r="L1995" s="27" t="s">
        <v>118</v>
      </c>
      <c r="M1995" s="10">
        <v>15.403573629081947</v>
      </c>
    </row>
    <row r="1996" spans="11:13" x14ac:dyDescent="0.25">
      <c r="K1996" s="26" t="s">
        <v>110</v>
      </c>
      <c r="L1996" s="27" t="s">
        <v>119</v>
      </c>
      <c r="M1996" s="10">
        <v>15.403573629081947</v>
      </c>
    </row>
    <row r="1997" spans="11:13" x14ac:dyDescent="0.25">
      <c r="K1997" s="26" t="s">
        <v>110</v>
      </c>
      <c r="L1997" s="27" t="s">
        <v>115</v>
      </c>
      <c r="M1997" s="10">
        <v>15.403573629081947</v>
      </c>
    </row>
    <row r="1998" spans="11:13" x14ac:dyDescent="0.25">
      <c r="K1998" s="26" t="s">
        <v>109</v>
      </c>
      <c r="L1998" s="27" t="s">
        <v>116</v>
      </c>
      <c r="M1998" s="10">
        <v>15.403573629081947</v>
      </c>
    </row>
    <row r="1999" spans="11:13" x14ac:dyDescent="0.25">
      <c r="K1999" s="26" t="s">
        <v>110</v>
      </c>
      <c r="L1999" s="27" t="s">
        <v>117</v>
      </c>
      <c r="M1999" s="10">
        <v>15.403573629081947</v>
      </c>
    </row>
    <row r="2000" spans="11:13" x14ac:dyDescent="0.25">
      <c r="K2000" s="26" t="s">
        <v>110</v>
      </c>
      <c r="L2000" s="27" t="s">
        <v>118</v>
      </c>
      <c r="M2000" s="10">
        <v>15.403573629081947</v>
      </c>
    </row>
    <row r="2001" spans="11:13" x14ac:dyDescent="0.25">
      <c r="K2001" s="26" t="s">
        <v>110</v>
      </c>
      <c r="L2001" s="27" t="s">
        <v>119</v>
      </c>
      <c r="M2001" s="10">
        <v>15.403573629081947</v>
      </c>
    </row>
    <row r="2002" spans="11:13" x14ac:dyDescent="0.25">
      <c r="K2002" s="26" t="s">
        <v>109</v>
      </c>
      <c r="L2002" s="27" t="s">
        <v>115</v>
      </c>
      <c r="M2002" s="10">
        <v>15.403573629081947</v>
      </c>
    </row>
    <row r="2003" spans="11:13" x14ac:dyDescent="0.25">
      <c r="K2003" s="26" t="s">
        <v>109</v>
      </c>
      <c r="L2003" s="27" t="s">
        <v>116</v>
      </c>
      <c r="M2003" s="10">
        <v>128.60108016520175</v>
      </c>
    </row>
    <row r="2004" spans="11:13" x14ac:dyDescent="0.25">
      <c r="K2004" s="26" t="s">
        <v>110</v>
      </c>
      <c r="L2004" s="27" t="s">
        <v>117</v>
      </c>
      <c r="M2004" s="10">
        <v>400</v>
      </c>
    </row>
    <row r="2005" spans="11:13" x14ac:dyDescent="0.25">
      <c r="K2005" s="26" t="s">
        <v>110</v>
      </c>
      <c r="L2005" s="27" t="s">
        <v>118</v>
      </c>
      <c r="M2005" s="10">
        <v>211.79709837975219</v>
      </c>
    </row>
    <row r="2006" spans="11:13" x14ac:dyDescent="0.25">
      <c r="K2006" s="26" t="s">
        <v>110</v>
      </c>
      <c r="L2006" s="27" t="s">
        <v>119</v>
      </c>
      <c r="M2006" s="10">
        <v>211.79709837975219</v>
      </c>
    </row>
    <row r="2007" spans="11:13" x14ac:dyDescent="0.25">
      <c r="K2007" s="26" t="s">
        <v>110</v>
      </c>
      <c r="L2007" s="27" t="s">
        <v>115</v>
      </c>
      <c r="M2007" s="10">
        <v>50</v>
      </c>
    </row>
    <row r="2008" spans="11:13" x14ac:dyDescent="0.25">
      <c r="K2008" s="26" t="s">
        <v>109</v>
      </c>
      <c r="L2008" s="27" t="s">
        <v>116</v>
      </c>
      <c r="M2008" s="10">
        <v>15.403573629081947</v>
      </c>
    </row>
    <row r="2009" spans="11:13" x14ac:dyDescent="0.25">
      <c r="K2009" s="26" t="s">
        <v>109</v>
      </c>
      <c r="L2009" s="27" t="s">
        <v>117</v>
      </c>
      <c r="M2009" s="10">
        <v>15.403573629081947</v>
      </c>
    </row>
    <row r="2010" spans="11:13" x14ac:dyDescent="0.25">
      <c r="K2010" s="26" t="s">
        <v>110</v>
      </c>
      <c r="L2010" s="27" t="s">
        <v>118</v>
      </c>
      <c r="M2010" s="10">
        <v>15.403573629081947</v>
      </c>
    </row>
    <row r="2011" spans="11:13" x14ac:dyDescent="0.25">
      <c r="K2011" s="26" t="s">
        <v>113</v>
      </c>
      <c r="L2011" s="27" t="s">
        <v>119</v>
      </c>
      <c r="M2011" s="10">
        <v>15.403573629081947</v>
      </c>
    </row>
    <row r="2012" spans="11:13" x14ac:dyDescent="0.25">
      <c r="K2012" s="26" t="s">
        <v>113</v>
      </c>
      <c r="L2012" s="27" t="s">
        <v>115</v>
      </c>
      <c r="M2012" s="10">
        <v>15.403573629081947</v>
      </c>
    </row>
    <row r="2013" spans="11:13" x14ac:dyDescent="0.25">
      <c r="K2013" s="26" t="s">
        <v>109</v>
      </c>
      <c r="L2013" s="27" t="s">
        <v>116</v>
      </c>
      <c r="M2013" s="10">
        <v>15.403573629081947</v>
      </c>
    </row>
    <row r="2014" spans="11:13" x14ac:dyDescent="0.25">
      <c r="K2014" s="26" t="s">
        <v>109</v>
      </c>
      <c r="L2014" s="27" t="s">
        <v>117</v>
      </c>
      <c r="M2014" s="10">
        <v>15.403573629081947</v>
      </c>
    </row>
    <row r="2015" spans="11:13" x14ac:dyDescent="0.25">
      <c r="K2015" s="26" t="s">
        <v>109</v>
      </c>
      <c r="L2015" s="27" t="s">
        <v>118</v>
      </c>
      <c r="M2015" s="10">
        <v>15.403573629081947</v>
      </c>
    </row>
    <row r="2016" spans="11:13" x14ac:dyDescent="0.25">
      <c r="K2016" s="26" t="s">
        <v>109</v>
      </c>
      <c r="L2016" s="27" t="s">
        <v>119</v>
      </c>
      <c r="M2016" s="10">
        <v>15.403573629081947</v>
      </c>
    </row>
    <row r="2017" spans="11:13" x14ac:dyDescent="0.25">
      <c r="K2017" s="26" t="s">
        <v>109</v>
      </c>
      <c r="L2017" s="27" t="s">
        <v>115</v>
      </c>
      <c r="M2017" s="10">
        <v>15.403573629081947</v>
      </c>
    </row>
    <row r="2018" spans="11:13" x14ac:dyDescent="0.25">
      <c r="K2018" s="26" t="s">
        <v>110</v>
      </c>
      <c r="L2018" s="27" t="s">
        <v>116</v>
      </c>
      <c r="M2018" s="10">
        <v>15.403573629081947</v>
      </c>
    </row>
    <row r="2019" spans="11:13" x14ac:dyDescent="0.25">
      <c r="K2019" s="26" t="s">
        <v>111</v>
      </c>
      <c r="L2019" s="27" t="s">
        <v>117</v>
      </c>
      <c r="M2019" s="10">
        <v>15.403573629081947</v>
      </c>
    </row>
    <row r="2020" spans="11:13" x14ac:dyDescent="0.25">
      <c r="K2020" s="26" t="s">
        <v>110</v>
      </c>
      <c r="L2020" s="27" t="s">
        <v>118</v>
      </c>
      <c r="M2020" s="10">
        <v>105.89854918987609</v>
      </c>
    </row>
    <row r="2021" spans="11:13" x14ac:dyDescent="0.25">
      <c r="K2021" s="26" t="s">
        <v>110</v>
      </c>
      <c r="L2021" s="27" t="s">
        <v>119</v>
      </c>
      <c r="M2021" s="10">
        <v>15.403573629081947</v>
      </c>
    </row>
    <row r="2022" spans="11:13" x14ac:dyDescent="0.25">
      <c r="K2022" s="26" t="s">
        <v>110</v>
      </c>
      <c r="L2022" s="27" t="s">
        <v>115</v>
      </c>
      <c r="M2022" s="10">
        <v>15.403573629081947</v>
      </c>
    </row>
    <row r="2023" spans="11:13" x14ac:dyDescent="0.25">
      <c r="K2023" s="26" t="s">
        <v>109</v>
      </c>
      <c r="L2023" s="27" t="s">
        <v>116</v>
      </c>
      <c r="M2023" s="10">
        <v>15.403573629081947</v>
      </c>
    </row>
    <row r="2024" spans="11:13" x14ac:dyDescent="0.25">
      <c r="K2024" s="26" t="s">
        <v>112</v>
      </c>
      <c r="L2024" s="27" t="s">
        <v>117</v>
      </c>
      <c r="M2024" s="10">
        <v>15.403573629081947</v>
      </c>
    </row>
    <row r="2025" spans="11:13" x14ac:dyDescent="0.25">
      <c r="K2025" s="26" t="s">
        <v>109</v>
      </c>
      <c r="L2025" s="27" t="s">
        <v>118</v>
      </c>
      <c r="M2025" s="10">
        <v>15.403573629081947</v>
      </c>
    </row>
    <row r="2026" spans="11:13" x14ac:dyDescent="0.25">
      <c r="K2026" s="26" t="s">
        <v>109</v>
      </c>
      <c r="L2026" s="27" t="s">
        <v>119</v>
      </c>
      <c r="M2026" s="10">
        <v>15.403573629081947</v>
      </c>
    </row>
    <row r="2027" spans="11:13" x14ac:dyDescent="0.25">
      <c r="K2027" s="26" t="s">
        <v>111</v>
      </c>
      <c r="L2027" s="27" t="s">
        <v>115</v>
      </c>
      <c r="M2027" s="10">
        <v>15.403573629081947</v>
      </c>
    </row>
    <row r="2028" spans="11:13" x14ac:dyDescent="0.25">
      <c r="K2028" s="26" t="s">
        <v>110</v>
      </c>
      <c r="L2028" s="27" t="s">
        <v>116</v>
      </c>
      <c r="M2028" s="10">
        <v>15.403573629081947</v>
      </c>
    </row>
    <row r="2029" spans="11:13" x14ac:dyDescent="0.25">
      <c r="K2029" s="26" t="s">
        <v>111</v>
      </c>
      <c r="L2029" s="27" t="s">
        <v>117</v>
      </c>
      <c r="M2029" s="10">
        <v>15.403573629081947</v>
      </c>
    </row>
    <row r="2030" spans="11:13" x14ac:dyDescent="0.25">
      <c r="K2030" s="26" t="s">
        <v>109</v>
      </c>
      <c r="L2030" s="27" t="s">
        <v>118</v>
      </c>
      <c r="M2030" s="10">
        <v>15.403573629081947</v>
      </c>
    </row>
    <row r="2031" spans="11:13" x14ac:dyDescent="0.25">
      <c r="K2031" s="26" t="s">
        <v>109</v>
      </c>
      <c r="L2031" s="27" t="s">
        <v>119</v>
      </c>
      <c r="M2031" s="10">
        <v>15.403573629081947</v>
      </c>
    </row>
    <row r="2032" spans="11:13" x14ac:dyDescent="0.25">
      <c r="K2032" s="26" t="s">
        <v>110</v>
      </c>
      <c r="L2032" s="27" t="s">
        <v>115</v>
      </c>
      <c r="M2032" s="10">
        <v>19.841269841269842</v>
      </c>
    </row>
    <row r="2033" spans="11:13" x14ac:dyDescent="0.25">
      <c r="K2033" s="26" t="s">
        <v>112</v>
      </c>
      <c r="L2033" s="27" t="s">
        <v>116</v>
      </c>
      <c r="M2033" s="10">
        <v>2.7834215167548502</v>
      </c>
    </row>
    <row r="2034" spans="11:13" x14ac:dyDescent="0.25">
      <c r="K2034" s="26" t="s">
        <v>111</v>
      </c>
      <c r="L2034" s="27" t="s">
        <v>117</v>
      </c>
      <c r="M2034" s="10">
        <v>15.403573629081947</v>
      </c>
    </row>
    <row r="2035" spans="11:13" x14ac:dyDescent="0.25">
      <c r="K2035" s="26" t="s">
        <v>109</v>
      </c>
      <c r="L2035" s="27" t="s">
        <v>118</v>
      </c>
      <c r="M2035" s="10">
        <v>15.403573629081947</v>
      </c>
    </row>
    <row r="2036" spans="11:13" x14ac:dyDescent="0.25">
      <c r="K2036" s="26" t="s">
        <v>109</v>
      </c>
      <c r="L2036" s="27" t="s">
        <v>119</v>
      </c>
      <c r="M2036" s="10">
        <v>15.403573629081947</v>
      </c>
    </row>
    <row r="2037" spans="11:13" x14ac:dyDescent="0.25">
      <c r="K2037" s="26" t="s">
        <v>109</v>
      </c>
      <c r="L2037" s="27" t="s">
        <v>115</v>
      </c>
      <c r="M2037" s="10">
        <v>15.403573629081947</v>
      </c>
    </row>
    <row r="2038" spans="11:13" x14ac:dyDescent="0.25">
      <c r="K2038" s="26" t="s">
        <v>111</v>
      </c>
      <c r="L2038" s="27" t="s">
        <v>116</v>
      </c>
      <c r="M2038" s="10">
        <v>15.403573629081947</v>
      </c>
    </row>
    <row r="2039" spans="11:13" x14ac:dyDescent="0.25">
      <c r="K2039" s="26" t="s">
        <v>111</v>
      </c>
      <c r="L2039" s="27" t="s">
        <v>117</v>
      </c>
      <c r="M2039" s="10">
        <v>15.403573629081947</v>
      </c>
    </row>
    <row r="2040" spans="11:13" x14ac:dyDescent="0.25">
      <c r="K2040" s="26" t="s">
        <v>110</v>
      </c>
      <c r="L2040" s="27" t="s">
        <v>118</v>
      </c>
      <c r="M2040" s="10">
        <v>661.37566137566137</v>
      </c>
    </row>
    <row r="2041" spans="11:13" x14ac:dyDescent="0.25">
      <c r="K2041" s="26" t="s">
        <v>109</v>
      </c>
      <c r="L2041" s="27" t="s">
        <v>119</v>
      </c>
      <c r="M2041" s="10">
        <v>39.682539682539684</v>
      </c>
    </row>
    <row r="2042" spans="11:13" x14ac:dyDescent="0.25">
      <c r="K2042" s="26" t="s">
        <v>113</v>
      </c>
      <c r="L2042" s="27" t="s">
        <v>115</v>
      </c>
      <c r="M2042" s="10">
        <v>1.5403573629081948</v>
      </c>
    </row>
    <row r="2043" spans="11:13" x14ac:dyDescent="0.25">
      <c r="K2043" s="26" t="s">
        <v>112</v>
      </c>
      <c r="L2043" s="27" t="s">
        <v>116</v>
      </c>
      <c r="M2043" s="10">
        <v>15.403573629081947</v>
      </c>
    </row>
    <row r="2044" spans="11:13" x14ac:dyDescent="0.25">
      <c r="K2044" s="26" t="s">
        <v>111</v>
      </c>
      <c r="L2044" s="27" t="s">
        <v>117</v>
      </c>
      <c r="M2044" s="10">
        <v>15.403573629081947</v>
      </c>
    </row>
    <row r="2045" spans="11:13" x14ac:dyDescent="0.25">
      <c r="K2045" s="26" t="s">
        <v>111</v>
      </c>
      <c r="L2045" s="27" t="s">
        <v>118</v>
      </c>
      <c r="M2045" s="10">
        <v>15.403573629081947</v>
      </c>
    </row>
    <row r="2046" spans="11:13" x14ac:dyDescent="0.25">
      <c r="K2046" s="26" t="s">
        <v>111</v>
      </c>
      <c r="L2046" s="27" t="s">
        <v>119</v>
      </c>
      <c r="M2046" s="10">
        <v>15.403573629081947</v>
      </c>
    </row>
    <row r="2047" spans="11:13" x14ac:dyDescent="0.25">
      <c r="K2047" s="26" t="s">
        <v>110</v>
      </c>
      <c r="L2047" s="27" t="s">
        <v>115</v>
      </c>
      <c r="M2047" s="10">
        <v>15.403573629081947</v>
      </c>
    </row>
    <row r="2048" spans="11:13" x14ac:dyDescent="0.25">
      <c r="K2048" s="26" t="s">
        <v>109</v>
      </c>
      <c r="L2048" s="27" t="s">
        <v>116</v>
      </c>
      <c r="M2048" s="10">
        <v>15.403573629081947</v>
      </c>
    </row>
    <row r="2049" spans="11:13" x14ac:dyDescent="0.25">
      <c r="K2049" s="26" t="s">
        <v>109</v>
      </c>
      <c r="L2049" s="27" t="s">
        <v>117</v>
      </c>
      <c r="M2049" s="10">
        <v>15.403573629081947</v>
      </c>
    </row>
    <row r="2050" spans="11:13" x14ac:dyDescent="0.25">
      <c r="K2050" s="26" t="s">
        <v>109</v>
      </c>
      <c r="L2050" s="27" t="s">
        <v>118</v>
      </c>
      <c r="M2050" s="10">
        <v>105.89854918987609</v>
      </c>
    </row>
    <row r="2051" spans="11:13" x14ac:dyDescent="0.25">
      <c r="K2051" s="26" t="s">
        <v>110</v>
      </c>
      <c r="L2051" s="27" t="s">
        <v>119</v>
      </c>
      <c r="M2051" s="10">
        <v>1947.7306409049929</v>
      </c>
    </row>
    <row r="2052" spans="11:13" x14ac:dyDescent="0.25">
      <c r="K2052" s="26" t="s">
        <v>110</v>
      </c>
      <c r="L2052" s="27" t="s">
        <v>115</v>
      </c>
      <c r="M2052" s="10">
        <v>661.37566137566137</v>
      </c>
    </row>
    <row r="2053" spans="11:13" x14ac:dyDescent="0.25">
      <c r="K2053" s="26" t="s">
        <v>110</v>
      </c>
      <c r="L2053" s="27" t="s">
        <v>116</v>
      </c>
      <c r="M2053" s="10">
        <v>77.088124574409321</v>
      </c>
    </row>
    <row r="2054" spans="11:13" x14ac:dyDescent="0.25">
      <c r="K2054" s="26" t="s">
        <v>109</v>
      </c>
      <c r="L2054" s="27" t="s">
        <v>117</v>
      </c>
      <c r="M2054" s="10">
        <v>128.48020762401552</v>
      </c>
    </row>
    <row r="2055" spans="11:13" x14ac:dyDescent="0.25">
      <c r="K2055" s="26" t="s">
        <v>109</v>
      </c>
      <c r="L2055" s="27" t="s">
        <v>118</v>
      </c>
      <c r="M2055" s="10">
        <v>15.403573629081947</v>
      </c>
    </row>
    <row r="2056" spans="11:13" x14ac:dyDescent="0.25">
      <c r="K2056" s="26" t="s">
        <v>112</v>
      </c>
      <c r="L2056" s="27" t="s">
        <v>119</v>
      </c>
      <c r="M2056" s="10">
        <v>15.403573629081947</v>
      </c>
    </row>
    <row r="2057" spans="11:13" x14ac:dyDescent="0.25">
      <c r="K2057" s="26" t="s">
        <v>113</v>
      </c>
      <c r="L2057" s="27" t="s">
        <v>115</v>
      </c>
      <c r="M2057" s="10">
        <v>30.807147258163894</v>
      </c>
    </row>
    <row r="2058" spans="11:13" x14ac:dyDescent="0.25">
      <c r="K2058" s="26" t="s">
        <v>110</v>
      </c>
      <c r="L2058" s="27" t="s">
        <v>116</v>
      </c>
      <c r="M2058" s="10">
        <v>123.5</v>
      </c>
    </row>
    <row r="2059" spans="11:13" x14ac:dyDescent="0.25">
      <c r="K2059" s="26" t="s">
        <v>110</v>
      </c>
      <c r="L2059" s="27" t="s">
        <v>117</v>
      </c>
      <c r="M2059" s="10">
        <v>131.68287739294669</v>
      </c>
    </row>
    <row r="2060" spans="11:13" x14ac:dyDescent="0.25">
      <c r="K2060" s="26" t="s">
        <v>112</v>
      </c>
      <c r="L2060" s="27" t="s">
        <v>118</v>
      </c>
      <c r="M2060" s="10">
        <v>34.470872113064452</v>
      </c>
    </row>
    <row r="2061" spans="11:13" x14ac:dyDescent="0.25">
      <c r="K2061" s="26" t="s">
        <v>109</v>
      </c>
      <c r="L2061" s="27" t="s">
        <v>119</v>
      </c>
      <c r="M2061" s="10">
        <v>105.89854918987609</v>
      </c>
    </row>
    <row r="2062" spans="11:13" x14ac:dyDescent="0.25">
      <c r="K2062" s="26" t="s">
        <v>109</v>
      </c>
      <c r="L2062" s="27" t="s">
        <v>115</v>
      </c>
      <c r="M2062" s="10">
        <v>5294.9274594938051</v>
      </c>
    </row>
    <row r="2063" spans="11:13" x14ac:dyDescent="0.25">
      <c r="K2063" s="26" t="s">
        <v>109</v>
      </c>
      <c r="L2063" s="27" t="s">
        <v>116</v>
      </c>
      <c r="M2063" s="10">
        <v>1588.4782378481414</v>
      </c>
    </row>
    <row r="2064" spans="11:13" x14ac:dyDescent="0.25">
      <c r="K2064" s="26" t="s">
        <v>114</v>
      </c>
      <c r="L2064" s="27" t="s">
        <v>117</v>
      </c>
      <c r="M2064" s="10">
        <v>317.69564756962825</v>
      </c>
    </row>
    <row r="2065" spans="11:13" x14ac:dyDescent="0.25">
      <c r="K2065" s="26" t="s">
        <v>111</v>
      </c>
      <c r="L2065" s="27" t="s">
        <v>118</v>
      </c>
      <c r="M2065" s="10">
        <v>370.64492216456637</v>
      </c>
    </row>
    <row r="2066" spans="11:13" x14ac:dyDescent="0.25">
      <c r="K2066" s="26" t="s">
        <v>112</v>
      </c>
      <c r="L2066" s="27" t="s">
        <v>119</v>
      </c>
      <c r="M2066" s="10">
        <v>231.05360443622922</v>
      </c>
    </row>
    <row r="2067" spans="11:13" x14ac:dyDescent="0.25">
      <c r="K2067" s="26" t="s">
        <v>112</v>
      </c>
      <c r="L2067" s="27" t="s">
        <v>115</v>
      </c>
      <c r="M2067" s="10">
        <v>38.54406228720466</v>
      </c>
    </row>
    <row r="2068" spans="11:13" x14ac:dyDescent="0.25">
      <c r="K2068" s="26" t="s">
        <v>109</v>
      </c>
      <c r="L2068" s="27" t="s">
        <v>116</v>
      </c>
      <c r="M2068" s="10">
        <v>22.406066873491898</v>
      </c>
    </row>
    <row r="2069" spans="11:13" x14ac:dyDescent="0.25">
      <c r="K2069" s="26" t="s">
        <v>111</v>
      </c>
      <c r="L2069" s="27" t="s">
        <v>117</v>
      </c>
      <c r="M2069" s="10">
        <v>61.614294516327789</v>
      </c>
    </row>
    <row r="2070" spans="11:13" x14ac:dyDescent="0.25">
      <c r="K2070" s="26" t="s">
        <v>113</v>
      </c>
      <c r="L2070" s="27" t="s">
        <v>118</v>
      </c>
      <c r="M2070" s="10">
        <v>46.210720887245841</v>
      </c>
    </row>
    <row r="2071" spans="11:13" x14ac:dyDescent="0.25">
      <c r="K2071" s="26" t="s">
        <v>111</v>
      </c>
      <c r="L2071" s="27" t="s">
        <v>119</v>
      </c>
      <c r="M2071" s="10">
        <v>77.017868145409736</v>
      </c>
    </row>
    <row r="2072" spans="11:13" x14ac:dyDescent="0.25">
      <c r="K2072" s="26" t="s">
        <v>109</v>
      </c>
      <c r="L2072" s="27" t="s">
        <v>115</v>
      </c>
      <c r="M2072" s="10">
        <v>46.210720887245841</v>
      </c>
    </row>
    <row r="2073" spans="11:13" x14ac:dyDescent="0.25">
      <c r="K2073" s="26" t="s">
        <v>114</v>
      </c>
      <c r="L2073" s="27" t="s">
        <v>116</v>
      </c>
      <c r="M2073" s="10">
        <v>37.917959324370905</v>
      </c>
    </row>
    <row r="2074" spans="11:13" x14ac:dyDescent="0.25">
      <c r="K2074" s="26" t="s">
        <v>112</v>
      </c>
      <c r="L2074" s="27" t="s">
        <v>117</v>
      </c>
      <c r="M2074" s="10">
        <v>65</v>
      </c>
    </row>
    <row r="2075" spans="11:13" x14ac:dyDescent="0.25">
      <c r="K2075" s="26" t="s">
        <v>111</v>
      </c>
      <c r="L2075" s="27" t="s">
        <v>118</v>
      </c>
      <c r="M2075" s="10">
        <v>52.949274594938046</v>
      </c>
    </row>
    <row r="2076" spans="11:13" x14ac:dyDescent="0.25">
      <c r="K2076" s="26" t="s">
        <v>111</v>
      </c>
      <c r="L2076" s="27" t="s">
        <v>119</v>
      </c>
      <c r="M2076" s="10">
        <v>3.6080246913580249</v>
      </c>
    </row>
    <row r="2077" spans="11:13" x14ac:dyDescent="0.25">
      <c r="K2077" s="26" t="s">
        <v>111</v>
      </c>
      <c r="L2077" s="27" t="s">
        <v>115</v>
      </c>
      <c r="M2077" s="10">
        <v>12.848020762401553</v>
      </c>
    </row>
    <row r="2078" spans="11:13" x14ac:dyDescent="0.25">
      <c r="K2078" s="26" t="s">
        <v>113</v>
      </c>
      <c r="L2078" s="27" t="s">
        <v>116</v>
      </c>
      <c r="M2078" s="10">
        <v>22.045855379188712</v>
      </c>
    </row>
    <row r="2079" spans="11:13" x14ac:dyDescent="0.25">
      <c r="K2079" s="26" t="s">
        <v>114</v>
      </c>
      <c r="L2079" s="27" t="s">
        <v>117</v>
      </c>
      <c r="M2079" s="10">
        <v>91.585994669695125</v>
      </c>
    </row>
    <row r="2080" spans="11:13" x14ac:dyDescent="0.25">
      <c r="K2080" s="26" t="s">
        <v>112</v>
      </c>
      <c r="L2080" s="27" t="s">
        <v>118</v>
      </c>
      <c r="M2080" s="10">
        <v>27.475798400908538</v>
      </c>
    </row>
    <row r="2081" spans="11:13" x14ac:dyDescent="0.25">
      <c r="K2081" s="26" t="s">
        <v>111</v>
      </c>
      <c r="L2081" s="27" t="s">
        <v>119</v>
      </c>
      <c r="M2081" s="10">
        <v>44.091710758377424</v>
      </c>
    </row>
    <row r="2082" spans="11:13" x14ac:dyDescent="0.25">
      <c r="K2082" s="26" t="s">
        <v>111</v>
      </c>
      <c r="L2082" s="27" t="s">
        <v>115</v>
      </c>
      <c r="M2082" s="10">
        <v>44.091710758377424</v>
      </c>
    </row>
    <row r="2083" spans="11:13" x14ac:dyDescent="0.25">
      <c r="K2083" s="26" t="s">
        <v>111</v>
      </c>
      <c r="L2083" s="27" t="s">
        <v>116</v>
      </c>
      <c r="M2083" s="10">
        <v>44.091710758377424</v>
      </c>
    </row>
    <row r="2084" spans="11:13" x14ac:dyDescent="0.25">
      <c r="K2084" s="26" t="s">
        <v>111</v>
      </c>
      <c r="L2084" s="27" t="s">
        <v>117</v>
      </c>
      <c r="M2084" s="10">
        <v>370.64492216456637</v>
      </c>
    </row>
    <row r="2085" spans="11:13" x14ac:dyDescent="0.25">
      <c r="K2085" s="26" t="s">
        <v>110</v>
      </c>
      <c r="L2085" s="27" t="s">
        <v>118</v>
      </c>
      <c r="M2085" s="10">
        <v>64.24010381200776</v>
      </c>
    </row>
    <row r="2086" spans="11:13" x14ac:dyDescent="0.25">
      <c r="K2086" s="26" t="s">
        <v>109</v>
      </c>
      <c r="L2086" s="27" t="s">
        <v>119</v>
      </c>
      <c r="M2086" s="10">
        <v>344.70872113064462</v>
      </c>
    </row>
    <row r="2087" spans="11:13" x14ac:dyDescent="0.25">
      <c r="K2087" s="26" t="s">
        <v>113</v>
      </c>
      <c r="L2087" s="27" t="s">
        <v>115</v>
      </c>
      <c r="M2087" s="10">
        <v>132.27513227513228</v>
      </c>
    </row>
    <row r="2088" spans="11:13" x14ac:dyDescent="0.25">
      <c r="K2088" s="26" t="s">
        <v>113</v>
      </c>
      <c r="L2088" s="27" t="s">
        <v>116</v>
      </c>
      <c r="M2088" s="10">
        <v>69.316081330868769</v>
      </c>
    </row>
    <row r="2089" spans="11:13" x14ac:dyDescent="0.25">
      <c r="K2089" s="26" t="s">
        <v>113</v>
      </c>
      <c r="L2089" s="27" t="s">
        <v>117</v>
      </c>
      <c r="M2089" s="10">
        <v>15.403573629081947</v>
      </c>
    </row>
    <row r="2090" spans="11:13" x14ac:dyDescent="0.25">
      <c r="K2090" s="26" t="s">
        <v>109</v>
      </c>
      <c r="L2090" s="27" t="s">
        <v>118</v>
      </c>
      <c r="M2090" s="10">
        <v>15.403573629081947</v>
      </c>
    </row>
    <row r="2091" spans="11:13" x14ac:dyDescent="0.25">
      <c r="K2091" s="26" t="s">
        <v>112</v>
      </c>
      <c r="L2091" s="27" t="s">
        <v>119</v>
      </c>
      <c r="M2091" s="10">
        <v>15.403573629081947</v>
      </c>
    </row>
    <row r="2092" spans="11:13" x14ac:dyDescent="0.25">
      <c r="K2092" s="26" t="s">
        <v>111</v>
      </c>
      <c r="L2092" s="27" t="s">
        <v>115</v>
      </c>
      <c r="M2092" s="10">
        <v>15.403573629081947</v>
      </c>
    </row>
    <row r="2093" spans="11:13" x14ac:dyDescent="0.25">
      <c r="K2093" s="26" t="s">
        <v>111</v>
      </c>
      <c r="L2093" s="27" t="s">
        <v>116</v>
      </c>
      <c r="M2093" s="10">
        <v>15.403573629081947</v>
      </c>
    </row>
    <row r="2094" spans="11:13" x14ac:dyDescent="0.25">
      <c r="K2094" s="26" t="s">
        <v>111</v>
      </c>
      <c r="L2094" s="27" t="s">
        <v>117</v>
      </c>
      <c r="M2094" s="10">
        <v>15.403573629081947</v>
      </c>
    </row>
    <row r="2095" spans="11:13" x14ac:dyDescent="0.25">
      <c r="K2095" s="26" t="s">
        <v>109</v>
      </c>
      <c r="L2095" s="27" t="s">
        <v>118</v>
      </c>
      <c r="M2095" s="10">
        <v>107.82501540357363</v>
      </c>
    </row>
    <row r="2096" spans="11:13" x14ac:dyDescent="0.25">
      <c r="K2096" s="26" t="s">
        <v>109</v>
      </c>
      <c r="L2096" s="27" t="s">
        <v>119</v>
      </c>
      <c r="M2096" s="10">
        <v>162.89279112754159</v>
      </c>
    </row>
    <row r="2097" spans="11:13" x14ac:dyDescent="0.25">
      <c r="K2097" s="26" t="s">
        <v>109</v>
      </c>
      <c r="L2097" s="27" t="s">
        <v>115</v>
      </c>
      <c r="M2097" s="10">
        <v>81.440234134319169</v>
      </c>
    </row>
    <row r="2098" spans="11:13" x14ac:dyDescent="0.25">
      <c r="K2098" s="26" t="s">
        <v>111</v>
      </c>
      <c r="L2098" s="27" t="s">
        <v>116</v>
      </c>
      <c r="M2098" s="10">
        <v>308.07147258163894</v>
      </c>
    </row>
    <row r="2099" spans="11:13" x14ac:dyDescent="0.25">
      <c r="K2099" s="26" t="s">
        <v>110</v>
      </c>
      <c r="L2099" s="27" t="s">
        <v>117</v>
      </c>
      <c r="M2099" s="10">
        <v>15.403573629081947</v>
      </c>
    </row>
    <row r="2100" spans="11:13" x14ac:dyDescent="0.25">
      <c r="K2100" s="26" t="s">
        <v>113</v>
      </c>
      <c r="L2100" s="27" t="s">
        <v>118</v>
      </c>
      <c r="M2100" s="10">
        <v>15.403573629081947</v>
      </c>
    </row>
    <row r="2101" spans="11:13" x14ac:dyDescent="0.25">
      <c r="K2101" s="26" t="s">
        <v>113</v>
      </c>
      <c r="L2101" s="27" t="s">
        <v>119</v>
      </c>
      <c r="M2101" s="10">
        <v>43.130006161429456</v>
      </c>
    </row>
    <row r="2102" spans="11:13" x14ac:dyDescent="0.25">
      <c r="K2102" s="26" t="s">
        <v>109</v>
      </c>
      <c r="L2102" s="27" t="s">
        <v>115</v>
      </c>
      <c r="M2102" s="10">
        <v>30.8641975308642</v>
      </c>
    </row>
    <row r="2103" spans="11:13" x14ac:dyDescent="0.25">
      <c r="K2103" s="26" t="s">
        <v>109</v>
      </c>
      <c r="L2103" s="27" t="s">
        <v>116</v>
      </c>
      <c r="M2103" s="10">
        <v>256.84522442229064</v>
      </c>
    </row>
    <row r="2104" spans="11:13" x14ac:dyDescent="0.25">
      <c r="K2104" s="26" t="s">
        <v>111</v>
      </c>
      <c r="L2104" s="27" t="s">
        <v>117</v>
      </c>
      <c r="M2104" s="10">
        <v>35.273368606701936</v>
      </c>
    </row>
    <row r="2105" spans="11:13" x14ac:dyDescent="0.25">
      <c r="K2105" s="26" t="s">
        <v>111</v>
      </c>
      <c r="L2105" s="27" t="s">
        <v>118</v>
      </c>
      <c r="M2105" s="10">
        <v>102.78416609921243</v>
      </c>
    </row>
    <row r="2106" spans="11:13" x14ac:dyDescent="0.25">
      <c r="K2106" s="26" t="s">
        <v>110</v>
      </c>
      <c r="L2106" s="27" t="s">
        <v>119</v>
      </c>
      <c r="M2106" s="10">
        <v>146.90132275132277</v>
      </c>
    </row>
    <row r="2107" spans="11:13" x14ac:dyDescent="0.25">
      <c r="K2107" s="26" t="s">
        <v>109</v>
      </c>
      <c r="L2107" s="27" t="s">
        <v>115</v>
      </c>
      <c r="M2107" s="10">
        <v>88.183421516754848</v>
      </c>
    </row>
    <row r="2108" spans="11:13" x14ac:dyDescent="0.25">
      <c r="K2108" s="26" t="s">
        <v>111</v>
      </c>
      <c r="L2108" s="27" t="s">
        <v>116</v>
      </c>
      <c r="M2108" s="10">
        <v>64.460530851430534</v>
      </c>
    </row>
    <row r="2109" spans="11:13" x14ac:dyDescent="0.25">
      <c r="K2109" s="26" t="s">
        <v>111</v>
      </c>
      <c r="L2109" s="27" t="s">
        <v>117</v>
      </c>
      <c r="M2109" s="10">
        <v>66.137566137566139</v>
      </c>
    </row>
    <row r="2110" spans="11:13" x14ac:dyDescent="0.25">
      <c r="K2110" s="26" t="s">
        <v>110</v>
      </c>
      <c r="L2110" s="27" t="s">
        <v>118</v>
      </c>
      <c r="M2110" s="10">
        <v>2.4309213191799692</v>
      </c>
    </row>
    <row r="2111" spans="11:13" x14ac:dyDescent="0.25">
      <c r="K2111" s="26" t="s">
        <v>110</v>
      </c>
      <c r="L2111" s="27" t="s">
        <v>119</v>
      </c>
      <c r="M2111" s="10">
        <v>81.030710639332298</v>
      </c>
    </row>
    <row r="2112" spans="11:13" x14ac:dyDescent="0.25">
      <c r="K2112" s="26" t="s">
        <v>110</v>
      </c>
      <c r="L2112" s="27" t="s">
        <v>115</v>
      </c>
      <c r="M2112" s="10">
        <v>18.634796940322506</v>
      </c>
    </row>
    <row r="2113" spans="11:13" x14ac:dyDescent="0.25">
      <c r="K2113" s="26" t="s">
        <v>113</v>
      </c>
      <c r="L2113" s="27" t="s">
        <v>116</v>
      </c>
      <c r="M2113" s="10">
        <v>24.846395920430009</v>
      </c>
    </row>
    <row r="2114" spans="11:13" x14ac:dyDescent="0.25">
      <c r="K2114" s="26" t="s">
        <v>113</v>
      </c>
      <c r="L2114" s="27" t="s">
        <v>117</v>
      </c>
      <c r="M2114" s="10">
        <v>24.846395920430009</v>
      </c>
    </row>
    <row r="2115" spans="11:13" x14ac:dyDescent="0.25">
      <c r="K2115" s="26" t="s">
        <v>111</v>
      </c>
      <c r="L2115" s="27" t="s">
        <v>118</v>
      </c>
      <c r="M2115" s="10">
        <v>132.27513227513228</v>
      </c>
    </row>
    <row r="2116" spans="11:13" x14ac:dyDescent="0.25">
      <c r="K2116" s="26" t="s">
        <v>113</v>
      </c>
      <c r="L2116" s="27" t="s">
        <v>119</v>
      </c>
      <c r="M2116" s="10">
        <v>70.546737213403873</v>
      </c>
    </row>
    <row r="2117" spans="11:13" x14ac:dyDescent="0.25">
      <c r="K2117" s="26" t="s">
        <v>113</v>
      </c>
      <c r="L2117" s="27" t="s">
        <v>115</v>
      </c>
      <c r="M2117" s="10">
        <v>24.846395920430009</v>
      </c>
    </row>
    <row r="2118" spans="11:13" x14ac:dyDescent="0.25">
      <c r="K2118" s="26" t="s">
        <v>113</v>
      </c>
      <c r="L2118" s="27" t="s">
        <v>116</v>
      </c>
      <c r="M2118" s="10">
        <v>52.949274594938046</v>
      </c>
    </row>
    <row r="2119" spans="11:13" x14ac:dyDescent="0.25">
      <c r="K2119" s="26" t="s">
        <v>110</v>
      </c>
      <c r="L2119" s="27" t="s">
        <v>117</v>
      </c>
      <c r="M2119" s="10">
        <v>529.49274594938049</v>
      </c>
    </row>
    <row r="2120" spans="11:13" x14ac:dyDescent="0.25">
      <c r="K2120" s="26" t="s">
        <v>110</v>
      </c>
      <c r="L2120" s="27" t="s">
        <v>118</v>
      </c>
      <c r="M2120" s="10">
        <v>317.69564756962825</v>
      </c>
    </row>
    <row r="2121" spans="11:13" x14ac:dyDescent="0.25">
      <c r="K2121" s="26" t="s">
        <v>110</v>
      </c>
      <c r="L2121" s="27" t="s">
        <v>119</v>
      </c>
      <c r="M2121" s="10">
        <v>7.8347442680776016</v>
      </c>
    </row>
    <row r="2122" spans="11:13" x14ac:dyDescent="0.25">
      <c r="K2122" s="26" t="s">
        <v>110</v>
      </c>
      <c r="L2122" s="27" t="s">
        <v>115</v>
      </c>
      <c r="M2122" s="10">
        <v>22.045855379188712</v>
      </c>
    </row>
    <row r="2123" spans="11:13" x14ac:dyDescent="0.25">
      <c r="K2123" s="26" t="s">
        <v>113</v>
      </c>
      <c r="L2123" s="27" t="s">
        <v>116</v>
      </c>
      <c r="M2123" s="10">
        <v>66.137566137566139</v>
      </c>
    </row>
    <row r="2124" spans="11:13" x14ac:dyDescent="0.25">
      <c r="K2124" s="26" t="s">
        <v>113</v>
      </c>
      <c r="L2124" s="27" t="s">
        <v>117</v>
      </c>
      <c r="M2124" s="10">
        <v>66.137566137566139</v>
      </c>
    </row>
    <row r="2125" spans="11:13" x14ac:dyDescent="0.25">
      <c r="K2125" s="26" t="s">
        <v>110</v>
      </c>
      <c r="L2125" s="27" t="s">
        <v>118</v>
      </c>
      <c r="M2125" s="10">
        <v>52.949274594938046</v>
      </c>
    </row>
    <row r="2126" spans="11:13" x14ac:dyDescent="0.25">
      <c r="K2126" s="26" t="s">
        <v>110</v>
      </c>
      <c r="L2126" s="27" t="s">
        <v>119</v>
      </c>
      <c r="M2126" s="10">
        <v>52.949274594938046</v>
      </c>
    </row>
    <row r="2127" spans="11:13" x14ac:dyDescent="0.25">
      <c r="K2127" s="26" t="s">
        <v>110</v>
      </c>
      <c r="L2127" s="27" t="s">
        <v>115</v>
      </c>
      <c r="M2127" s="10">
        <v>24.846395920430009</v>
      </c>
    </row>
    <row r="2128" spans="11:13" x14ac:dyDescent="0.25">
      <c r="K2128" s="26" t="s">
        <v>110</v>
      </c>
      <c r="L2128" s="27" t="s">
        <v>116</v>
      </c>
      <c r="M2128" s="10">
        <v>100</v>
      </c>
    </row>
    <row r="2129" spans="11:13" x14ac:dyDescent="0.25">
      <c r="K2129" s="26" t="s">
        <v>110</v>
      </c>
      <c r="L2129" s="27" t="s">
        <v>117</v>
      </c>
      <c r="M2129" s="10">
        <v>308.07147258163894</v>
      </c>
    </row>
    <row r="2130" spans="11:13" x14ac:dyDescent="0.25">
      <c r="K2130" s="26" t="s">
        <v>110</v>
      </c>
      <c r="L2130" s="27" t="s">
        <v>118</v>
      </c>
      <c r="M2130" s="10">
        <v>110.22927689594357</v>
      </c>
    </row>
    <row r="2131" spans="11:13" x14ac:dyDescent="0.25">
      <c r="K2131" s="26" t="s">
        <v>110</v>
      </c>
      <c r="L2131" s="27" t="s">
        <v>119</v>
      </c>
      <c r="M2131" s="10">
        <v>480.36155202821868</v>
      </c>
    </row>
    <row r="2132" spans="11:13" x14ac:dyDescent="0.25">
      <c r="K2132" s="26" t="s">
        <v>109</v>
      </c>
      <c r="L2132" s="27" t="s">
        <v>115</v>
      </c>
      <c r="M2132" s="10">
        <v>66.137566137566139</v>
      </c>
    </row>
    <row r="2133" spans="11:13" x14ac:dyDescent="0.25">
      <c r="K2133" s="26" t="s">
        <v>113</v>
      </c>
      <c r="L2133" s="27" t="s">
        <v>116</v>
      </c>
      <c r="M2133" s="10">
        <v>37.47795414462081</v>
      </c>
    </row>
    <row r="2134" spans="11:13" x14ac:dyDescent="0.25">
      <c r="K2134" s="26" t="s">
        <v>113</v>
      </c>
      <c r="L2134" s="27" t="s">
        <v>117</v>
      </c>
      <c r="M2134" s="10">
        <v>176.3668430335097</v>
      </c>
    </row>
    <row r="2135" spans="11:13" x14ac:dyDescent="0.25">
      <c r="K2135" s="26" t="s">
        <v>109</v>
      </c>
      <c r="L2135" s="27" t="s">
        <v>118</v>
      </c>
      <c r="M2135" s="10">
        <v>10.5</v>
      </c>
    </row>
    <row r="2136" spans="11:13" x14ac:dyDescent="0.25">
      <c r="K2136" s="26" t="s">
        <v>110</v>
      </c>
      <c r="L2136" s="27" t="s">
        <v>119</v>
      </c>
      <c r="M2136" s="10">
        <v>6.6137566137566139</v>
      </c>
    </row>
    <row r="2137" spans="11:13" x14ac:dyDescent="0.25">
      <c r="K2137" s="26" t="s">
        <v>110</v>
      </c>
      <c r="L2137" s="27" t="s">
        <v>115</v>
      </c>
      <c r="M2137" s="10">
        <v>100</v>
      </c>
    </row>
    <row r="2138" spans="11:13" x14ac:dyDescent="0.25">
      <c r="K2138" s="26" t="s">
        <v>110</v>
      </c>
      <c r="L2138" s="27" t="s">
        <v>116</v>
      </c>
      <c r="M2138" s="10">
        <v>54.121560846560847</v>
      </c>
    </row>
    <row r="2139" spans="11:13" x14ac:dyDescent="0.25">
      <c r="K2139" s="26" t="s">
        <v>110</v>
      </c>
      <c r="L2139" s="27" t="s">
        <v>117</v>
      </c>
      <c r="M2139" s="10">
        <v>570</v>
      </c>
    </row>
    <row r="2140" spans="11:13" x14ac:dyDescent="0.25">
      <c r="K2140" s="26" t="s">
        <v>110</v>
      </c>
      <c r="L2140" s="27" t="s">
        <v>118</v>
      </c>
      <c r="M2140" s="10">
        <v>44.091710758377424</v>
      </c>
    </row>
    <row r="2141" spans="11:13" x14ac:dyDescent="0.25">
      <c r="K2141" s="26" t="s">
        <v>110</v>
      </c>
      <c r="L2141" s="27" t="s">
        <v>119</v>
      </c>
      <c r="M2141" s="10">
        <v>102.78416609921243</v>
      </c>
    </row>
    <row r="2142" spans="11:13" x14ac:dyDescent="0.25">
      <c r="K2142" s="26" t="s">
        <v>109</v>
      </c>
      <c r="L2142" s="27" t="s">
        <v>115</v>
      </c>
      <c r="M2142" s="10">
        <v>21.179709837975221</v>
      </c>
    </row>
    <row r="2143" spans="11:13" x14ac:dyDescent="0.25">
      <c r="K2143" s="26" t="s">
        <v>113</v>
      </c>
      <c r="L2143" s="27" t="s">
        <v>116</v>
      </c>
      <c r="M2143" s="10">
        <v>50</v>
      </c>
    </row>
    <row r="2144" spans="11:13" x14ac:dyDescent="0.25">
      <c r="K2144" s="26" t="s">
        <v>113</v>
      </c>
      <c r="L2144" s="27" t="s">
        <v>117</v>
      </c>
      <c r="M2144" s="10">
        <v>62.156500308071472</v>
      </c>
    </row>
    <row r="2145" spans="11:13" x14ac:dyDescent="0.25">
      <c r="K2145" s="26" t="s">
        <v>113</v>
      </c>
      <c r="L2145" s="27" t="s">
        <v>118</v>
      </c>
      <c r="M2145" s="10">
        <v>55.548367221195313</v>
      </c>
    </row>
    <row r="2146" spans="11:13" x14ac:dyDescent="0.25">
      <c r="K2146" s="26" t="s">
        <v>113</v>
      </c>
      <c r="L2146" s="27" t="s">
        <v>119</v>
      </c>
      <c r="M2146" s="10">
        <v>15.403573629081947</v>
      </c>
    </row>
    <row r="2147" spans="11:13" x14ac:dyDescent="0.25">
      <c r="K2147" s="26" t="s">
        <v>113</v>
      </c>
      <c r="L2147" s="27" t="s">
        <v>115</v>
      </c>
      <c r="M2147" s="10">
        <v>15.403573629081947</v>
      </c>
    </row>
    <row r="2148" spans="11:13" x14ac:dyDescent="0.25">
      <c r="K2148" s="26" t="s">
        <v>109</v>
      </c>
      <c r="L2148" s="27" t="s">
        <v>116</v>
      </c>
      <c r="M2148" s="10">
        <v>15.403573629081947</v>
      </c>
    </row>
    <row r="2149" spans="11:13" x14ac:dyDescent="0.25">
      <c r="K2149" s="26" t="s">
        <v>110</v>
      </c>
      <c r="L2149" s="27" t="s">
        <v>117</v>
      </c>
      <c r="M2149" s="10">
        <v>15.403573629081947</v>
      </c>
    </row>
    <row r="2150" spans="11:13" x14ac:dyDescent="0.25">
      <c r="K2150" s="26" t="s">
        <v>111</v>
      </c>
      <c r="L2150" s="27" t="s">
        <v>118</v>
      </c>
      <c r="M2150" s="10">
        <v>15.403573629081947</v>
      </c>
    </row>
    <row r="2151" spans="11:13" x14ac:dyDescent="0.25">
      <c r="K2151" s="26" t="s">
        <v>110</v>
      </c>
      <c r="L2151" s="27" t="s">
        <v>119</v>
      </c>
      <c r="M2151" s="10">
        <v>15.403573629081947</v>
      </c>
    </row>
    <row r="2152" spans="11:13" x14ac:dyDescent="0.25">
      <c r="K2152" s="26" t="s">
        <v>110</v>
      </c>
      <c r="L2152" s="27" t="s">
        <v>115</v>
      </c>
      <c r="M2152" s="10">
        <v>15.403573629081947</v>
      </c>
    </row>
    <row r="2153" spans="11:13" x14ac:dyDescent="0.25">
      <c r="K2153" s="26" t="s">
        <v>109</v>
      </c>
      <c r="L2153" s="27" t="s">
        <v>116</v>
      </c>
      <c r="M2153" s="10">
        <v>15.403573629081947</v>
      </c>
    </row>
    <row r="2154" spans="11:13" x14ac:dyDescent="0.25">
      <c r="K2154" s="26" t="s">
        <v>109</v>
      </c>
      <c r="L2154" s="27" t="s">
        <v>117</v>
      </c>
      <c r="M2154" s="10">
        <v>15.403573629081947</v>
      </c>
    </row>
    <row r="2155" spans="11:13" x14ac:dyDescent="0.25">
      <c r="K2155" s="26" t="s">
        <v>109</v>
      </c>
      <c r="L2155" s="27" t="s">
        <v>118</v>
      </c>
      <c r="M2155" s="10">
        <v>15.403573629081947</v>
      </c>
    </row>
    <row r="2156" spans="11:13" x14ac:dyDescent="0.25">
      <c r="K2156" s="26" t="s">
        <v>109</v>
      </c>
      <c r="L2156" s="27" t="s">
        <v>119</v>
      </c>
      <c r="M2156" s="10">
        <v>15.403573629081947</v>
      </c>
    </row>
    <row r="2157" spans="11:13" x14ac:dyDescent="0.25">
      <c r="K2157" s="26" t="s">
        <v>109</v>
      </c>
      <c r="L2157" s="27" t="s">
        <v>115</v>
      </c>
      <c r="M2157" s="10">
        <v>15.403573629081947</v>
      </c>
    </row>
    <row r="2158" spans="11:13" x14ac:dyDescent="0.25">
      <c r="K2158" s="26" t="s">
        <v>109</v>
      </c>
      <c r="L2158" s="27" t="s">
        <v>116</v>
      </c>
      <c r="M2158" s="10">
        <v>15.403573629081947</v>
      </c>
    </row>
    <row r="2159" spans="11:13" x14ac:dyDescent="0.25">
      <c r="K2159" s="26" t="s">
        <v>109</v>
      </c>
      <c r="L2159" s="27" t="s">
        <v>117</v>
      </c>
      <c r="M2159" s="10">
        <v>231.05360443622922</v>
      </c>
    </row>
    <row r="2160" spans="11:13" x14ac:dyDescent="0.25">
      <c r="K2160" s="26" t="s">
        <v>109</v>
      </c>
      <c r="L2160" s="27" t="s">
        <v>118</v>
      </c>
      <c r="M2160" s="10">
        <v>15.403573629081947</v>
      </c>
    </row>
    <row r="2161" spans="11:13" x14ac:dyDescent="0.25">
      <c r="K2161" s="26" t="s">
        <v>109</v>
      </c>
      <c r="L2161" s="27" t="s">
        <v>119</v>
      </c>
      <c r="M2161" s="10">
        <v>15.403573629081947</v>
      </c>
    </row>
    <row r="2162" spans="11:13" x14ac:dyDescent="0.25">
      <c r="K2162" s="26" t="s">
        <v>109</v>
      </c>
      <c r="L2162" s="27" t="s">
        <v>115</v>
      </c>
      <c r="M2162" s="10">
        <v>15.403573629081947</v>
      </c>
    </row>
    <row r="2163" spans="11:13" x14ac:dyDescent="0.25">
      <c r="K2163" s="26" t="s">
        <v>109</v>
      </c>
      <c r="L2163" s="27" t="s">
        <v>116</v>
      </c>
      <c r="M2163" s="10">
        <v>15.403573629081947</v>
      </c>
    </row>
    <row r="2164" spans="11:13" x14ac:dyDescent="0.25">
      <c r="K2164" s="26" t="s">
        <v>109</v>
      </c>
      <c r="L2164" s="27" t="s">
        <v>117</v>
      </c>
      <c r="M2164" s="10">
        <v>15.403573629081947</v>
      </c>
    </row>
    <row r="2165" spans="11:13" x14ac:dyDescent="0.25">
      <c r="K2165" s="26" t="s">
        <v>109</v>
      </c>
      <c r="L2165" s="27" t="s">
        <v>118</v>
      </c>
      <c r="M2165" s="10">
        <v>27.726432532347506</v>
      </c>
    </row>
    <row r="2166" spans="11:13" x14ac:dyDescent="0.25">
      <c r="K2166" s="26" t="s">
        <v>109</v>
      </c>
      <c r="L2166" s="27" t="s">
        <v>119</v>
      </c>
      <c r="M2166" s="10">
        <v>15.403573629081947</v>
      </c>
    </row>
    <row r="2167" spans="11:13" x14ac:dyDescent="0.25">
      <c r="K2167" s="26" t="s">
        <v>109</v>
      </c>
      <c r="L2167" s="27" t="s">
        <v>115</v>
      </c>
      <c r="M2167" s="10">
        <v>15.403573629081947</v>
      </c>
    </row>
    <row r="2168" spans="11:13" x14ac:dyDescent="0.25">
      <c r="K2168" s="26" t="s">
        <v>109</v>
      </c>
      <c r="L2168" s="27" t="s">
        <v>116</v>
      </c>
      <c r="M2168" s="10">
        <v>15.403573629081947</v>
      </c>
    </row>
    <row r="2169" spans="11:13" x14ac:dyDescent="0.25">
      <c r="K2169" s="26" t="s">
        <v>109</v>
      </c>
      <c r="L2169" s="27" t="s">
        <v>117</v>
      </c>
      <c r="M2169" s="10">
        <v>15.403573629081947</v>
      </c>
    </row>
    <row r="2170" spans="11:13" x14ac:dyDescent="0.25">
      <c r="K2170" s="26" t="s">
        <v>109</v>
      </c>
      <c r="L2170" s="27" t="s">
        <v>118</v>
      </c>
      <c r="M2170" s="10">
        <v>2156.5003080714728</v>
      </c>
    </row>
    <row r="2171" spans="11:13" x14ac:dyDescent="0.25">
      <c r="K2171" s="26" t="s">
        <v>109</v>
      </c>
      <c r="L2171" s="27" t="s">
        <v>119</v>
      </c>
      <c r="M2171" s="10">
        <v>154.03573629081947</v>
      </c>
    </row>
    <row r="2172" spans="11:13" x14ac:dyDescent="0.25">
      <c r="K2172" s="26" t="s">
        <v>109</v>
      </c>
      <c r="L2172" s="27" t="s">
        <v>115</v>
      </c>
      <c r="M2172" s="10">
        <v>15.403573629081947</v>
      </c>
    </row>
    <row r="2173" spans="11:13" x14ac:dyDescent="0.25">
      <c r="K2173" s="26" t="s">
        <v>109</v>
      </c>
      <c r="L2173" s="27" t="s">
        <v>116</v>
      </c>
      <c r="M2173" s="10">
        <v>15.403573629081947</v>
      </c>
    </row>
    <row r="2174" spans="11:13" x14ac:dyDescent="0.25">
      <c r="K2174" s="26" t="s">
        <v>109</v>
      </c>
      <c r="L2174" s="27" t="s">
        <v>117</v>
      </c>
      <c r="M2174" s="10">
        <v>15.403573629081947</v>
      </c>
    </row>
    <row r="2175" spans="11:13" x14ac:dyDescent="0.25">
      <c r="K2175" s="26" t="s">
        <v>109</v>
      </c>
      <c r="L2175" s="27" t="s">
        <v>118</v>
      </c>
      <c r="M2175" s="10">
        <v>15.403573629081947</v>
      </c>
    </row>
    <row r="2176" spans="11:13" x14ac:dyDescent="0.25">
      <c r="K2176" s="26" t="s">
        <v>109</v>
      </c>
      <c r="L2176" s="27" t="s">
        <v>119</v>
      </c>
      <c r="M2176" s="10">
        <v>15.403573629081947</v>
      </c>
    </row>
    <row r="2177" spans="11:13" x14ac:dyDescent="0.25">
      <c r="K2177" s="26" t="s">
        <v>109</v>
      </c>
      <c r="L2177" s="27" t="s">
        <v>115</v>
      </c>
      <c r="M2177" s="10">
        <v>15.403573629081947</v>
      </c>
    </row>
    <row r="2178" spans="11:13" x14ac:dyDescent="0.25">
      <c r="K2178" s="26" t="s">
        <v>109</v>
      </c>
      <c r="L2178" s="27" t="s">
        <v>116</v>
      </c>
      <c r="M2178" s="10">
        <v>15.403573629081947</v>
      </c>
    </row>
    <row r="2179" spans="11:13" x14ac:dyDescent="0.25">
      <c r="K2179" s="26" t="s">
        <v>109</v>
      </c>
      <c r="L2179" s="27" t="s">
        <v>117</v>
      </c>
      <c r="M2179" s="10">
        <v>15.403573629081947</v>
      </c>
    </row>
    <row r="2180" spans="11:13" x14ac:dyDescent="0.25">
      <c r="K2180" s="26" t="s">
        <v>109</v>
      </c>
      <c r="L2180" s="27" t="s">
        <v>118</v>
      </c>
      <c r="M2180" s="10">
        <v>15.403573629081947</v>
      </c>
    </row>
    <row r="2181" spans="11:13" x14ac:dyDescent="0.25">
      <c r="K2181" s="26" t="s">
        <v>109</v>
      </c>
      <c r="L2181" s="27" t="s">
        <v>119</v>
      </c>
      <c r="M2181" s="10">
        <v>15.403573629081947</v>
      </c>
    </row>
    <row r="2182" spans="11:13" x14ac:dyDescent="0.25">
      <c r="K2182" s="26" t="s">
        <v>113</v>
      </c>
      <c r="L2182" s="27" t="s">
        <v>115</v>
      </c>
      <c r="M2182" s="10">
        <v>15.403573629081947</v>
      </c>
    </row>
    <row r="2183" spans="11:13" x14ac:dyDescent="0.25">
      <c r="K2183" s="26" t="s">
        <v>110</v>
      </c>
      <c r="L2183" s="27" t="s">
        <v>116</v>
      </c>
      <c r="M2183" s="10">
        <v>15.403573629081947</v>
      </c>
    </row>
    <row r="2184" spans="11:13" x14ac:dyDescent="0.25">
      <c r="K2184" s="26" t="s">
        <v>109</v>
      </c>
      <c r="L2184" s="27" t="s">
        <v>117</v>
      </c>
      <c r="M2184" s="10">
        <v>15.403573629081947</v>
      </c>
    </row>
    <row r="2185" spans="11:13" x14ac:dyDescent="0.25">
      <c r="K2185" s="26" t="s">
        <v>109</v>
      </c>
      <c r="L2185" s="27" t="s">
        <v>118</v>
      </c>
      <c r="M2185" s="10">
        <v>15.403573629081947</v>
      </c>
    </row>
    <row r="2186" spans="11:13" x14ac:dyDescent="0.25">
      <c r="K2186" s="26" t="s">
        <v>109</v>
      </c>
      <c r="L2186" s="27" t="s">
        <v>119</v>
      </c>
      <c r="M2186" s="10">
        <v>15.403573629081947</v>
      </c>
    </row>
    <row r="2187" spans="11:13" x14ac:dyDescent="0.25">
      <c r="K2187" s="26" t="s">
        <v>109</v>
      </c>
      <c r="L2187" s="27" t="s">
        <v>115</v>
      </c>
      <c r="M2187" s="10">
        <v>15.403573629081947</v>
      </c>
    </row>
    <row r="2188" spans="11:13" x14ac:dyDescent="0.25">
      <c r="K2188" s="26" t="s">
        <v>109</v>
      </c>
      <c r="L2188" s="27" t="s">
        <v>116</v>
      </c>
      <c r="M2188" s="10">
        <v>15.403573629081947</v>
      </c>
    </row>
    <row r="2189" spans="11:13" x14ac:dyDescent="0.25">
      <c r="K2189" s="26" t="s">
        <v>109</v>
      </c>
      <c r="L2189" s="27" t="s">
        <v>117</v>
      </c>
      <c r="M2189" s="10">
        <v>15.403573629081947</v>
      </c>
    </row>
    <row r="2190" spans="11:13" x14ac:dyDescent="0.25">
      <c r="K2190" s="26" t="s">
        <v>109</v>
      </c>
      <c r="L2190" s="27" t="s">
        <v>118</v>
      </c>
      <c r="M2190" s="10">
        <v>15.403573629081947</v>
      </c>
    </row>
    <row r="2191" spans="11:13" x14ac:dyDescent="0.25">
      <c r="K2191" s="26" t="s">
        <v>109</v>
      </c>
      <c r="L2191" s="27" t="s">
        <v>119</v>
      </c>
      <c r="M2191" s="10">
        <v>15.403573629081947</v>
      </c>
    </row>
    <row r="2192" spans="11:13" x14ac:dyDescent="0.25">
      <c r="K2192" s="26" t="s">
        <v>109</v>
      </c>
      <c r="L2192" s="27" t="s">
        <v>115</v>
      </c>
      <c r="M2192" s="10">
        <v>15.403573629081947</v>
      </c>
    </row>
    <row r="2193" spans="11:13" x14ac:dyDescent="0.25">
      <c r="K2193" s="26" t="s">
        <v>109</v>
      </c>
      <c r="L2193" s="27" t="s">
        <v>116</v>
      </c>
      <c r="M2193" s="10">
        <v>15.403573629081947</v>
      </c>
    </row>
    <row r="2194" spans="11:13" x14ac:dyDescent="0.25">
      <c r="K2194" s="26" t="s">
        <v>109</v>
      </c>
      <c r="L2194" s="27" t="s">
        <v>117</v>
      </c>
      <c r="M2194" s="10">
        <v>15.403573629081947</v>
      </c>
    </row>
    <row r="2195" spans="11:13" x14ac:dyDescent="0.25">
      <c r="K2195" s="26" t="s">
        <v>109</v>
      </c>
      <c r="L2195" s="27" t="s">
        <v>118</v>
      </c>
      <c r="M2195" s="10">
        <v>23.105360443622921</v>
      </c>
    </row>
    <row r="2196" spans="11:13" x14ac:dyDescent="0.25">
      <c r="K2196" s="26" t="s">
        <v>109</v>
      </c>
      <c r="L2196" s="27" t="s">
        <v>119</v>
      </c>
      <c r="M2196" s="10">
        <v>46.210720887245841</v>
      </c>
    </row>
    <row r="2197" spans="11:13" x14ac:dyDescent="0.25">
      <c r="K2197" s="26" t="s">
        <v>109</v>
      </c>
      <c r="L2197" s="27" t="s">
        <v>115</v>
      </c>
      <c r="M2197" s="10">
        <v>15.403573629081947</v>
      </c>
    </row>
    <row r="2198" spans="11:13" x14ac:dyDescent="0.25">
      <c r="K2198" s="26" t="s">
        <v>109</v>
      </c>
      <c r="L2198" s="27" t="s">
        <v>116</v>
      </c>
      <c r="M2198" s="10">
        <v>15.403573629081947</v>
      </c>
    </row>
    <row r="2199" spans="11:13" x14ac:dyDescent="0.25">
      <c r="K2199" s="26" t="s">
        <v>109</v>
      </c>
      <c r="L2199" s="27" t="s">
        <v>117</v>
      </c>
      <c r="M2199" s="10">
        <v>15.403573629081947</v>
      </c>
    </row>
    <row r="2200" spans="11:13" x14ac:dyDescent="0.25">
      <c r="K2200" s="26" t="s">
        <v>109</v>
      </c>
      <c r="L2200" s="27" t="s">
        <v>118</v>
      </c>
      <c r="M2200" s="10">
        <v>15.403573629081947</v>
      </c>
    </row>
    <row r="2201" spans="11:13" x14ac:dyDescent="0.25">
      <c r="K2201" s="26" t="s">
        <v>109</v>
      </c>
      <c r="L2201" s="27" t="s">
        <v>119</v>
      </c>
      <c r="M2201" s="10">
        <v>88.183421516754848</v>
      </c>
    </row>
    <row r="2202" spans="11:13" x14ac:dyDescent="0.25">
      <c r="K2202" s="26" t="s">
        <v>109</v>
      </c>
      <c r="L2202" s="27" t="s">
        <v>115</v>
      </c>
      <c r="M2202" s="10">
        <v>35.273368606701936</v>
      </c>
    </row>
    <row r="2203" spans="11:13" x14ac:dyDescent="0.25">
      <c r="K2203" s="26" t="s">
        <v>109</v>
      </c>
      <c r="L2203" s="27" t="s">
        <v>116</v>
      </c>
      <c r="M2203" s="10">
        <v>52.949274594938046</v>
      </c>
    </row>
    <row r="2204" spans="11:13" x14ac:dyDescent="0.25">
      <c r="K2204" s="26" t="s">
        <v>109</v>
      </c>
      <c r="L2204" s="27" t="s">
        <v>117</v>
      </c>
      <c r="M2204" s="10">
        <v>52.949274594938046</v>
      </c>
    </row>
    <row r="2205" spans="11:13" x14ac:dyDescent="0.25">
      <c r="K2205" s="26" t="s">
        <v>109</v>
      </c>
      <c r="L2205" s="27" t="s">
        <v>118</v>
      </c>
      <c r="M2205" s="10">
        <v>72.011013449115751</v>
      </c>
    </row>
    <row r="2206" spans="11:13" x14ac:dyDescent="0.25">
      <c r="K2206" s="26" t="s">
        <v>109</v>
      </c>
      <c r="L2206" s="27" t="s">
        <v>119</v>
      </c>
      <c r="M2206" s="10">
        <v>136.46313205784574</v>
      </c>
    </row>
    <row r="2207" spans="11:13" x14ac:dyDescent="0.25">
      <c r="K2207" s="26" t="s">
        <v>109</v>
      </c>
      <c r="L2207" s="27" t="s">
        <v>115</v>
      </c>
      <c r="M2207" s="10">
        <v>45.792997334847563</v>
      </c>
    </row>
    <row r="2208" spans="11:13" x14ac:dyDescent="0.25">
      <c r="K2208" s="26" t="s">
        <v>109</v>
      </c>
      <c r="L2208" s="27" t="s">
        <v>116</v>
      </c>
      <c r="M2208" s="10">
        <v>274.75798400908536</v>
      </c>
    </row>
    <row r="2209" spans="11:13" x14ac:dyDescent="0.25">
      <c r="K2209" s="26" t="s">
        <v>109</v>
      </c>
      <c r="L2209" s="27" t="s">
        <v>117</v>
      </c>
      <c r="M2209" s="10">
        <v>105.89854918987609</v>
      </c>
    </row>
    <row r="2210" spans="11:13" x14ac:dyDescent="0.25">
      <c r="K2210" s="26" t="s">
        <v>109</v>
      </c>
      <c r="L2210" s="27" t="s">
        <v>118</v>
      </c>
      <c r="M2210" s="10">
        <v>19.061738854177698</v>
      </c>
    </row>
    <row r="2211" spans="11:13" x14ac:dyDescent="0.25">
      <c r="K2211" s="26" t="s">
        <v>111</v>
      </c>
      <c r="L2211" s="27" t="s">
        <v>119</v>
      </c>
      <c r="M2211" s="10">
        <v>0</v>
      </c>
    </row>
    <row r="2212" spans="11:13" x14ac:dyDescent="0.25">
      <c r="K2212" s="26" t="s">
        <v>110</v>
      </c>
      <c r="L2212" s="27" t="s">
        <v>115</v>
      </c>
      <c r="M2212" s="10">
        <v>385.08934072704869</v>
      </c>
    </row>
    <row r="2213" spans="11:13" x14ac:dyDescent="0.25">
      <c r="K2213" s="26" t="s">
        <v>109</v>
      </c>
      <c r="L2213" s="27" t="s">
        <v>116</v>
      </c>
      <c r="M2213" s="10">
        <v>123.22858903265558</v>
      </c>
    </row>
    <row r="2214" spans="11:13" x14ac:dyDescent="0.25">
      <c r="K2214" s="26" t="s">
        <v>109</v>
      </c>
      <c r="L2214" s="27" t="s">
        <v>117</v>
      </c>
      <c r="M2214" s="10">
        <v>123.22858903265558</v>
      </c>
    </row>
    <row r="2215" spans="11:13" x14ac:dyDescent="0.25">
      <c r="K2215" s="26" t="s">
        <v>109</v>
      </c>
      <c r="L2215" s="27" t="s">
        <v>118</v>
      </c>
      <c r="M2215" s="10">
        <v>154.03573629081947</v>
      </c>
    </row>
    <row r="2216" spans="11:13" x14ac:dyDescent="0.25">
      <c r="K2216" s="26" t="s">
        <v>109</v>
      </c>
      <c r="L2216" s="27" t="s">
        <v>119</v>
      </c>
      <c r="M2216" s="10">
        <v>154.03573629081947</v>
      </c>
    </row>
    <row r="2217" spans="11:13" x14ac:dyDescent="0.25">
      <c r="K2217" s="26" t="s">
        <v>109</v>
      </c>
      <c r="L2217" s="27" t="s">
        <v>115</v>
      </c>
      <c r="M2217" s="10">
        <v>154.03573629081947</v>
      </c>
    </row>
    <row r="2218" spans="11:13" x14ac:dyDescent="0.25">
      <c r="K2218" s="26" t="s">
        <v>109</v>
      </c>
      <c r="L2218" s="27" t="s">
        <v>116</v>
      </c>
      <c r="M2218" s="10">
        <v>84.719654959950716</v>
      </c>
    </row>
    <row r="2219" spans="11:13" x14ac:dyDescent="0.25">
      <c r="K2219" s="26" t="s">
        <v>109</v>
      </c>
      <c r="L2219" s="27" t="s">
        <v>117</v>
      </c>
      <c r="M2219" s="10">
        <v>48.500881834215171</v>
      </c>
    </row>
    <row r="2220" spans="11:13" x14ac:dyDescent="0.25">
      <c r="K2220" s="26" t="s">
        <v>109</v>
      </c>
      <c r="L2220" s="27" t="s">
        <v>118</v>
      </c>
      <c r="M2220" s="10">
        <v>55.114638447971785</v>
      </c>
    </row>
    <row r="2221" spans="11:13" x14ac:dyDescent="0.25">
      <c r="K2221" s="26" t="s">
        <v>109</v>
      </c>
      <c r="L2221" s="27" t="s">
        <v>119</v>
      </c>
      <c r="M2221" s="10">
        <v>121.60338927814894</v>
      </c>
    </row>
    <row r="2222" spans="11:13" x14ac:dyDescent="0.25">
      <c r="K2222" s="26" t="s">
        <v>109</v>
      </c>
      <c r="L2222" s="27" t="s">
        <v>115</v>
      </c>
      <c r="M2222" s="10">
        <v>20</v>
      </c>
    </row>
    <row r="2223" spans="11:13" x14ac:dyDescent="0.25">
      <c r="K2223" s="26" t="s">
        <v>109</v>
      </c>
      <c r="L2223" s="27" t="s">
        <v>116</v>
      </c>
      <c r="M2223" s="10">
        <v>46.210720887245841</v>
      </c>
    </row>
    <row r="2224" spans="11:13" x14ac:dyDescent="0.25">
      <c r="K2224" s="26" t="s">
        <v>109</v>
      </c>
      <c r="L2224" s="27" t="s">
        <v>117</v>
      </c>
      <c r="M2224" s="10">
        <v>110.22927689594357</v>
      </c>
    </row>
    <row r="2225" spans="11:13" x14ac:dyDescent="0.25">
      <c r="K2225" s="26" t="s">
        <v>109</v>
      </c>
      <c r="L2225" s="27" t="s">
        <v>118</v>
      </c>
      <c r="M2225" s="10">
        <v>158.84782378481412</v>
      </c>
    </row>
    <row r="2226" spans="11:13" x14ac:dyDescent="0.25">
      <c r="K2226" s="26" t="s">
        <v>109</v>
      </c>
      <c r="L2226" s="27" t="s">
        <v>119</v>
      </c>
      <c r="M2226" s="10">
        <v>15.403573629081947</v>
      </c>
    </row>
    <row r="2227" spans="11:13" x14ac:dyDescent="0.25">
      <c r="K2227" s="26" t="s">
        <v>109</v>
      </c>
      <c r="L2227" s="27" t="s">
        <v>115</v>
      </c>
      <c r="M2227" s="10">
        <v>68.941744226128904</v>
      </c>
    </row>
    <row r="2228" spans="11:13" x14ac:dyDescent="0.25">
      <c r="K2228" s="26" t="s">
        <v>109</v>
      </c>
      <c r="L2228" s="27" t="s">
        <v>116</v>
      </c>
      <c r="M2228" s="10">
        <v>231.05360443622922</v>
      </c>
    </row>
    <row r="2229" spans="11:13" x14ac:dyDescent="0.25">
      <c r="K2229" s="26" t="s">
        <v>109</v>
      </c>
      <c r="L2229" s="27" t="s">
        <v>117</v>
      </c>
      <c r="M2229" s="10">
        <v>9.0593963999845819</v>
      </c>
    </row>
    <row r="2230" spans="11:13" x14ac:dyDescent="0.25">
      <c r="K2230" s="26" t="s">
        <v>109</v>
      </c>
      <c r="L2230" s="27" t="s">
        <v>118</v>
      </c>
      <c r="M2230" s="10">
        <v>123.22858903265558</v>
      </c>
    </row>
    <row r="2231" spans="11:13" x14ac:dyDescent="0.25">
      <c r="K2231" s="26" t="s">
        <v>109</v>
      </c>
      <c r="L2231" s="27" t="s">
        <v>119</v>
      </c>
      <c r="M2231" s="10">
        <v>661.37566137566137</v>
      </c>
    </row>
    <row r="2232" spans="11:13" x14ac:dyDescent="0.25">
      <c r="K2232" s="26" t="s">
        <v>109</v>
      </c>
      <c r="L2232" s="27" t="s">
        <v>115</v>
      </c>
      <c r="M2232" s="10">
        <v>15.403573629081947</v>
      </c>
    </row>
    <row r="2233" spans="11:13" x14ac:dyDescent="0.25">
      <c r="K2233" s="26" t="s">
        <v>109</v>
      </c>
      <c r="L2233" s="27" t="s">
        <v>116</v>
      </c>
      <c r="M2233" s="10">
        <v>15.403573629081947</v>
      </c>
    </row>
    <row r="2234" spans="11:13" x14ac:dyDescent="0.25">
      <c r="K2234" s="26" t="s">
        <v>109</v>
      </c>
      <c r="L2234" s="27" t="s">
        <v>117</v>
      </c>
      <c r="M2234" s="10">
        <v>15.403573629081947</v>
      </c>
    </row>
    <row r="2235" spans="11:13" x14ac:dyDescent="0.25">
      <c r="K2235" s="26" t="s">
        <v>109</v>
      </c>
      <c r="L2235" s="27" t="s">
        <v>118</v>
      </c>
      <c r="M2235" s="10">
        <v>15.403573629081947</v>
      </c>
    </row>
    <row r="2236" spans="11:13" x14ac:dyDescent="0.25">
      <c r="K2236" s="26" t="s">
        <v>109</v>
      </c>
      <c r="L2236" s="27" t="s">
        <v>119</v>
      </c>
      <c r="M2236" s="10">
        <v>15.403573629081947</v>
      </c>
    </row>
    <row r="2237" spans="11:13" x14ac:dyDescent="0.25">
      <c r="K2237" s="26" t="s">
        <v>109</v>
      </c>
      <c r="L2237" s="27" t="s">
        <v>115</v>
      </c>
      <c r="M2237" s="10">
        <v>15.403573629081947</v>
      </c>
    </row>
    <row r="2238" spans="11:13" x14ac:dyDescent="0.25">
      <c r="K2238" s="26" t="s">
        <v>109</v>
      </c>
      <c r="L2238" s="27" t="s">
        <v>116</v>
      </c>
      <c r="M2238" s="10">
        <v>15.403573629081947</v>
      </c>
    </row>
    <row r="2239" spans="11:13" x14ac:dyDescent="0.25">
      <c r="K2239" s="26" t="s">
        <v>109</v>
      </c>
      <c r="L2239" s="27" t="s">
        <v>117</v>
      </c>
      <c r="M2239" s="10">
        <v>15.403573629081947</v>
      </c>
    </row>
    <row r="2240" spans="11:13" x14ac:dyDescent="0.25">
      <c r="K2240" s="26" t="s">
        <v>109</v>
      </c>
      <c r="L2240" s="27" t="s">
        <v>118</v>
      </c>
      <c r="M2240" s="10">
        <v>15.403573629081947</v>
      </c>
    </row>
    <row r="2241" spans="11:13" x14ac:dyDescent="0.25">
      <c r="K2241" s="26" t="s">
        <v>109</v>
      </c>
      <c r="L2241" s="27" t="s">
        <v>119</v>
      </c>
      <c r="M2241" s="10">
        <v>15.403573629081947</v>
      </c>
    </row>
    <row r="2242" spans="11:13" x14ac:dyDescent="0.25">
      <c r="K2242" s="26" t="s">
        <v>109</v>
      </c>
      <c r="L2242" s="27" t="s">
        <v>115</v>
      </c>
      <c r="M2242" s="10">
        <v>15.403573629081947</v>
      </c>
    </row>
    <row r="2243" spans="11:13" x14ac:dyDescent="0.25">
      <c r="K2243" s="26" t="s">
        <v>109</v>
      </c>
      <c r="L2243" s="27" t="s">
        <v>116</v>
      </c>
      <c r="M2243" s="10">
        <v>15.403573629081947</v>
      </c>
    </row>
    <row r="2244" spans="11:13" x14ac:dyDescent="0.25">
      <c r="K2244" s="26" t="s">
        <v>109</v>
      </c>
      <c r="L2244" s="27" t="s">
        <v>117</v>
      </c>
      <c r="M2244" s="10">
        <v>15.403573629081947</v>
      </c>
    </row>
    <row r="2245" spans="11:13" x14ac:dyDescent="0.25">
      <c r="K2245" s="26" t="s">
        <v>109</v>
      </c>
      <c r="L2245" s="27" t="s">
        <v>118</v>
      </c>
      <c r="M2245" s="10">
        <v>42.359419675950441</v>
      </c>
    </row>
    <row r="2246" spans="11:13" x14ac:dyDescent="0.25">
      <c r="K2246" s="26" t="s">
        <v>109</v>
      </c>
      <c r="L2246" s="27" t="s">
        <v>119</v>
      </c>
      <c r="M2246" s="10">
        <v>123.22858903265558</v>
      </c>
    </row>
    <row r="2247" spans="11:13" x14ac:dyDescent="0.25">
      <c r="K2247" s="26" t="s">
        <v>109</v>
      </c>
      <c r="L2247" s="27" t="s">
        <v>115</v>
      </c>
      <c r="M2247" s="10">
        <v>134.01109057301295</v>
      </c>
    </row>
    <row r="2248" spans="11:13" x14ac:dyDescent="0.25">
      <c r="K2248" s="26" t="s">
        <v>109</v>
      </c>
      <c r="L2248" s="27" t="s">
        <v>116</v>
      </c>
      <c r="M2248" s="10">
        <v>26.474637297469023</v>
      </c>
    </row>
    <row r="2249" spans="11:13" x14ac:dyDescent="0.25">
      <c r="K2249" s="26" t="s">
        <v>109</v>
      </c>
      <c r="L2249" s="27" t="s">
        <v>117</v>
      </c>
      <c r="M2249" s="10">
        <v>64.24010381200776</v>
      </c>
    </row>
    <row r="2250" spans="11:13" x14ac:dyDescent="0.25">
      <c r="K2250" s="26" t="s">
        <v>109</v>
      </c>
      <c r="L2250" s="27" t="s">
        <v>118</v>
      </c>
      <c r="M2250" s="10">
        <v>24.483575837742503</v>
      </c>
    </row>
    <row r="2251" spans="11:13" x14ac:dyDescent="0.25">
      <c r="K2251" s="26" t="s">
        <v>109</v>
      </c>
      <c r="L2251" s="27" t="s">
        <v>119</v>
      </c>
      <c r="M2251" s="10">
        <v>191.67637403367573</v>
      </c>
    </row>
    <row r="2252" spans="11:13" x14ac:dyDescent="0.25">
      <c r="K2252" s="26" t="s">
        <v>109</v>
      </c>
      <c r="L2252" s="27" t="s">
        <v>115</v>
      </c>
      <c r="M2252" s="10">
        <v>120.0889547813195</v>
      </c>
    </row>
    <row r="2253" spans="11:13" x14ac:dyDescent="0.25">
      <c r="K2253" s="26" t="s">
        <v>109</v>
      </c>
      <c r="L2253" s="27" t="s">
        <v>116</v>
      </c>
      <c r="M2253" s="10">
        <v>105.89854918987609</v>
      </c>
    </row>
    <row r="2254" spans="11:13" x14ac:dyDescent="0.25">
      <c r="K2254" s="26" t="s">
        <v>109</v>
      </c>
      <c r="L2254" s="27" t="s">
        <v>117</v>
      </c>
      <c r="M2254" s="10">
        <v>105.89854918987609</v>
      </c>
    </row>
    <row r="2255" spans="11:13" x14ac:dyDescent="0.25">
      <c r="K2255" s="26" t="s">
        <v>109</v>
      </c>
      <c r="L2255" s="27" t="s">
        <v>118</v>
      </c>
      <c r="M2255" s="10">
        <v>500</v>
      </c>
    </row>
    <row r="2256" spans="11:13" x14ac:dyDescent="0.25">
      <c r="K2256" s="26" t="s">
        <v>109</v>
      </c>
      <c r="L2256" s="27" t="s">
        <v>119</v>
      </c>
      <c r="M2256" s="10">
        <v>2500</v>
      </c>
    </row>
    <row r="2257" spans="11:13" x14ac:dyDescent="0.25">
      <c r="K2257" s="26" t="s">
        <v>109</v>
      </c>
      <c r="L2257" s="27" t="s">
        <v>115</v>
      </c>
      <c r="M2257" s="10">
        <v>100</v>
      </c>
    </row>
    <row r="2258" spans="11:13" x14ac:dyDescent="0.25">
      <c r="K2258" s="26" t="s">
        <v>109</v>
      </c>
      <c r="L2258" s="27" t="s">
        <v>116</v>
      </c>
      <c r="M2258" s="10">
        <v>88.183421516754848</v>
      </c>
    </row>
    <row r="2259" spans="11:13" x14ac:dyDescent="0.25">
      <c r="K2259" s="26" t="s">
        <v>109</v>
      </c>
      <c r="L2259" s="27" t="s">
        <v>117</v>
      </c>
      <c r="M2259" s="10">
        <v>40</v>
      </c>
    </row>
    <row r="2260" spans="11:13" x14ac:dyDescent="0.25">
      <c r="K2260" s="26" t="s">
        <v>109</v>
      </c>
      <c r="L2260" s="27" t="s">
        <v>118</v>
      </c>
      <c r="M2260" s="10">
        <v>40</v>
      </c>
    </row>
    <row r="2261" spans="11:13" x14ac:dyDescent="0.25">
      <c r="K2261" s="26" t="s">
        <v>109</v>
      </c>
      <c r="L2261" s="27" t="s">
        <v>119</v>
      </c>
      <c r="M2261" s="10">
        <v>61.853174603174601</v>
      </c>
    </row>
    <row r="2262" spans="11:13" x14ac:dyDescent="0.25">
      <c r="K2262" s="26" t="s">
        <v>109</v>
      </c>
      <c r="L2262" s="27" t="s">
        <v>115</v>
      </c>
      <c r="M2262" s="10">
        <v>40</v>
      </c>
    </row>
    <row r="2263" spans="11:13" x14ac:dyDescent="0.25">
      <c r="K2263" s="26" t="s">
        <v>109</v>
      </c>
      <c r="L2263" s="27" t="s">
        <v>116</v>
      </c>
      <c r="M2263" s="10">
        <v>40</v>
      </c>
    </row>
    <row r="2264" spans="11:13" x14ac:dyDescent="0.25">
      <c r="K2264" s="26" t="s">
        <v>109</v>
      </c>
      <c r="L2264" s="27" t="s">
        <v>117</v>
      </c>
      <c r="M2264" s="10">
        <v>40</v>
      </c>
    </row>
    <row r="2265" spans="11:13" x14ac:dyDescent="0.25">
      <c r="K2265" s="26" t="s">
        <v>109</v>
      </c>
      <c r="L2265" s="27" t="s">
        <v>118</v>
      </c>
      <c r="M2265" s="10">
        <v>40</v>
      </c>
    </row>
    <row r="2266" spans="11:13" x14ac:dyDescent="0.25">
      <c r="K2266" s="26" t="s">
        <v>109</v>
      </c>
      <c r="L2266" s="27" t="s">
        <v>119</v>
      </c>
      <c r="M2266" s="10">
        <v>40</v>
      </c>
    </row>
    <row r="2267" spans="11:13" x14ac:dyDescent="0.25">
      <c r="K2267" s="26" t="s">
        <v>109</v>
      </c>
      <c r="L2267" s="27" t="s">
        <v>115</v>
      </c>
      <c r="M2267" s="10">
        <v>68.941744226128904</v>
      </c>
    </row>
    <row r="2268" spans="11:13" x14ac:dyDescent="0.25">
      <c r="K2268" s="26" t="s">
        <v>109</v>
      </c>
      <c r="L2268" s="27" t="s">
        <v>116</v>
      </c>
      <c r="M2268" s="10">
        <v>329.04045223319753</v>
      </c>
    </row>
    <row r="2269" spans="11:13" x14ac:dyDescent="0.25">
      <c r="K2269" s="26" t="s">
        <v>109</v>
      </c>
      <c r="L2269" s="27" t="s">
        <v>117</v>
      </c>
      <c r="M2269" s="10">
        <v>33.06878306878307</v>
      </c>
    </row>
    <row r="2270" spans="11:13" x14ac:dyDescent="0.25">
      <c r="K2270" s="26" t="s">
        <v>110</v>
      </c>
      <c r="L2270" s="27" t="s">
        <v>118</v>
      </c>
      <c r="M2270" s="10">
        <v>105.89854918987609</v>
      </c>
    </row>
    <row r="2271" spans="11:13" x14ac:dyDescent="0.25">
      <c r="K2271" s="26" t="s">
        <v>110</v>
      </c>
      <c r="L2271" s="27" t="s">
        <v>119</v>
      </c>
      <c r="M2271" s="10">
        <v>55.114638447971785</v>
      </c>
    </row>
    <row r="2272" spans="11:13" x14ac:dyDescent="0.25">
      <c r="K2272" s="26" t="s">
        <v>109</v>
      </c>
      <c r="L2272" s="27" t="s">
        <v>115</v>
      </c>
      <c r="M2272" s="10">
        <v>220.45855379188714</v>
      </c>
    </row>
    <row r="2273" spans="11:13" x14ac:dyDescent="0.25">
      <c r="K2273" s="26" t="s">
        <v>109</v>
      </c>
      <c r="L2273" s="27" t="s">
        <v>116</v>
      </c>
      <c r="M2273" s="10">
        <v>97.767638911520294</v>
      </c>
    </row>
    <row r="2274" spans="11:13" x14ac:dyDescent="0.25">
      <c r="K2274" s="26" t="s">
        <v>109</v>
      </c>
      <c r="L2274" s="27" t="s">
        <v>117</v>
      </c>
      <c r="M2274" s="10">
        <v>60</v>
      </c>
    </row>
    <row r="2275" spans="11:13" x14ac:dyDescent="0.25">
      <c r="K2275" s="26" t="s">
        <v>109</v>
      </c>
      <c r="L2275" s="27" t="s">
        <v>118</v>
      </c>
      <c r="M2275" s="10">
        <v>92.625</v>
      </c>
    </row>
    <row r="2276" spans="11:13" x14ac:dyDescent="0.25">
      <c r="K2276" s="26" t="s">
        <v>109</v>
      </c>
      <c r="L2276" s="27" t="s">
        <v>119</v>
      </c>
      <c r="M2276" s="10">
        <v>2.2749999999999999</v>
      </c>
    </row>
    <row r="2277" spans="11:13" x14ac:dyDescent="0.25">
      <c r="K2277" s="26" t="s">
        <v>109</v>
      </c>
      <c r="L2277" s="27" t="s">
        <v>115</v>
      </c>
      <c r="M2277" s="10">
        <v>11.31</v>
      </c>
    </row>
    <row r="2278" spans="11:13" x14ac:dyDescent="0.25">
      <c r="K2278" s="26" t="s">
        <v>109</v>
      </c>
      <c r="L2278" s="27" t="s">
        <v>116</v>
      </c>
      <c r="M2278" s="10">
        <v>123.22858903265558</v>
      </c>
    </row>
    <row r="2279" spans="11:13" x14ac:dyDescent="0.25">
      <c r="K2279" s="26" t="s">
        <v>109</v>
      </c>
      <c r="L2279" s="27" t="s">
        <v>117</v>
      </c>
      <c r="M2279" s="10">
        <v>277.26432532347508</v>
      </c>
    </row>
    <row r="2280" spans="11:13" x14ac:dyDescent="0.25">
      <c r="K2280" s="26" t="s">
        <v>109</v>
      </c>
      <c r="L2280" s="27" t="s">
        <v>118</v>
      </c>
      <c r="M2280" s="10">
        <v>99.493729039371516</v>
      </c>
    </row>
    <row r="2281" spans="11:13" x14ac:dyDescent="0.25">
      <c r="K2281" s="26" t="s">
        <v>109</v>
      </c>
      <c r="L2281" s="27" t="s">
        <v>119</v>
      </c>
      <c r="M2281" s="10">
        <v>102.73808976891625</v>
      </c>
    </row>
    <row r="2282" spans="11:13" x14ac:dyDescent="0.25">
      <c r="K2282" s="26" t="s">
        <v>109</v>
      </c>
      <c r="L2282" s="27" t="s">
        <v>115</v>
      </c>
      <c r="M2282" s="10">
        <v>105.89854918987609</v>
      </c>
    </row>
    <row r="2283" spans="11:13" x14ac:dyDescent="0.25">
      <c r="K2283" s="26" t="s">
        <v>109</v>
      </c>
      <c r="L2283" s="27" t="s">
        <v>116</v>
      </c>
      <c r="M2283" s="10">
        <v>194.00352733686069</v>
      </c>
    </row>
    <row r="2284" spans="11:13" x14ac:dyDescent="0.25">
      <c r="K2284" s="26" t="s">
        <v>109</v>
      </c>
      <c r="L2284" s="27" t="s">
        <v>117</v>
      </c>
      <c r="M2284" s="10">
        <v>3258.9212970506765</v>
      </c>
    </row>
    <row r="2285" spans="11:13" x14ac:dyDescent="0.25">
      <c r="K2285" s="26" t="s">
        <v>109</v>
      </c>
      <c r="L2285" s="27" t="s">
        <v>118</v>
      </c>
      <c r="M2285" s="10">
        <v>195.868430335097</v>
      </c>
    </row>
    <row r="2286" spans="11:13" x14ac:dyDescent="0.25">
      <c r="K2286" s="26" t="s">
        <v>109</v>
      </c>
      <c r="L2286" s="27" t="s">
        <v>119</v>
      </c>
      <c r="M2286" s="10">
        <v>55.114638447971785</v>
      </c>
    </row>
    <row r="2287" spans="11:13" x14ac:dyDescent="0.25">
      <c r="K2287" s="26" t="s">
        <v>109</v>
      </c>
      <c r="L2287" s="27" t="s">
        <v>115</v>
      </c>
      <c r="M2287" s="10">
        <v>63.539129513925651</v>
      </c>
    </row>
    <row r="2288" spans="11:13" x14ac:dyDescent="0.25">
      <c r="K2288" s="26" t="s">
        <v>109</v>
      </c>
      <c r="L2288" s="27" t="s">
        <v>116</v>
      </c>
      <c r="M2288" s="10">
        <v>63.539129513925651</v>
      </c>
    </row>
    <row r="2289" spans="11:13" x14ac:dyDescent="0.25">
      <c r="K2289" s="26" t="s">
        <v>109</v>
      </c>
      <c r="L2289" s="27" t="s">
        <v>117</v>
      </c>
      <c r="M2289" s="10">
        <v>95.308694270888495</v>
      </c>
    </row>
    <row r="2290" spans="11:13" x14ac:dyDescent="0.25">
      <c r="K2290" s="26" t="s">
        <v>109</v>
      </c>
      <c r="L2290" s="27" t="s">
        <v>118</v>
      </c>
      <c r="M2290" s="10">
        <v>81.030710639332298</v>
      </c>
    </row>
    <row r="2291" spans="11:13" x14ac:dyDescent="0.25">
      <c r="K2291" s="26" t="s">
        <v>109</v>
      </c>
      <c r="L2291" s="27" t="s">
        <v>119</v>
      </c>
      <c r="M2291" s="10">
        <v>81.030710639332298</v>
      </c>
    </row>
    <row r="2292" spans="11:13" x14ac:dyDescent="0.25">
      <c r="K2292" s="26" t="s">
        <v>109</v>
      </c>
      <c r="L2292" s="27" t="s">
        <v>115</v>
      </c>
      <c r="M2292" s="10">
        <v>165.34391534391534</v>
      </c>
    </row>
    <row r="2293" spans="11:13" x14ac:dyDescent="0.25">
      <c r="K2293" s="26" t="s">
        <v>109</v>
      </c>
      <c r="L2293" s="27" t="s">
        <v>116</v>
      </c>
      <c r="M2293" s="10">
        <v>18.04052028218695</v>
      </c>
    </row>
    <row r="2294" spans="11:13" x14ac:dyDescent="0.25">
      <c r="K2294" s="26" t="s">
        <v>109</v>
      </c>
      <c r="L2294" s="27" t="s">
        <v>117</v>
      </c>
      <c r="M2294" s="10">
        <v>600</v>
      </c>
    </row>
    <row r="2295" spans="11:13" x14ac:dyDescent="0.25">
      <c r="K2295" s="26" t="s">
        <v>109</v>
      </c>
      <c r="L2295" s="27" t="s">
        <v>118</v>
      </c>
      <c r="M2295" s="10">
        <v>66.137566137566139</v>
      </c>
    </row>
    <row r="2296" spans="11:13" x14ac:dyDescent="0.25">
      <c r="K2296" s="26" t="s">
        <v>109</v>
      </c>
      <c r="L2296" s="27" t="s">
        <v>119</v>
      </c>
      <c r="M2296" s="10">
        <v>97.934215167548501</v>
      </c>
    </row>
    <row r="2297" spans="11:13" x14ac:dyDescent="0.25">
      <c r="K2297" s="26" t="s">
        <v>109</v>
      </c>
      <c r="L2297" s="27" t="s">
        <v>115</v>
      </c>
      <c r="M2297" s="10">
        <v>293.80264550264553</v>
      </c>
    </row>
    <row r="2298" spans="11:13" x14ac:dyDescent="0.25">
      <c r="K2298" s="26" t="s">
        <v>109</v>
      </c>
      <c r="L2298" s="27" t="s">
        <v>116</v>
      </c>
      <c r="M2298" s="10">
        <v>110.22927689594357</v>
      </c>
    </row>
    <row r="2299" spans="11:13" x14ac:dyDescent="0.25">
      <c r="K2299" s="26" t="s">
        <v>109</v>
      </c>
      <c r="L2299" s="27" t="s">
        <v>117</v>
      </c>
      <c r="M2299" s="10">
        <v>5.6437389770723099E-3</v>
      </c>
    </row>
    <row r="2300" spans="11:13" x14ac:dyDescent="0.25">
      <c r="K2300" s="26" t="s">
        <v>110</v>
      </c>
      <c r="L2300" s="27" t="s">
        <v>118</v>
      </c>
      <c r="M2300" s="10">
        <v>5.5114638447971778E-3</v>
      </c>
    </row>
    <row r="2301" spans="11:13" x14ac:dyDescent="0.25">
      <c r="K2301" s="26" t="s">
        <v>110</v>
      </c>
      <c r="L2301" s="27" t="s">
        <v>119</v>
      </c>
      <c r="M2301" s="10">
        <v>154.03573629081947</v>
      </c>
    </row>
    <row r="2302" spans="11:13" x14ac:dyDescent="0.25">
      <c r="K2302" s="26" t="s">
        <v>109</v>
      </c>
      <c r="L2302" s="27" t="s">
        <v>115</v>
      </c>
      <c r="M2302" s="10">
        <v>107.82501540357363</v>
      </c>
    </row>
    <row r="2303" spans="11:13" x14ac:dyDescent="0.25">
      <c r="K2303" s="26" t="s">
        <v>109</v>
      </c>
      <c r="L2303" s="27" t="s">
        <v>116</v>
      </c>
      <c r="M2303" s="10">
        <v>52.949274594938046</v>
      </c>
    </row>
    <row r="2304" spans="11:13" x14ac:dyDescent="0.25">
      <c r="K2304" s="26" t="s">
        <v>109</v>
      </c>
      <c r="L2304" s="27" t="s">
        <v>117</v>
      </c>
      <c r="M2304" s="10">
        <v>110.22927689594357</v>
      </c>
    </row>
    <row r="2305" spans="11:13" x14ac:dyDescent="0.25">
      <c r="K2305" s="26" t="s">
        <v>109</v>
      </c>
      <c r="L2305" s="27" t="s">
        <v>118</v>
      </c>
      <c r="M2305" s="10">
        <v>15.403573629081947</v>
      </c>
    </row>
    <row r="2306" spans="11:13" x14ac:dyDescent="0.25">
      <c r="K2306" s="26" t="s">
        <v>109</v>
      </c>
      <c r="L2306" s="27" t="s">
        <v>119</v>
      </c>
      <c r="M2306" s="10">
        <v>15.403573629081947</v>
      </c>
    </row>
    <row r="2307" spans="11:13" x14ac:dyDescent="0.25">
      <c r="K2307" s="26" t="s">
        <v>109</v>
      </c>
      <c r="L2307" s="27" t="s">
        <v>115</v>
      </c>
      <c r="M2307" s="10">
        <v>15.403573629081947</v>
      </c>
    </row>
    <row r="2308" spans="11:13" x14ac:dyDescent="0.25">
      <c r="K2308" s="26" t="s">
        <v>109</v>
      </c>
      <c r="L2308" s="27" t="s">
        <v>116</v>
      </c>
      <c r="M2308" s="10">
        <v>15.403573629081947</v>
      </c>
    </row>
    <row r="2309" spans="11:13" x14ac:dyDescent="0.25">
      <c r="K2309" s="26" t="s">
        <v>109</v>
      </c>
      <c r="L2309" s="27" t="s">
        <v>117</v>
      </c>
      <c r="M2309" s="10">
        <v>15.403573629081947</v>
      </c>
    </row>
    <row r="2310" spans="11:13" x14ac:dyDescent="0.25">
      <c r="K2310" s="26" t="s">
        <v>109</v>
      </c>
      <c r="L2310" s="27" t="s">
        <v>118</v>
      </c>
      <c r="M2310" s="10">
        <v>15.403573629081947</v>
      </c>
    </row>
    <row r="2311" spans="11:13" x14ac:dyDescent="0.25">
      <c r="K2311" s="26" t="s">
        <v>109</v>
      </c>
      <c r="L2311" s="27" t="s">
        <v>119</v>
      </c>
      <c r="M2311" s="10">
        <v>15.403573629081947</v>
      </c>
    </row>
    <row r="2312" spans="11:13" x14ac:dyDescent="0.25">
      <c r="K2312" s="26" t="s">
        <v>109</v>
      </c>
      <c r="L2312" s="27" t="s">
        <v>115</v>
      </c>
      <c r="M2312" s="10">
        <v>5.3853154084798343</v>
      </c>
    </row>
    <row r="2313" spans="11:13" x14ac:dyDescent="0.25">
      <c r="K2313" s="26" t="s">
        <v>109</v>
      </c>
      <c r="L2313" s="27" t="s">
        <v>116</v>
      </c>
      <c r="M2313" s="10">
        <v>317.69564756962825</v>
      </c>
    </row>
    <row r="2314" spans="11:13" x14ac:dyDescent="0.25">
      <c r="K2314" s="26" t="s">
        <v>109</v>
      </c>
      <c r="L2314" s="27" t="s">
        <v>117</v>
      </c>
      <c r="M2314" s="10">
        <v>61.614294516327789</v>
      </c>
    </row>
    <row r="2315" spans="11:13" x14ac:dyDescent="0.25">
      <c r="K2315" s="26" t="s">
        <v>109</v>
      </c>
      <c r="L2315" s="27" t="s">
        <v>118</v>
      </c>
      <c r="M2315" s="10">
        <v>45.941103505306202</v>
      </c>
    </row>
    <row r="2316" spans="11:13" x14ac:dyDescent="0.25">
      <c r="K2316" s="26" t="s">
        <v>109</v>
      </c>
      <c r="L2316" s="27" t="s">
        <v>119</v>
      </c>
      <c r="M2316" s="10">
        <v>154.03573629081947</v>
      </c>
    </row>
    <row r="2317" spans="11:13" x14ac:dyDescent="0.25">
      <c r="K2317" s="26" t="s">
        <v>109</v>
      </c>
      <c r="L2317" s="27" t="s">
        <v>115</v>
      </c>
      <c r="M2317" s="10">
        <v>110.22927689594357</v>
      </c>
    </row>
    <row r="2318" spans="11:13" x14ac:dyDescent="0.25">
      <c r="K2318" s="26" t="s">
        <v>109</v>
      </c>
      <c r="L2318" s="27" t="s">
        <v>116</v>
      </c>
      <c r="M2318" s="10">
        <v>176.3668430335097</v>
      </c>
    </row>
    <row r="2319" spans="11:13" x14ac:dyDescent="0.25">
      <c r="K2319" s="26" t="s">
        <v>109</v>
      </c>
      <c r="L2319" s="27" t="s">
        <v>117</v>
      </c>
      <c r="M2319" s="10">
        <v>1.7823657350434661</v>
      </c>
    </row>
    <row r="2320" spans="11:13" x14ac:dyDescent="0.25">
      <c r="K2320" s="26" t="s">
        <v>109</v>
      </c>
      <c r="L2320" s="27" t="s">
        <v>118</v>
      </c>
      <c r="M2320" s="10">
        <v>308.07147258163894</v>
      </c>
    </row>
    <row r="2321" spans="11:13" x14ac:dyDescent="0.25">
      <c r="K2321" s="26" t="s">
        <v>109</v>
      </c>
      <c r="L2321" s="27" t="s">
        <v>119</v>
      </c>
      <c r="M2321" s="10">
        <v>15.403573629081947</v>
      </c>
    </row>
    <row r="2322" spans="11:13" x14ac:dyDescent="0.25">
      <c r="K2322" s="26" t="s">
        <v>109</v>
      </c>
      <c r="L2322" s="27" t="s">
        <v>115</v>
      </c>
      <c r="M2322" s="10">
        <v>36.081018518518519</v>
      </c>
    </row>
    <row r="2323" spans="11:13" x14ac:dyDescent="0.25">
      <c r="K2323" s="26" t="s">
        <v>109</v>
      </c>
      <c r="L2323" s="27" t="s">
        <v>116</v>
      </c>
      <c r="M2323" s="10">
        <v>2.9895502645502647</v>
      </c>
    </row>
    <row r="2324" spans="11:13" x14ac:dyDescent="0.25">
      <c r="K2324" s="26" t="s">
        <v>109</v>
      </c>
      <c r="L2324" s="27" t="s">
        <v>117</v>
      </c>
      <c r="M2324" s="10">
        <v>81.030710639332298</v>
      </c>
    </row>
    <row r="2325" spans="11:13" x14ac:dyDescent="0.25">
      <c r="K2325" s="26" t="s">
        <v>109</v>
      </c>
      <c r="L2325" s="27" t="s">
        <v>118</v>
      </c>
      <c r="M2325" s="10">
        <v>86.177180282661155</v>
      </c>
    </row>
    <row r="2326" spans="11:13" x14ac:dyDescent="0.25">
      <c r="K2326" s="26" t="s">
        <v>109</v>
      </c>
      <c r="L2326" s="27" t="s">
        <v>119</v>
      </c>
      <c r="M2326" s="10">
        <v>440.91710758377428</v>
      </c>
    </row>
    <row r="2327" spans="11:13" x14ac:dyDescent="0.25">
      <c r="K2327" s="26" t="s">
        <v>109</v>
      </c>
      <c r="L2327" s="27" t="s">
        <v>115</v>
      </c>
      <c r="M2327" s="10">
        <v>25.696041524803107</v>
      </c>
    </row>
    <row r="2328" spans="11:13" x14ac:dyDescent="0.25">
      <c r="K2328" s="26" t="s">
        <v>110</v>
      </c>
      <c r="L2328" s="27" t="s">
        <v>116</v>
      </c>
      <c r="M2328" s="10">
        <v>137.66811394683893</v>
      </c>
    </row>
    <row r="2329" spans="11:13" x14ac:dyDescent="0.25">
      <c r="K2329" s="26" t="s">
        <v>110</v>
      </c>
      <c r="L2329" s="27" t="s">
        <v>117</v>
      </c>
      <c r="M2329" s="10">
        <v>105.89854918987609</v>
      </c>
    </row>
    <row r="2330" spans="11:13" x14ac:dyDescent="0.25">
      <c r="K2330" s="26" t="s">
        <v>110</v>
      </c>
      <c r="L2330" s="27" t="s">
        <v>118</v>
      </c>
      <c r="M2330" s="10">
        <v>22.045855379188712</v>
      </c>
    </row>
    <row r="2331" spans="11:13" x14ac:dyDescent="0.25">
      <c r="K2331" s="26" t="s">
        <v>109</v>
      </c>
      <c r="L2331" s="27" t="s">
        <v>119</v>
      </c>
      <c r="M2331" s="10">
        <v>391.73686067019401</v>
      </c>
    </row>
    <row r="2332" spans="11:13" x14ac:dyDescent="0.25">
      <c r="K2332" s="26" t="s">
        <v>109</v>
      </c>
      <c r="L2332" s="27" t="s">
        <v>115</v>
      </c>
      <c r="M2332" s="10">
        <v>2204.5855379188711</v>
      </c>
    </row>
    <row r="2333" spans="11:13" x14ac:dyDescent="0.25">
      <c r="K2333" s="26" t="s">
        <v>109</v>
      </c>
      <c r="L2333" s="27" t="s">
        <v>116</v>
      </c>
      <c r="M2333" s="10">
        <v>36.081018518518519</v>
      </c>
    </row>
    <row r="2334" spans="11:13" x14ac:dyDescent="0.25">
      <c r="K2334" s="26" t="s">
        <v>109</v>
      </c>
      <c r="L2334" s="27" t="s">
        <v>117</v>
      </c>
      <c r="M2334" s="10">
        <v>100</v>
      </c>
    </row>
    <row r="2335" spans="11:13" x14ac:dyDescent="0.25">
      <c r="K2335" s="26" t="s">
        <v>109</v>
      </c>
      <c r="L2335" s="27" t="s">
        <v>118</v>
      </c>
      <c r="M2335" s="10">
        <v>165.34391534391534</v>
      </c>
    </row>
    <row r="2336" spans="11:13" x14ac:dyDescent="0.25">
      <c r="K2336" s="26" t="s">
        <v>109</v>
      </c>
      <c r="L2336" s="27" t="s">
        <v>119</v>
      </c>
      <c r="M2336" s="10">
        <v>22.045855379188712</v>
      </c>
    </row>
    <row r="2337" spans="11:13" x14ac:dyDescent="0.25">
      <c r="K2337" s="26" t="s">
        <v>109</v>
      </c>
      <c r="L2337" s="27" t="s">
        <v>115</v>
      </c>
      <c r="M2337" s="10">
        <v>79.365079365079367</v>
      </c>
    </row>
    <row r="2338" spans="11:13" x14ac:dyDescent="0.25">
      <c r="K2338" s="26" t="s">
        <v>109</v>
      </c>
      <c r="L2338" s="27" t="s">
        <v>116</v>
      </c>
      <c r="M2338" s="10">
        <v>211.79709837975219</v>
      </c>
    </row>
    <row r="2339" spans="11:13" x14ac:dyDescent="0.25">
      <c r="K2339" s="26" t="s">
        <v>109</v>
      </c>
      <c r="L2339" s="27" t="s">
        <v>117</v>
      </c>
      <c r="M2339" s="10">
        <v>24.483553791887125</v>
      </c>
    </row>
    <row r="2340" spans="11:13" x14ac:dyDescent="0.25">
      <c r="K2340" s="26" t="s">
        <v>109</v>
      </c>
      <c r="L2340" s="27" t="s">
        <v>118</v>
      </c>
      <c r="M2340" s="10">
        <v>293.0751829430244</v>
      </c>
    </row>
    <row r="2341" spans="11:13" x14ac:dyDescent="0.25">
      <c r="K2341" s="26" t="s">
        <v>109</v>
      </c>
      <c r="L2341" s="27" t="s">
        <v>119</v>
      </c>
      <c r="M2341" s="10">
        <v>27.475798400908538</v>
      </c>
    </row>
    <row r="2342" spans="11:13" x14ac:dyDescent="0.25">
      <c r="K2342" s="26" t="s">
        <v>109</v>
      </c>
      <c r="L2342" s="27" t="s">
        <v>115</v>
      </c>
      <c r="M2342" s="10">
        <v>26.559938454211583</v>
      </c>
    </row>
    <row r="2343" spans="11:13" x14ac:dyDescent="0.25">
      <c r="K2343" s="26" t="s">
        <v>109</v>
      </c>
      <c r="L2343" s="27" t="s">
        <v>116</v>
      </c>
      <c r="M2343" s="10">
        <v>91.585994669695125</v>
      </c>
    </row>
    <row r="2344" spans="11:13" x14ac:dyDescent="0.25">
      <c r="K2344" s="26" t="s">
        <v>109</v>
      </c>
      <c r="L2344" s="27" t="s">
        <v>117</v>
      </c>
      <c r="M2344" s="10">
        <v>9.1585994669695125</v>
      </c>
    </row>
    <row r="2345" spans="11:13" x14ac:dyDescent="0.25">
      <c r="K2345" s="26" t="s">
        <v>109</v>
      </c>
      <c r="L2345" s="27" t="s">
        <v>118</v>
      </c>
      <c r="M2345" s="10">
        <v>23.57807652533609</v>
      </c>
    </row>
    <row r="2346" spans="11:13" x14ac:dyDescent="0.25">
      <c r="K2346" s="26" t="s">
        <v>109</v>
      </c>
      <c r="L2346" s="27" t="s">
        <v>119</v>
      </c>
      <c r="M2346" s="10">
        <v>457.92997334847558</v>
      </c>
    </row>
    <row r="2347" spans="11:13" x14ac:dyDescent="0.25">
      <c r="K2347" s="26" t="s">
        <v>109</v>
      </c>
      <c r="L2347" s="27" t="s">
        <v>115</v>
      </c>
      <c r="M2347" s="10">
        <v>15.733540158566012</v>
      </c>
    </row>
    <row r="2348" spans="11:13" x14ac:dyDescent="0.25">
      <c r="K2348" s="26" t="s">
        <v>109</v>
      </c>
      <c r="L2348" s="27" t="s">
        <v>116</v>
      </c>
      <c r="M2348" s="10">
        <v>77.017868145409736</v>
      </c>
    </row>
    <row r="2349" spans="11:13" x14ac:dyDescent="0.25">
      <c r="K2349" s="26" t="s">
        <v>109</v>
      </c>
      <c r="L2349" s="27" t="s">
        <v>117</v>
      </c>
      <c r="M2349" s="10">
        <v>110.22927689594357</v>
      </c>
    </row>
    <row r="2350" spans="11:13" x14ac:dyDescent="0.25">
      <c r="K2350" s="26" t="s">
        <v>109</v>
      </c>
      <c r="L2350" s="27" t="s">
        <v>118</v>
      </c>
      <c r="M2350" s="10">
        <v>194.00352733686069</v>
      </c>
    </row>
    <row r="2351" spans="11:13" x14ac:dyDescent="0.25">
      <c r="K2351" s="26" t="s">
        <v>109</v>
      </c>
      <c r="L2351" s="27" t="s">
        <v>119</v>
      </c>
      <c r="M2351" s="10">
        <v>100</v>
      </c>
    </row>
    <row r="2352" spans="11:13" x14ac:dyDescent="0.25">
      <c r="K2352" s="26" t="s">
        <v>109</v>
      </c>
      <c r="L2352" s="27" t="s">
        <v>115</v>
      </c>
      <c r="M2352" s="10">
        <v>11.375</v>
      </c>
    </row>
    <row r="2353" spans="11:13" x14ac:dyDescent="0.25">
      <c r="K2353" s="26" t="s">
        <v>109</v>
      </c>
      <c r="L2353" s="27" t="s">
        <v>116</v>
      </c>
      <c r="M2353" s="10">
        <v>30.807147258163894</v>
      </c>
    </row>
    <row r="2354" spans="11:13" x14ac:dyDescent="0.25">
      <c r="K2354" s="26" t="s">
        <v>109</v>
      </c>
      <c r="L2354" s="27" t="s">
        <v>117</v>
      </c>
      <c r="M2354" s="10">
        <v>138.63216266173754</v>
      </c>
    </row>
    <row r="2355" spans="11:13" x14ac:dyDescent="0.25">
      <c r="K2355" s="26" t="s">
        <v>109</v>
      </c>
      <c r="L2355" s="27" t="s">
        <v>118</v>
      </c>
      <c r="M2355" s="10">
        <v>61.614294516327789</v>
      </c>
    </row>
    <row r="2356" spans="11:13" x14ac:dyDescent="0.25">
      <c r="K2356" s="26" t="s">
        <v>110</v>
      </c>
      <c r="L2356" s="27" t="s">
        <v>119</v>
      </c>
      <c r="M2356" s="10">
        <v>388.00705467372137</v>
      </c>
    </row>
    <row r="2357" spans="11:13" x14ac:dyDescent="0.25">
      <c r="K2357" s="26" t="s">
        <v>110</v>
      </c>
      <c r="L2357" s="27" t="s">
        <v>115</v>
      </c>
      <c r="M2357" s="10">
        <v>661.37566137566137</v>
      </c>
    </row>
    <row r="2358" spans="11:13" x14ac:dyDescent="0.25">
      <c r="K2358" s="26" t="s">
        <v>110</v>
      </c>
      <c r="L2358" s="27" t="s">
        <v>116</v>
      </c>
      <c r="M2358" s="10">
        <v>105.89854918987609</v>
      </c>
    </row>
    <row r="2359" spans="11:13" x14ac:dyDescent="0.25">
      <c r="K2359" s="26" t="s">
        <v>110</v>
      </c>
      <c r="L2359" s="27" t="s">
        <v>117</v>
      </c>
      <c r="M2359" s="10">
        <v>27.726432532347506</v>
      </c>
    </row>
    <row r="2360" spans="11:13" x14ac:dyDescent="0.25">
      <c r="K2360" s="26" t="s">
        <v>111</v>
      </c>
      <c r="L2360" s="27" t="s">
        <v>118</v>
      </c>
      <c r="M2360" s="10">
        <v>9.2421441774491679</v>
      </c>
    </row>
    <row r="2361" spans="11:13" x14ac:dyDescent="0.25">
      <c r="K2361" s="26" t="s">
        <v>109</v>
      </c>
      <c r="L2361" s="27" t="s">
        <v>119</v>
      </c>
      <c r="M2361" s="10">
        <v>9.2421441774491679</v>
      </c>
    </row>
    <row r="2362" spans="11:13" x14ac:dyDescent="0.25">
      <c r="K2362" s="26" t="s">
        <v>109</v>
      </c>
      <c r="L2362" s="27" t="s">
        <v>115</v>
      </c>
      <c r="M2362" s="10">
        <v>60.0739371534196</v>
      </c>
    </row>
    <row r="2363" spans="11:13" x14ac:dyDescent="0.25">
      <c r="K2363" s="26" t="s">
        <v>109</v>
      </c>
      <c r="L2363" s="27" t="s">
        <v>116</v>
      </c>
      <c r="M2363" s="10">
        <v>38.54406228720466</v>
      </c>
    </row>
    <row r="2364" spans="11:13" x14ac:dyDescent="0.25">
      <c r="K2364" s="26" t="s">
        <v>109</v>
      </c>
      <c r="L2364" s="27" t="s">
        <v>117</v>
      </c>
      <c r="M2364" s="10">
        <v>220.45855379188714</v>
      </c>
    </row>
    <row r="2365" spans="11:13" x14ac:dyDescent="0.25">
      <c r="K2365" s="26" t="s">
        <v>109</v>
      </c>
      <c r="L2365" s="27" t="s">
        <v>118</v>
      </c>
      <c r="M2365" s="10">
        <v>30.835249829763725</v>
      </c>
    </row>
    <row r="2366" spans="11:13" x14ac:dyDescent="0.25">
      <c r="K2366" s="26" t="s">
        <v>109</v>
      </c>
      <c r="L2366" s="27" t="s">
        <v>119</v>
      </c>
      <c r="M2366" s="10">
        <v>440.91710758377428</v>
      </c>
    </row>
    <row r="2367" spans="11:13" x14ac:dyDescent="0.25">
      <c r="K2367" s="26" t="s">
        <v>109</v>
      </c>
      <c r="L2367" s="27" t="s">
        <v>115</v>
      </c>
      <c r="M2367" s="10">
        <v>100.2145619467321</v>
      </c>
    </row>
    <row r="2368" spans="11:13" x14ac:dyDescent="0.25">
      <c r="K2368" s="26" t="s">
        <v>109</v>
      </c>
      <c r="L2368" s="27" t="s">
        <v>116</v>
      </c>
      <c r="M2368" s="10">
        <v>158.84782378481412</v>
      </c>
    </row>
    <row r="2369" spans="11:13" x14ac:dyDescent="0.25">
      <c r="K2369" s="26" t="s">
        <v>109</v>
      </c>
      <c r="L2369" s="27" t="s">
        <v>117</v>
      </c>
      <c r="M2369" s="10">
        <v>50</v>
      </c>
    </row>
    <row r="2370" spans="11:13" x14ac:dyDescent="0.25">
      <c r="K2370" s="26" t="s">
        <v>109</v>
      </c>
      <c r="L2370" s="27" t="s">
        <v>118</v>
      </c>
      <c r="M2370" s="10">
        <v>19.416314416764095</v>
      </c>
    </row>
    <row r="2371" spans="11:13" x14ac:dyDescent="0.25">
      <c r="K2371" s="26" t="s">
        <v>109</v>
      </c>
      <c r="L2371" s="27" t="s">
        <v>119</v>
      </c>
      <c r="M2371" s="10">
        <v>11.022927689594356</v>
      </c>
    </row>
    <row r="2372" spans="11:13" x14ac:dyDescent="0.25">
      <c r="K2372" s="26" t="s">
        <v>109</v>
      </c>
      <c r="L2372" s="27" t="s">
        <v>115</v>
      </c>
      <c r="M2372" s="10">
        <v>20</v>
      </c>
    </row>
    <row r="2373" spans="11:13" x14ac:dyDescent="0.25">
      <c r="K2373" s="26" t="s">
        <v>109</v>
      </c>
      <c r="L2373" s="27" t="s">
        <v>116</v>
      </c>
      <c r="M2373" s="10">
        <v>2.2749999999999999</v>
      </c>
    </row>
    <row r="2374" spans="11:13" x14ac:dyDescent="0.25">
      <c r="K2374" s="26" t="s">
        <v>109</v>
      </c>
      <c r="L2374" s="27" t="s">
        <v>117</v>
      </c>
      <c r="M2374" s="10">
        <v>40.515355319666149</v>
      </c>
    </row>
    <row r="2375" spans="11:13" x14ac:dyDescent="0.25">
      <c r="K2375" s="26" t="s">
        <v>109</v>
      </c>
      <c r="L2375" s="27" t="s">
        <v>118</v>
      </c>
      <c r="M2375" s="10">
        <v>4.0515355319666151</v>
      </c>
    </row>
    <row r="2376" spans="11:13" x14ac:dyDescent="0.25">
      <c r="K2376" s="26" t="s">
        <v>109</v>
      </c>
      <c r="L2376" s="27" t="s">
        <v>119</v>
      </c>
      <c r="M2376" s="10">
        <v>8.1030710639332302</v>
      </c>
    </row>
    <row r="2377" spans="11:13" x14ac:dyDescent="0.25">
      <c r="K2377" s="26" t="s">
        <v>109</v>
      </c>
      <c r="L2377" s="27" t="s">
        <v>115</v>
      </c>
      <c r="M2377" s="10">
        <v>16.20614212786646</v>
      </c>
    </row>
    <row r="2378" spans="11:13" x14ac:dyDescent="0.25">
      <c r="K2378" s="26" t="s">
        <v>109</v>
      </c>
      <c r="L2378" s="27" t="s">
        <v>116</v>
      </c>
      <c r="M2378" s="10">
        <v>16.20614212786646</v>
      </c>
    </row>
    <row r="2379" spans="11:13" x14ac:dyDescent="0.25">
      <c r="K2379" s="26" t="s">
        <v>109</v>
      </c>
      <c r="L2379" s="27" t="s">
        <v>117</v>
      </c>
      <c r="M2379" s="10">
        <v>110.22927689594357</v>
      </c>
    </row>
    <row r="2380" spans="11:13" x14ac:dyDescent="0.25">
      <c r="K2380" s="26" t="s">
        <v>109</v>
      </c>
      <c r="L2380" s="27" t="s">
        <v>118</v>
      </c>
      <c r="M2380" s="10">
        <v>66.137566137566139</v>
      </c>
    </row>
    <row r="2381" spans="11:13" x14ac:dyDescent="0.25">
      <c r="K2381" s="26" t="s">
        <v>109</v>
      </c>
      <c r="L2381" s="27" t="s">
        <v>119</v>
      </c>
      <c r="M2381" s="10">
        <v>148.06820350493891</v>
      </c>
    </row>
    <row r="2382" spans="11:13" x14ac:dyDescent="0.25">
      <c r="K2382" s="26" t="s">
        <v>109</v>
      </c>
      <c r="L2382" s="27" t="s">
        <v>115</v>
      </c>
      <c r="M2382" s="10">
        <v>52.949274594938046</v>
      </c>
    </row>
    <row r="2383" spans="11:13" x14ac:dyDescent="0.25">
      <c r="K2383" s="26" t="s">
        <v>109</v>
      </c>
      <c r="L2383" s="27" t="s">
        <v>116</v>
      </c>
      <c r="M2383" s="10">
        <v>79.423911892407062</v>
      </c>
    </row>
    <row r="2384" spans="11:13" x14ac:dyDescent="0.25">
      <c r="K2384" s="26" t="s">
        <v>109</v>
      </c>
      <c r="L2384" s="27" t="s">
        <v>117</v>
      </c>
      <c r="M2384" s="10">
        <v>52.949274594938046</v>
      </c>
    </row>
    <row r="2385" spans="11:13" x14ac:dyDescent="0.25">
      <c r="K2385" s="26" t="s">
        <v>109</v>
      </c>
      <c r="L2385" s="27" t="s">
        <v>118</v>
      </c>
      <c r="M2385" s="10">
        <v>2.6474637297469026</v>
      </c>
    </row>
    <row r="2386" spans="11:13" x14ac:dyDescent="0.25">
      <c r="K2386" s="26" t="s">
        <v>113</v>
      </c>
      <c r="L2386" s="27" t="s">
        <v>119</v>
      </c>
      <c r="M2386" s="10">
        <v>13.788348845225784</v>
      </c>
    </row>
    <row r="2387" spans="11:13" x14ac:dyDescent="0.25">
      <c r="K2387" s="26" t="s">
        <v>109</v>
      </c>
      <c r="L2387" s="27" t="s">
        <v>115</v>
      </c>
      <c r="M2387" s="10">
        <v>22.045855379188712</v>
      </c>
    </row>
    <row r="2388" spans="11:13" x14ac:dyDescent="0.25">
      <c r="K2388" s="26" t="s">
        <v>109</v>
      </c>
      <c r="L2388" s="27" t="s">
        <v>116</v>
      </c>
      <c r="M2388" s="10">
        <v>34.470872113064452</v>
      </c>
    </row>
    <row r="2389" spans="11:13" x14ac:dyDescent="0.25">
      <c r="K2389" s="26" t="s">
        <v>109</v>
      </c>
      <c r="L2389" s="27" t="s">
        <v>117</v>
      </c>
      <c r="M2389" s="10">
        <v>15.873015873015873</v>
      </c>
    </row>
    <row r="2390" spans="11:13" x14ac:dyDescent="0.25">
      <c r="K2390" s="26" t="s">
        <v>109</v>
      </c>
      <c r="L2390" s="27" t="s">
        <v>118</v>
      </c>
      <c r="M2390" s="10">
        <v>987.12135669959264</v>
      </c>
    </row>
    <row r="2391" spans="11:13" x14ac:dyDescent="0.25">
      <c r="K2391" s="26" t="s">
        <v>109</v>
      </c>
      <c r="L2391" s="27" t="s">
        <v>119</v>
      </c>
      <c r="M2391" s="10">
        <v>50</v>
      </c>
    </row>
    <row r="2392" spans="11:13" x14ac:dyDescent="0.25">
      <c r="K2392" s="26" t="s">
        <v>109</v>
      </c>
      <c r="L2392" s="27" t="s">
        <v>115</v>
      </c>
      <c r="M2392" s="10">
        <v>391.73686067019401</v>
      </c>
    </row>
    <row r="2393" spans="11:13" x14ac:dyDescent="0.25">
      <c r="K2393" s="26" t="s">
        <v>109</v>
      </c>
      <c r="L2393" s="27" t="s">
        <v>116</v>
      </c>
      <c r="M2393" s="10">
        <v>164.52022611659876</v>
      </c>
    </row>
    <row r="2394" spans="11:13" x14ac:dyDescent="0.25">
      <c r="K2394" s="26" t="s">
        <v>109</v>
      </c>
      <c r="L2394" s="27" t="s">
        <v>117</v>
      </c>
      <c r="M2394" s="10">
        <v>66.137566137566139</v>
      </c>
    </row>
    <row r="2395" spans="11:13" x14ac:dyDescent="0.25">
      <c r="K2395" s="26" t="s">
        <v>109</v>
      </c>
      <c r="L2395" s="27" t="s">
        <v>118</v>
      </c>
      <c r="M2395" s="10">
        <v>822.60113058299385</v>
      </c>
    </row>
    <row r="2396" spans="11:13" x14ac:dyDescent="0.25">
      <c r="K2396" s="26" t="s">
        <v>109</v>
      </c>
      <c r="L2396" s="27" t="s">
        <v>119</v>
      </c>
      <c r="M2396" s="10">
        <v>92.625</v>
      </c>
    </row>
    <row r="2397" spans="11:13" x14ac:dyDescent="0.25">
      <c r="K2397" s="26" t="s">
        <v>109</v>
      </c>
      <c r="L2397" s="27" t="s">
        <v>115</v>
      </c>
      <c r="M2397" s="10">
        <v>48.500881834215171</v>
      </c>
    </row>
    <row r="2398" spans="11:13" x14ac:dyDescent="0.25">
      <c r="K2398" s="26" t="s">
        <v>109</v>
      </c>
      <c r="L2398" s="27" t="s">
        <v>116</v>
      </c>
      <c r="M2398" s="10">
        <v>68.941744226128904</v>
      </c>
    </row>
    <row r="2399" spans="11:13" x14ac:dyDescent="0.25">
      <c r="K2399" s="26" t="s">
        <v>109</v>
      </c>
      <c r="L2399" s="27" t="s">
        <v>117</v>
      </c>
      <c r="M2399" s="10">
        <v>103.41261633919338</v>
      </c>
    </row>
    <row r="2400" spans="11:13" x14ac:dyDescent="0.25">
      <c r="K2400" s="26" t="s">
        <v>109</v>
      </c>
      <c r="L2400" s="27" t="s">
        <v>118</v>
      </c>
      <c r="M2400" s="10">
        <v>4.529698199992291</v>
      </c>
    </row>
    <row r="2401" spans="11:13" x14ac:dyDescent="0.25">
      <c r="K2401" s="26" t="s">
        <v>109</v>
      </c>
      <c r="L2401" s="27" t="s">
        <v>119</v>
      </c>
      <c r="M2401" s="10">
        <v>31.00996921946065</v>
      </c>
    </row>
    <row r="2402" spans="11:13" x14ac:dyDescent="0.25">
      <c r="K2402" s="26" t="s">
        <v>109</v>
      </c>
      <c r="L2402" s="27" t="s">
        <v>115</v>
      </c>
      <c r="M2402" s="10">
        <v>41.235449735449734</v>
      </c>
    </row>
    <row r="2403" spans="11:13" x14ac:dyDescent="0.25">
      <c r="K2403" s="26" t="s">
        <v>109</v>
      </c>
      <c r="L2403" s="27" t="s">
        <v>116</v>
      </c>
      <c r="M2403" s="10">
        <v>103.08862433862434</v>
      </c>
    </row>
    <row r="2404" spans="11:13" x14ac:dyDescent="0.25">
      <c r="K2404" s="26" t="s">
        <v>109</v>
      </c>
      <c r="L2404" s="27" t="s">
        <v>117</v>
      </c>
      <c r="M2404" s="10">
        <v>194.00352733686069</v>
      </c>
    </row>
    <row r="2405" spans="11:13" x14ac:dyDescent="0.25">
      <c r="K2405" s="26" t="s">
        <v>109</v>
      </c>
      <c r="L2405" s="27" t="s">
        <v>118</v>
      </c>
      <c r="M2405" s="10">
        <v>121.54606595899845</v>
      </c>
    </row>
    <row r="2406" spans="11:13" x14ac:dyDescent="0.25">
      <c r="K2406" s="26" t="s">
        <v>109</v>
      </c>
      <c r="L2406" s="27" t="s">
        <v>119</v>
      </c>
      <c r="M2406" s="10">
        <v>198.4126984126984</v>
      </c>
    </row>
    <row r="2407" spans="11:13" x14ac:dyDescent="0.25">
      <c r="K2407" s="26" t="s">
        <v>109</v>
      </c>
      <c r="L2407" s="27" t="s">
        <v>115</v>
      </c>
      <c r="M2407" s="10">
        <v>293.80257936507934</v>
      </c>
    </row>
    <row r="2408" spans="11:13" x14ac:dyDescent="0.25">
      <c r="K2408" s="26" t="s">
        <v>109</v>
      </c>
      <c r="L2408" s="27" t="s">
        <v>116</v>
      </c>
      <c r="M2408" s="10">
        <v>293.80257936507934</v>
      </c>
    </row>
    <row r="2409" spans="11:13" x14ac:dyDescent="0.25">
      <c r="K2409" s="26" t="s">
        <v>109</v>
      </c>
      <c r="L2409" s="27" t="s">
        <v>117</v>
      </c>
      <c r="M2409" s="10">
        <v>0.44091710758377428</v>
      </c>
    </row>
    <row r="2410" spans="11:13" x14ac:dyDescent="0.25">
      <c r="K2410" s="26" t="s">
        <v>109</v>
      </c>
      <c r="L2410" s="27" t="s">
        <v>118</v>
      </c>
      <c r="M2410" s="10">
        <v>82.470899470899468</v>
      </c>
    </row>
    <row r="2411" spans="11:13" x14ac:dyDescent="0.25">
      <c r="K2411" s="26" t="s">
        <v>109</v>
      </c>
      <c r="L2411" s="27" t="s">
        <v>119</v>
      </c>
      <c r="M2411" s="10">
        <v>211.79709837975219</v>
      </c>
    </row>
    <row r="2412" spans="11:13" x14ac:dyDescent="0.25">
      <c r="K2412" s="26" t="s">
        <v>113</v>
      </c>
      <c r="L2412" s="27" t="s">
        <v>115</v>
      </c>
      <c r="M2412" s="10">
        <v>97.767638911520294</v>
      </c>
    </row>
    <row r="2413" spans="11:13" x14ac:dyDescent="0.25">
      <c r="K2413" s="26" t="s">
        <v>110</v>
      </c>
      <c r="L2413" s="27" t="s">
        <v>116</v>
      </c>
      <c r="M2413" s="10">
        <v>35.493827160493829</v>
      </c>
    </row>
    <row r="2414" spans="11:13" x14ac:dyDescent="0.25">
      <c r="K2414" s="26" t="s">
        <v>110</v>
      </c>
      <c r="L2414" s="27" t="s">
        <v>117</v>
      </c>
      <c r="M2414" s="10">
        <v>110.22927689594357</v>
      </c>
    </row>
    <row r="2415" spans="11:13" x14ac:dyDescent="0.25">
      <c r="K2415" s="26" t="s">
        <v>110</v>
      </c>
      <c r="L2415" s="27" t="s">
        <v>118</v>
      </c>
      <c r="M2415" s="10">
        <v>529.49274594938049</v>
      </c>
    </row>
    <row r="2416" spans="11:13" x14ac:dyDescent="0.25">
      <c r="K2416" s="26" t="s">
        <v>110</v>
      </c>
      <c r="L2416" s="27" t="s">
        <v>119</v>
      </c>
      <c r="M2416" s="10">
        <v>36.067019400352734</v>
      </c>
    </row>
    <row r="2417" spans="11:13" x14ac:dyDescent="0.25">
      <c r="K2417" s="26" t="s">
        <v>110</v>
      </c>
      <c r="L2417" s="27" t="s">
        <v>115</v>
      </c>
      <c r="M2417" s="10">
        <v>1.7549999999999999</v>
      </c>
    </row>
    <row r="2418" spans="11:13" x14ac:dyDescent="0.25">
      <c r="K2418" s="26" t="s">
        <v>109</v>
      </c>
      <c r="L2418" s="27" t="s">
        <v>116</v>
      </c>
      <c r="M2418" s="10">
        <v>68.941744226128904</v>
      </c>
    </row>
    <row r="2419" spans="11:13" x14ac:dyDescent="0.25">
      <c r="K2419" s="26" t="s">
        <v>109</v>
      </c>
      <c r="L2419" s="27" t="s">
        <v>117</v>
      </c>
      <c r="M2419" s="10">
        <v>0.68911655257959292</v>
      </c>
    </row>
    <row r="2420" spans="11:13" x14ac:dyDescent="0.25">
      <c r="K2420" s="26" t="s">
        <v>109</v>
      </c>
      <c r="L2420" s="27" t="s">
        <v>118</v>
      </c>
      <c r="M2420" s="10">
        <v>44.091710758377424</v>
      </c>
    </row>
    <row r="2421" spans="11:13" x14ac:dyDescent="0.25">
      <c r="K2421" s="26" t="s">
        <v>109</v>
      </c>
      <c r="L2421" s="27" t="s">
        <v>119</v>
      </c>
      <c r="M2421" s="10">
        <v>64.24010381200776</v>
      </c>
    </row>
    <row r="2422" spans="11:13" x14ac:dyDescent="0.25">
      <c r="K2422" s="26" t="s">
        <v>109</v>
      </c>
      <c r="L2422" s="27" t="s">
        <v>115</v>
      </c>
      <c r="M2422" s="10">
        <v>4012.1970791205267</v>
      </c>
    </row>
    <row r="2423" spans="11:13" x14ac:dyDescent="0.25">
      <c r="K2423" s="26" t="s">
        <v>109</v>
      </c>
      <c r="L2423" s="27" t="s">
        <v>116</v>
      </c>
      <c r="M2423" s="10">
        <v>142.26230158730161</v>
      </c>
    </row>
    <row r="2424" spans="11:13" x14ac:dyDescent="0.25">
      <c r="K2424" s="26" t="s">
        <v>109</v>
      </c>
      <c r="L2424" s="27" t="s">
        <v>117</v>
      </c>
      <c r="M2424" s="10">
        <v>71.749691358024691</v>
      </c>
    </row>
    <row r="2425" spans="11:13" x14ac:dyDescent="0.25">
      <c r="K2425" s="26" t="s">
        <v>109</v>
      </c>
      <c r="L2425" s="27" t="s">
        <v>118</v>
      </c>
      <c r="M2425" s="10">
        <v>144.3241622574956</v>
      </c>
    </row>
    <row r="2426" spans="11:13" x14ac:dyDescent="0.25">
      <c r="K2426" s="26" t="s">
        <v>109</v>
      </c>
      <c r="L2426" s="27" t="s">
        <v>119</v>
      </c>
      <c r="M2426" s="10">
        <v>17.782186948853614</v>
      </c>
    </row>
    <row r="2427" spans="11:13" x14ac:dyDescent="0.25">
      <c r="K2427" s="26" t="s">
        <v>109</v>
      </c>
      <c r="L2427" s="27" t="s">
        <v>115</v>
      </c>
      <c r="M2427" s="10">
        <v>44.091710758377424</v>
      </c>
    </row>
    <row r="2428" spans="11:13" x14ac:dyDescent="0.25">
      <c r="K2428" s="26" t="s">
        <v>109</v>
      </c>
      <c r="L2428" s="27" t="s">
        <v>116</v>
      </c>
      <c r="M2428" s="10">
        <v>11</v>
      </c>
    </row>
    <row r="2429" spans="11:13" x14ac:dyDescent="0.25">
      <c r="K2429" s="26" t="s">
        <v>109</v>
      </c>
      <c r="L2429" s="27" t="s">
        <v>117</v>
      </c>
      <c r="M2429" s="10">
        <v>64.110196268786581</v>
      </c>
    </row>
    <row r="2430" spans="11:13" x14ac:dyDescent="0.25">
      <c r="K2430" s="26" t="s">
        <v>109</v>
      </c>
      <c r="L2430" s="27" t="s">
        <v>118</v>
      </c>
      <c r="M2430" s="10">
        <v>27.475798400908538</v>
      </c>
    </row>
    <row r="2431" spans="11:13" x14ac:dyDescent="0.25">
      <c r="K2431" s="26" t="s">
        <v>109</v>
      </c>
      <c r="L2431" s="27" t="s">
        <v>119</v>
      </c>
      <c r="M2431" s="10">
        <v>91.585994669695125</v>
      </c>
    </row>
    <row r="2432" spans="11:13" x14ac:dyDescent="0.25">
      <c r="K2432" s="26" t="s">
        <v>109</v>
      </c>
      <c r="L2432" s="27" t="s">
        <v>115</v>
      </c>
      <c r="M2432" s="10">
        <v>45.792997334847563</v>
      </c>
    </row>
    <row r="2433" spans="11:13" x14ac:dyDescent="0.25">
      <c r="K2433" s="26" t="s">
        <v>109</v>
      </c>
      <c r="L2433" s="27" t="s">
        <v>116</v>
      </c>
      <c r="M2433" s="10">
        <v>107.70596346087555</v>
      </c>
    </row>
    <row r="2434" spans="11:13" x14ac:dyDescent="0.25">
      <c r="K2434" s="26" t="s">
        <v>109</v>
      </c>
      <c r="L2434" s="27" t="s">
        <v>117</v>
      </c>
      <c r="M2434" s="10">
        <v>68.941744226128904</v>
      </c>
    </row>
    <row r="2435" spans="11:13" x14ac:dyDescent="0.25">
      <c r="K2435" s="26" t="s">
        <v>109</v>
      </c>
      <c r="L2435" s="27" t="s">
        <v>118</v>
      </c>
      <c r="M2435" s="10">
        <v>17.235436056532226</v>
      </c>
    </row>
    <row r="2436" spans="11:13" x14ac:dyDescent="0.25">
      <c r="K2436" s="26" t="s">
        <v>109</v>
      </c>
      <c r="L2436" s="27" t="s">
        <v>119</v>
      </c>
      <c r="M2436" s="10">
        <v>38.54406228720466</v>
      </c>
    </row>
    <row r="2437" spans="11:13" x14ac:dyDescent="0.25">
      <c r="K2437" s="26" t="s">
        <v>109</v>
      </c>
      <c r="L2437" s="27" t="s">
        <v>115</v>
      </c>
      <c r="M2437" s="10">
        <v>92.421441774491683</v>
      </c>
    </row>
    <row r="2438" spans="11:13" x14ac:dyDescent="0.25">
      <c r="K2438" s="26" t="s">
        <v>109</v>
      </c>
      <c r="L2438" s="27" t="s">
        <v>116</v>
      </c>
      <c r="M2438" s="10">
        <v>61.922365988909426</v>
      </c>
    </row>
    <row r="2439" spans="11:13" x14ac:dyDescent="0.25">
      <c r="K2439" s="26" t="s">
        <v>109</v>
      </c>
      <c r="L2439" s="27" t="s">
        <v>117</v>
      </c>
      <c r="M2439" s="10">
        <v>100</v>
      </c>
    </row>
    <row r="2440" spans="11:13" x14ac:dyDescent="0.25">
      <c r="K2440" s="26" t="s">
        <v>109</v>
      </c>
      <c r="L2440" s="27" t="s">
        <v>118</v>
      </c>
      <c r="M2440" s="10">
        <v>220.45855379188714</v>
      </c>
    </row>
    <row r="2441" spans="11:13" x14ac:dyDescent="0.25">
      <c r="K2441" s="26" t="s">
        <v>110</v>
      </c>
      <c r="L2441" s="27" t="s">
        <v>119</v>
      </c>
      <c r="M2441" s="10">
        <v>529.49274594938049</v>
      </c>
    </row>
    <row r="2442" spans="11:13" x14ac:dyDescent="0.25">
      <c r="K2442" s="26" t="s">
        <v>110</v>
      </c>
      <c r="L2442" s="27" t="s">
        <v>115</v>
      </c>
      <c r="M2442" s="10">
        <v>405.15355319666151</v>
      </c>
    </row>
    <row r="2443" spans="11:13" x14ac:dyDescent="0.25">
      <c r="K2443" s="26" t="s">
        <v>110</v>
      </c>
      <c r="L2443" s="27" t="s">
        <v>116</v>
      </c>
      <c r="M2443" s="10">
        <v>22.045855379188712</v>
      </c>
    </row>
    <row r="2444" spans="11:13" x14ac:dyDescent="0.25">
      <c r="K2444" s="26" t="s">
        <v>110</v>
      </c>
      <c r="L2444" s="27" t="s">
        <v>117</v>
      </c>
      <c r="M2444" s="10">
        <v>25.696041524803107</v>
      </c>
    </row>
    <row r="2445" spans="11:13" x14ac:dyDescent="0.25">
      <c r="K2445" s="26" t="s">
        <v>109</v>
      </c>
      <c r="L2445" s="27" t="s">
        <v>118</v>
      </c>
      <c r="M2445" s="10">
        <v>11.375</v>
      </c>
    </row>
    <row r="2446" spans="11:13" x14ac:dyDescent="0.25">
      <c r="K2446" s="26" t="s">
        <v>109</v>
      </c>
      <c r="L2446" s="27" t="s">
        <v>119</v>
      </c>
      <c r="M2446" s="10">
        <v>83.774250440917115</v>
      </c>
    </row>
    <row r="2447" spans="11:13" x14ac:dyDescent="0.25">
      <c r="K2447" s="26" t="s">
        <v>109</v>
      </c>
      <c r="L2447" s="27" t="s">
        <v>115</v>
      </c>
      <c r="M2447" s="10">
        <v>23.75</v>
      </c>
    </row>
    <row r="2448" spans="11:13" x14ac:dyDescent="0.25">
      <c r="K2448" s="26" t="s">
        <v>109</v>
      </c>
      <c r="L2448" s="27" t="s">
        <v>116</v>
      </c>
      <c r="M2448" s="10">
        <v>1.2848020762401553</v>
      </c>
    </row>
    <row r="2449" spans="11:13" x14ac:dyDescent="0.25">
      <c r="K2449" s="26" t="s">
        <v>109</v>
      </c>
      <c r="L2449" s="27" t="s">
        <v>117</v>
      </c>
      <c r="M2449" s="10">
        <v>26.071370376405412</v>
      </c>
    </row>
    <row r="2450" spans="11:13" x14ac:dyDescent="0.25">
      <c r="K2450" s="26" t="s">
        <v>109</v>
      </c>
      <c r="L2450" s="27" t="s">
        <v>118</v>
      </c>
      <c r="M2450" s="10">
        <v>51.706308169596689</v>
      </c>
    </row>
    <row r="2451" spans="11:13" x14ac:dyDescent="0.25">
      <c r="K2451" s="26" t="s">
        <v>109</v>
      </c>
      <c r="L2451" s="27" t="s">
        <v>119</v>
      </c>
      <c r="M2451" s="10">
        <v>110.22927689594357</v>
      </c>
    </row>
    <row r="2452" spans="11:13" x14ac:dyDescent="0.25">
      <c r="K2452" s="26" t="s">
        <v>109</v>
      </c>
      <c r="L2452" s="27" t="s">
        <v>115</v>
      </c>
      <c r="M2452" s="10">
        <v>1.8040564373897707</v>
      </c>
    </row>
    <row r="2453" spans="11:13" x14ac:dyDescent="0.25">
      <c r="K2453" s="26" t="s">
        <v>109</v>
      </c>
      <c r="L2453" s="27" t="s">
        <v>116</v>
      </c>
      <c r="M2453" s="10">
        <v>25.684522442229063</v>
      </c>
    </row>
    <row r="2454" spans="11:13" x14ac:dyDescent="0.25">
      <c r="K2454" s="26" t="s">
        <v>109</v>
      </c>
      <c r="L2454" s="27" t="s">
        <v>117</v>
      </c>
      <c r="M2454" s="10">
        <v>4.409171075837742</v>
      </c>
    </row>
    <row r="2455" spans="11:13" x14ac:dyDescent="0.25">
      <c r="K2455" s="26" t="s">
        <v>109</v>
      </c>
      <c r="L2455" s="27" t="s">
        <v>118</v>
      </c>
      <c r="M2455" s="10">
        <v>4.409171075837742</v>
      </c>
    </row>
    <row r="2456" spans="11:13" x14ac:dyDescent="0.25">
      <c r="K2456" s="26" t="s">
        <v>109</v>
      </c>
      <c r="L2456" s="27" t="s">
        <v>119</v>
      </c>
      <c r="M2456" s="10">
        <v>4.409171075837742</v>
      </c>
    </row>
    <row r="2457" spans="11:13" x14ac:dyDescent="0.25">
      <c r="K2457" s="26" t="s">
        <v>109</v>
      </c>
      <c r="L2457" s="27" t="s">
        <v>115</v>
      </c>
      <c r="M2457" s="10">
        <v>4.409171075837742</v>
      </c>
    </row>
    <row r="2458" spans="11:13" x14ac:dyDescent="0.25">
      <c r="K2458" s="26" t="s">
        <v>109</v>
      </c>
      <c r="L2458" s="27" t="s">
        <v>116</v>
      </c>
      <c r="M2458" s="10">
        <v>4.409171075837742</v>
      </c>
    </row>
    <row r="2459" spans="11:13" x14ac:dyDescent="0.25">
      <c r="K2459" s="26" t="s">
        <v>109</v>
      </c>
      <c r="L2459" s="27" t="s">
        <v>117</v>
      </c>
      <c r="M2459" s="10">
        <v>64.24010381200776</v>
      </c>
    </row>
    <row r="2460" spans="11:13" x14ac:dyDescent="0.25">
      <c r="K2460" s="26" t="s">
        <v>109</v>
      </c>
      <c r="L2460" s="27" t="s">
        <v>118</v>
      </c>
      <c r="M2460" s="10">
        <v>24.483575837742503</v>
      </c>
    </row>
    <row r="2461" spans="11:13" x14ac:dyDescent="0.25">
      <c r="K2461" s="26" t="s">
        <v>109</v>
      </c>
      <c r="L2461" s="27" t="s">
        <v>119</v>
      </c>
      <c r="M2461" s="10">
        <v>100</v>
      </c>
    </row>
    <row r="2462" spans="11:13" x14ac:dyDescent="0.25">
      <c r="K2462" s="26" t="s">
        <v>109</v>
      </c>
      <c r="L2462" s="27" t="s">
        <v>115</v>
      </c>
      <c r="M2462" s="10">
        <v>50</v>
      </c>
    </row>
    <row r="2463" spans="11:13" x14ac:dyDescent="0.25">
      <c r="K2463" s="26" t="s">
        <v>109</v>
      </c>
      <c r="L2463" s="27" t="s">
        <v>116</v>
      </c>
      <c r="M2463" s="10">
        <v>44.091710758377424</v>
      </c>
    </row>
    <row r="2464" spans="11:13" x14ac:dyDescent="0.25">
      <c r="K2464" s="26" t="s">
        <v>109</v>
      </c>
      <c r="L2464" s="27" t="s">
        <v>117</v>
      </c>
      <c r="M2464" s="10">
        <v>44.091710758377424</v>
      </c>
    </row>
    <row r="2465" spans="11:13" x14ac:dyDescent="0.25">
      <c r="K2465" s="26" t="s">
        <v>109</v>
      </c>
      <c r="L2465" s="27" t="s">
        <v>118</v>
      </c>
      <c r="M2465" s="10">
        <v>176.3668430335097</v>
      </c>
    </row>
    <row r="2466" spans="11:13" x14ac:dyDescent="0.25">
      <c r="K2466" s="26" t="s">
        <v>109</v>
      </c>
      <c r="L2466" s="27" t="s">
        <v>119</v>
      </c>
      <c r="M2466" s="10">
        <v>44.091710758377424</v>
      </c>
    </row>
    <row r="2467" spans="11:13" x14ac:dyDescent="0.25">
      <c r="K2467" s="26" t="s">
        <v>109</v>
      </c>
      <c r="L2467" s="27" t="s">
        <v>115</v>
      </c>
      <c r="M2467" s="10">
        <v>52.949274594938046</v>
      </c>
    </row>
    <row r="2468" spans="11:13" x14ac:dyDescent="0.25">
      <c r="K2468" s="26" t="s">
        <v>110</v>
      </c>
      <c r="L2468" s="27" t="s">
        <v>116</v>
      </c>
      <c r="M2468" s="10">
        <v>110.22927689594357</v>
      </c>
    </row>
    <row r="2469" spans="11:13" x14ac:dyDescent="0.25">
      <c r="K2469" s="26" t="s">
        <v>110</v>
      </c>
      <c r="L2469" s="27" t="s">
        <v>117</v>
      </c>
      <c r="M2469" s="10">
        <v>132.27513227513228</v>
      </c>
    </row>
    <row r="2470" spans="11:13" x14ac:dyDescent="0.25">
      <c r="K2470" s="26" t="s">
        <v>110</v>
      </c>
      <c r="L2470" s="27" t="s">
        <v>118</v>
      </c>
      <c r="M2470" s="10">
        <v>132.27513227513228</v>
      </c>
    </row>
    <row r="2471" spans="11:13" x14ac:dyDescent="0.25">
      <c r="K2471" s="26" t="s">
        <v>110</v>
      </c>
      <c r="L2471" s="27" t="s">
        <v>119</v>
      </c>
      <c r="M2471" s="10">
        <v>79.423911892407062</v>
      </c>
    </row>
    <row r="2472" spans="11:13" x14ac:dyDescent="0.25">
      <c r="K2472" s="26" t="s">
        <v>110</v>
      </c>
      <c r="L2472" s="27" t="s">
        <v>115</v>
      </c>
      <c r="M2472" s="10">
        <v>159.64533468093904</v>
      </c>
    </row>
    <row r="2473" spans="11:13" x14ac:dyDescent="0.25">
      <c r="K2473" s="26" t="s">
        <v>109</v>
      </c>
      <c r="L2473" s="27" t="s">
        <v>116</v>
      </c>
      <c r="M2473" s="10">
        <v>8.4718839351900872</v>
      </c>
    </row>
    <row r="2474" spans="11:13" x14ac:dyDescent="0.25">
      <c r="K2474" s="26" t="s">
        <v>109</v>
      </c>
      <c r="L2474" s="27" t="s">
        <v>117</v>
      </c>
      <c r="M2474" s="10">
        <v>42.359419675950441</v>
      </c>
    </row>
    <row r="2475" spans="11:13" x14ac:dyDescent="0.25">
      <c r="K2475" s="26" t="s">
        <v>109</v>
      </c>
      <c r="L2475" s="27" t="s">
        <v>118</v>
      </c>
      <c r="M2475" s="10">
        <v>44.091710758377424</v>
      </c>
    </row>
    <row r="2476" spans="11:13" x14ac:dyDescent="0.25">
      <c r="K2476" s="26" t="s">
        <v>109</v>
      </c>
      <c r="L2476" s="27" t="s">
        <v>119</v>
      </c>
      <c r="M2476" s="10">
        <v>44.091710758377424</v>
      </c>
    </row>
    <row r="2477" spans="11:13" x14ac:dyDescent="0.25">
      <c r="K2477" s="26" t="s">
        <v>109</v>
      </c>
      <c r="L2477" s="27" t="s">
        <v>115</v>
      </c>
      <c r="M2477" s="10">
        <v>88.183421516754848</v>
      </c>
    </row>
    <row r="2478" spans="11:13" x14ac:dyDescent="0.25">
      <c r="K2478" s="26" t="s">
        <v>109</v>
      </c>
      <c r="L2478" s="27" t="s">
        <v>116</v>
      </c>
      <c r="M2478" s="10">
        <v>158.84782378481412</v>
      </c>
    </row>
    <row r="2479" spans="11:13" x14ac:dyDescent="0.25">
      <c r="K2479" s="26" t="s">
        <v>109</v>
      </c>
      <c r="L2479" s="27" t="s">
        <v>117</v>
      </c>
      <c r="M2479" s="10">
        <v>40</v>
      </c>
    </row>
    <row r="2480" spans="11:13" x14ac:dyDescent="0.25">
      <c r="K2480" s="26" t="s">
        <v>109</v>
      </c>
      <c r="L2480" s="27" t="s">
        <v>118</v>
      </c>
      <c r="M2480" s="10">
        <v>64.24010381200776</v>
      </c>
    </row>
    <row r="2481" spans="11:13" x14ac:dyDescent="0.25">
      <c r="K2481" s="26" t="s">
        <v>109</v>
      </c>
      <c r="L2481" s="27" t="s">
        <v>119</v>
      </c>
      <c r="M2481" s="10">
        <v>33.06878306878307</v>
      </c>
    </row>
    <row r="2482" spans="11:13" x14ac:dyDescent="0.25">
      <c r="K2482" s="26" t="s">
        <v>109</v>
      </c>
      <c r="L2482" s="27" t="s">
        <v>115</v>
      </c>
      <c r="M2482" s="10">
        <v>60.773032979499227</v>
      </c>
    </row>
    <row r="2483" spans="11:13" x14ac:dyDescent="0.25">
      <c r="K2483" s="26" t="s">
        <v>109</v>
      </c>
      <c r="L2483" s="27" t="s">
        <v>116</v>
      </c>
      <c r="M2483" s="10">
        <v>77.088124574409321</v>
      </c>
    </row>
    <row r="2484" spans="11:13" x14ac:dyDescent="0.25">
      <c r="K2484" s="26" t="s">
        <v>109</v>
      </c>
      <c r="L2484" s="27" t="s">
        <v>117</v>
      </c>
      <c r="M2484" s="10">
        <v>154.10713465337437</v>
      </c>
    </row>
    <row r="2485" spans="11:13" x14ac:dyDescent="0.25">
      <c r="K2485" s="26" t="s">
        <v>109</v>
      </c>
      <c r="L2485" s="27" t="s">
        <v>118</v>
      </c>
      <c r="M2485" s="10">
        <v>86.177180282661155</v>
      </c>
    </row>
    <row r="2486" spans="11:13" x14ac:dyDescent="0.25">
      <c r="K2486" s="26" t="s">
        <v>109</v>
      </c>
      <c r="L2486" s="27" t="s">
        <v>119</v>
      </c>
      <c r="M2486" s="10">
        <v>22.652345406190175</v>
      </c>
    </row>
    <row r="2487" spans="11:13" x14ac:dyDescent="0.25">
      <c r="K2487" s="26" t="s">
        <v>109</v>
      </c>
      <c r="L2487" s="27" t="s">
        <v>115</v>
      </c>
      <c r="M2487" s="10">
        <v>62.047569803516026</v>
      </c>
    </row>
    <row r="2488" spans="11:13" x14ac:dyDescent="0.25">
      <c r="K2488" s="26" t="s">
        <v>109</v>
      </c>
      <c r="L2488" s="27" t="s">
        <v>116</v>
      </c>
      <c r="M2488" s="10">
        <v>97.934215167548501</v>
      </c>
    </row>
    <row r="2489" spans="11:13" x14ac:dyDescent="0.25">
      <c r="K2489" s="26" t="s">
        <v>109</v>
      </c>
      <c r="L2489" s="27" t="s">
        <v>117</v>
      </c>
      <c r="M2489" s="10">
        <v>29.550447753523571</v>
      </c>
    </row>
    <row r="2490" spans="11:13" x14ac:dyDescent="0.25">
      <c r="K2490" s="26" t="s">
        <v>110</v>
      </c>
      <c r="L2490" s="27" t="s">
        <v>118</v>
      </c>
      <c r="M2490" s="10">
        <v>110.22927689594357</v>
      </c>
    </row>
    <row r="2491" spans="11:13" x14ac:dyDescent="0.25">
      <c r="K2491" s="26" t="s">
        <v>109</v>
      </c>
      <c r="L2491" s="27" t="s">
        <v>119</v>
      </c>
      <c r="M2491" s="10">
        <v>110.22927689594357</v>
      </c>
    </row>
    <row r="2492" spans="11:13" x14ac:dyDescent="0.25">
      <c r="K2492" s="26" t="s">
        <v>109</v>
      </c>
      <c r="L2492" s="27" t="s">
        <v>115</v>
      </c>
      <c r="M2492" s="10">
        <v>0</v>
      </c>
    </row>
    <row r="2493" spans="11:13" x14ac:dyDescent="0.25">
      <c r="K2493" s="26" t="s">
        <v>110</v>
      </c>
      <c r="L2493" s="27" t="s">
        <v>116</v>
      </c>
      <c r="M2493" s="10">
        <v>449.68072668405438</v>
      </c>
    </row>
    <row r="2494" spans="11:13" x14ac:dyDescent="0.25">
      <c r="K2494" s="26" t="s">
        <v>110</v>
      </c>
      <c r="L2494" s="27" t="s">
        <v>117</v>
      </c>
      <c r="M2494" s="10">
        <v>99.206349206349202</v>
      </c>
    </row>
    <row r="2495" spans="11:13" x14ac:dyDescent="0.25">
      <c r="K2495" s="26" t="s">
        <v>110</v>
      </c>
      <c r="L2495" s="27" t="s">
        <v>118</v>
      </c>
      <c r="M2495" s="10">
        <v>146.90145502645501</v>
      </c>
    </row>
    <row r="2496" spans="11:13" x14ac:dyDescent="0.25">
      <c r="K2496" s="26" t="s">
        <v>110</v>
      </c>
      <c r="L2496" s="27" t="s">
        <v>119</v>
      </c>
      <c r="M2496" s="10">
        <v>2.204585537918871</v>
      </c>
    </row>
    <row r="2497" spans="11:13" x14ac:dyDescent="0.25">
      <c r="K2497" s="26" t="s">
        <v>109</v>
      </c>
      <c r="L2497" s="27" t="s">
        <v>115</v>
      </c>
      <c r="M2497" s="10">
        <v>6.6137566137566139</v>
      </c>
    </row>
    <row r="2498" spans="11:13" x14ac:dyDescent="0.25">
      <c r="K2498" s="26" t="s">
        <v>109</v>
      </c>
      <c r="L2498" s="27" t="s">
        <v>116</v>
      </c>
      <c r="M2498" s="10">
        <v>48.259220958290243</v>
      </c>
    </row>
    <row r="2499" spans="11:13" x14ac:dyDescent="0.25">
      <c r="K2499" s="26" t="s">
        <v>109</v>
      </c>
      <c r="L2499" s="27" t="s">
        <v>117</v>
      </c>
      <c r="M2499" s="10">
        <v>15.733540158566012</v>
      </c>
    </row>
    <row r="2500" spans="11:13" x14ac:dyDescent="0.25">
      <c r="K2500" s="26" t="s">
        <v>109</v>
      </c>
      <c r="L2500" s="27" t="s">
        <v>118</v>
      </c>
      <c r="M2500" s="10">
        <v>616.14294516327789</v>
      </c>
    </row>
    <row r="2501" spans="11:13" x14ac:dyDescent="0.25">
      <c r="K2501" s="26" t="s">
        <v>109</v>
      </c>
      <c r="L2501" s="27" t="s">
        <v>119</v>
      </c>
      <c r="M2501" s="10">
        <v>32.675999999999995</v>
      </c>
    </row>
    <row r="2502" spans="11:13" x14ac:dyDescent="0.25">
      <c r="K2502" s="26" t="s">
        <v>109</v>
      </c>
      <c r="L2502" s="27" t="s">
        <v>115</v>
      </c>
      <c r="M2502" s="10">
        <v>32.589212970506765</v>
      </c>
    </row>
    <row r="2503" spans="11:13" x14ac:dyDescent="0.25">
      <c r="K2503" s="26" t="s">
        <v>109</v>
      </c>
      <c r="L2503" s="27" t="s">
        <v>116</v>
      </c>
      <c r="M2503" s="10">
        <v>32.589212970506765</v>
      </c>
    </row>
    <row r="2504" spans="11:13" x14ac:dyDescent="0.25">
      <c r="K2504" s="26" t="s">
        <v>109</v>
      </c>
      <c r="L2504" s="27" t="s">
        <v>117</v>
      </c>
      <c r="M2504" s="10">
        <v>92.421441774491683</v>
      </c>
    </row>
    <row r="2505" spans="11:13" x14ac:dyDescent="0.25">
      <c r="K2505" s="26" t="s">
        <v>109</v>
      </c>
      <c r="L2505" s="27" t="s">
        <v>118</v>
      </c>
      <c r="M2505" s="10">
        <v>138.63216266173754</v>
      </c>
    </row>
    <row r="2506" spans="11:13" x14ac:dyDescent="0.25">
      <c r="K2506" s="26" t="s">
        <v>109</v>
      </c>
      <c r="L2506" s="27" t="s">
        <v>119</v>
      </c>
      <c r="M2506" s="10">
        <v>450</v>
      </c>
    </row>
    <row r="2507" spans="11:13" x14ac:dyDescent="0.25">
      <c r="K2507" s="26" t="s">
        <v>109</v>
      </c>
      <c r="L2507" s="27" t="s">
        <v>115</v>
      </c>
      <c r="M2507" s="10">
        <v>158.84782378481412</v>
      </c>
    </row>
    <row r="2508" spans="11:13" x14ac:dyDescent="0.25">
      <c r="K2508" s="26" t="s">
        <v>109</v>
      </c>
      <c r="L2508" s="27" t="s">
        <v>116</v>
      </c>
      <c r="M2508" s="10">
        <v>423.59419675950437</v>
      </c>
    </row>
    <row r="2509" spans="11:13" x14ac:dyDescent="0.25">
      <c r="K2509" s="26" t="s">
        <v>109</v>
      </c>
      <c r="L2509" s="27" t="s">
        <v>117</v>
      </c>
      <c r="M2509" s="10">
        <v>26.474637297469023</v>
      </c>
    </row>
    <row r="2510" spans="11:13" x14ac:dyDescent="0.25">
      <c r="K2510" s="26" t="s">
        <v>109</v>
      </c>
      <c r="L2510" s="27" t="s">
        <v>118</v>
      </c>
      <c r="M2510" s="10">
        <v>36.0810405643739</v>
      </c>
    </row>
    <row r="2511" spans="11:13" x14ac:dyDescent="0.25">
      <c r="K2511" s="26" t="s">
        <v>109</v>
      </c>
      <c r="L2511" s="27" t="s">
        <v>119</v>
      </c>
      <c r="M2511" s="10">
        <v>32.12005190600388</v>
      </c>
    </row>
    <row r="2512" spans="11:13" x14ac:dyDescent="0.25">
      <c r="K2512" s="26" t="s">
        <v>109</v>
      </c>
      <c r="L2512" s="27" t="s">
        <v>115</v>
      </c>
      <c r="M2512" s="10">
        <v>88.183421516754848</v>
      </c>
    </row>
    <row r="2513" spans="11:13" x14ac:dyDescent="0.25">
      <c r="K2513" s="26" t="s">
        <v>110</v>
      </c>
      <c r="L2513" s="27" t="s">
        <v>116</v>
      </c>
      <c r="M2513" s="10">
        <v>231.05360443622922</v>
      </c>
    </row>
    <row r="2514" spans="11:13" x14ac:dyDescent="0.25">
      <c r="K2514" s="26" t="s">
        <v>109</v>
      </c>
      <c r="L2514" s="27" t="s">
        <v>117</v>
      </c>
      <c r="M2514" s="10">
        <v>55.114638447971785</v>
      </c>
    </row>
    <row r="2515" spans="11:13" x14ac:dyDescent="0.25">
      <c r="K2515" s="26" t="s">
        <v>109</v>
      </c>
      <c r="L2515" s="27" t="s">
        <v>118</v>
      </c>
      <c r="M2515" s="10">
        <v>143.29805996472663</v>
      </c>
    </row>
    <row r="2516" spans="11:13" x14ac:dyDescent="0.25">
      <c r="K2516" s="26" t="s">
        <v>109</v>
      </c>
      <c r="L2516" s="27" t="s">
        <v>119</v>
      </c>
      <c r="M2516" s="10">
        <v>52.949274594938046</v>
      </c>
    </row>
    <row r="2517" spans="11:13" x14ac:dyDescent="0.25">
      <c r="K2517" s="26" t="s">
        <v>109</v>
      </c>
      <c r="L2517" s="27" t="s">
        <v>115</v>
      </c>
      <c r="M2517" s="10">
        <v>120</v>
      </c>
    </row>
    <row r="2518" spans="11:13" x14ac:dyDescent="0.25">
      <c r="K2518" s="26" t="s">
        <v>109</v>
      </c>
      <c r="L2518" s="27" t="s">
        <v>116</v>
      </c>
      <c r="M2518" s="10">
        <v>9.1585994669695125</v>
      </c>
    </row>
    <row r="2519" spans="11:13" x14ac:dyDescent="0.25">
      <c r="K2519" s="26" t="s">
        <v>109</v>
      </c>
      <c r="L2519" s="27" t="s">
        <v>117</v>
      </c>
      <c r="M2519" s="10">
        <v>3.8508934072704868</v>
      </c>
    </row>
    <row r="2520" spans="11:13" x14ac:dyDescent="0.25">
      <c r="K2520" s="26" t="s">
        <v>109</v>
      </c>
      <c r="L2520" s="27" t="s">
        <v>118</v>
      </c>
      <c r="M2520" s="10">
        <v>4.5792997334847563</v>
      </c>
    </row>
    <row r="2521" spans="11:13" x14ac:dyDescent="0.25">
      <c r="K2521" s="26" t="s">
        <v>109</v>
      </c>
      <c r="L2521" s="27" t="s">
        <v>119</v>
      </c>
      <c r="M2521" s="10">
        <v>15.403573629081947</v>
      </c>
    </row>
    <row r="2522" spans="11:13" x14ac:dyDescent="0.25">
      <c r="K2522" s="26" t="s">
        <v>109</v>
      </c>
      <c r="L2522" s="27" t="s">
        <v>115</v>
      </c>
      <c r="M2522" s="10">
        <v>105.89854918987609</v>
      </c>
    </row>
    <row r="2523" spans="11:13" x14ac:dyDescent="0.25">
      <c r="K2523" s="26" t="s">
        <v>109</v>
      </c>
      <c r="L2523" s="27" t="s">
        <v>116</v>
      </c>
      <c r="M2523" s="10">
        <v>308.07147258163894</v>
      </c>
    </row>
    <row r="2524" spans="11:13" x14ac:dyDescent="0.25">
      <c r="K2524" s="26" t="s">
        <v>109</v>
      </c>
      <c r="L2524" s="27" t="s">
        <v>117</v>
      </c>
      <c r="M2524" s="10">
        <v>19.100431300061611</v>
      </c>
    </row>
    <row r="2525" spans="11:13" x14ac:dyDescent="0.25">
      <c r="K2525" s="26" t="s">
        <v>110</v>
      </c>
      <c r="L2525" s="27" t="s">
        <v>118</v>
      </c>
      <c r="M2525" s="10">
        <v>61.614294516327789</v>
      </c>
    </row>
    <row r="2526" spans="11:13" x14ac:dyDescent="0.25">
      <c r="K2526" s="26" t="s">
        <v>111</v>
      </c>
      <c r="L2526" s="27" t="s">
        <v>119</v>
      </c>
      <c r="M2526" s="10">
        <v>85.213251117092341</v>
      </c>
    </row>
    <row r="2527" spans="11:13" x14ac:dyDescent="0.25">
      <c r="K2527" s="26" t="s">
        <v>111</v>
      </c>
      <c r="L2527" s="27" t="s">
        <v>115</v>
      </c>
      <c r="M2527" s="10">
        <v>4.621072088724584</v>
      </c>
    </row>
    <row r="2528" spans="11:13" x14ac:dyDescent="0.25">
      <c r="K2528" s="26" t="s">
        <v>112</v>
      </c>
      <c r="L2528" s="27" t="s">
        <v>116</v>
      </c>
      <c r="M2528" s="10">
        <v>325.89212970506765</v>
      </c>
    </row>
    <row r="2529" spans="11:13" x14ac:dyDescent="0.25">
      <c r="K2529" s="26" t="s">
        <v>110</v>
      </c>
      <c r="L2529" s="27" t="s">
        <v>117</v>
      </c>
      <c r="M2529" s="10">
        <v>45.941103505306202</v>
      </c>
    </row>
    <row r="2530" spans="11:13" x14ac:dyDescent="0.25">
      <c r="K2530" s="26" t="s">
        <v>110</v>
      </c>
      <c r="L2530" s="27" t="s">
        <v>118</v>
      </c>
      <c r="M2530" s="10">
        <v>165.77065035214815</v>
      </c>
    </row>
    <row r="2531" spans="11:13" x14ac:dyDescent="0.25">
      <c r="K2531" s="26" t="s">
        <v>109</v>
      </c>
      <c r="L2531" s="27" t="s">
        <v>119</v>
      </c>
      <c r="M2531" s="10">
        <v>91.585994669695125</v>
      </c>
    </row>
    <row r="2532" spans="11:13" x14ac:dyDescent="0.25">
      <c r="K2532" s="26" t="s">
        <v>110</v>
      </c>
      <c r="L2532" s="27" t="s">
        <v>115</v>
      </c>
      <c r="M2532" s="10">
        <v>109.90319360363415</v>
      </c>
    </row>
    <row r="2533" spans="11:13" x14ac:dyDescent="0.25">
      <c r="K2533" s="26" t="s">
        <v>110</v>
      </c>
      <c r="L2533" s="27" t="s">
        <v>116</v>
      </c>
      <c r="M2533" s="10">
        <v>26.285180470202501</v>
      </c>
    </row>
    <row r="2534" spans="11:13" x14ac:dyDescent="0.25">
      <c r="K2534" s="26" t="s">
        <v>109</v>
      </c>
      <c r="L2534" s="27" t="s">
        <v>117</v>
      </c>
      <c r="M2534" s="10">
        <v>45.941103505306202</v>
      </c>
    </row>
    <row r="2535" spans="11:13" x14ac:dyDescent="0.25">
      <c r="K2535" s="26" t="s">
        <v>109</v>
      </c>
      <c r="L2535" s="27" t="s">
        <v>118</v>
      </c>
      <c r="M2535" s="10">
        <v>50</v>
      </c>
    </row>
    <row r="2536" spans="11:13" x14ac:dyDescent="0.25">
      <c r="K2536" s="26" t="s">
        <v>109</v>
      </c>
      <c r="L2536" s="27" t="s">
        <v>119</v>
      </c>
      <c r="M2536" s="10">
        <v>64.887214590894473</v>
      </c>
    </row>
    <row r="2537" spans="11:13" x14ac:dyDescent="0.25">
      <c r="K2537" s="26" t="s">
        <v>109</v>
      </c>
      <c r="L2537" s="27" t="s">
        <v>115</v>
      </c>
      <c r="M2537" s="10">
        <v>110.22927689594357</v>
      </c>
    </row>
    <row r="2538" spans="11:13" x14ac:dyDescent="0.25">
      <c r="K2538" s="26" t="s">
        <v>109</v>
      </c>
      <c r="L2538" s="27" t="s">
        <v>116</v>
      </c>
      <c r="M2538" s="10">
        <v>39.484854267983707</v>
      </c>
    </row>
    <row r="2539" spans="11:13" x14ac:dyDescent="0.25">
      <c r="K2539" s="26" t="s">
        <v>109</v>
      </c>
      <c r="L2539" s="27" t="s">
        <v>117</v>
      </c>
      <c r="M2539" s="10">
        <v>6.0773032979499231</v>
      </c>
    </row>
    <row r="2540" spans="11:13" x14ac:dyDescent="0.25">
      <c r="K2540" s="26" t="s">
        <v>109</v>
      </c>
      <c r="L2540" s="27" t="s">
        <v>118</v>
      </c>
      <c r="M2540" s="10">
        <v>52.949274594938046</v>
      </c>
    </row>
    <row r="2541" spans="11:13" x14ac:dyDescent="0.25">
      <c r="K2541" s="26" t="s">
        <v>109</v>
      </c>
      <c r="L2541" s="27" t="s">
        <v>119</v>
      </c>
      <c r="M2541" s="10">
        <v>154.03573629081947</v>
      </c>
    </row>
    <row r="2542" spans="11:13" x14ac:dyDescent="0.25">
      <c r="K2542" s="26" t="s">
        <v>109</v>
      </c>
      <c r="L2542" s="27" t="s">
        <v>115</v>
      </c>
      <c r="M2542" s="10">
        <v>123.22858903265558</v>
      </c>
    </row>
    <row r="2543" spans="11:13" x14ac:dyDescent="0.25">
      <c r="K2543" s="26" t="s">
        <v>109</v>
      </c>
      <c r="L2543" s="27" t="s">
        <v>116</v>
      </c>
      <c r="M2543" s="10">
        <v>529.49274594938049</v>
      </c>
    </row>
    <row r="2544" spans="11:13" x14ac:dyDescent="0.25">
      <c r="K2544" s="26" t="s">
        <v>109</v>
      </c>
      <c r="L2544" s="27" t="s">
        <v>117</v>
      </c>
      <c r="M2544" s="10">
        <v>529.49274594938049</v>
      </c>
    </row>
    <row r="2545" spans="11:13" x14ac:dyDescent="0.25">
      <c r="K2545" s="26" t="s">
        <v>110</v>
      </c>
      <c r="L2545" s="27" t="s">
        <v>118</v>
      </c>
      <c r="M2545" s="10">
        <v>200</v>
      </c>
    </row>
    <row r="2546" spans="11:13" x14ac:dyDescent="0.25">
      <c r="K2546" s="26" t="s">
        <v>109</v>
      </c>
      <c r="L2546" s="27" t="s">
        <v>119</v>
      </c>
      <c r="M2546" s="10">
        <v>51.706308169596689</v>
      </c>
    </row>
    <row r="2547" spans="11:13" x14ac:dyDescent="0.25">
      <c r="K2547" s="26" t="s">
        <v>110</v>
      </c>
      <c r="L2547" s="27" t="s">
        <v>115</v>
      </c>
      <c r="M2547" s="10">
        <v>15.403573629081947</v>
      </c>
    </row>
    <row r="2548" spans="11:13" x14ac:dyDescent="0.25">
      <c r="K2548" s="26" t="s">
        <v>110</v>
      </c>
      <c r="L2548" s="27" t="s">
        <v>116</v>
      </c>
      <c r="M2548" s="10">
        <v>274.75798400908536</v>
      </c>
    </row>
    <row r="2549" spans="11:13" x14ac:dyDescent="0.25">
      <c r="K2549" s="26" t="s">
        <v>111</v>
      </c>
      <c r="L2549" s="27" t="s">
        <v>117</v>
      </c>
      <c r="M2549" s="10">
        <v>86.61745445886416</v>
      </c>
    </row>
    <row r="2550" spans="11:13" x14ac:dyDescent="0.25">
      <c r="K2550" s="26" t="s">
        <v>111</v>
      </c>
      <c r="L2550" s="27" t="s">
        <v>118</v>
      </c>
      <c r="M2550" s="10">
        <v>80.842957494939881</v>
      </c>
    </row>
    <row r="2551" spans="11:13" x14ac:dyDescent="0.25">
      <c r="K2551" s="26" t="s">
        <v>111</v>
      </c>
      <c r="L2551" s="27" t="s">
        <v>119</v>
      </c>
      <c r="M2551" s="10">
        <v>45.792997334847563</v>
      </c>
    </row>
    <row r="2552" spans="11:13" x14ac:dyDescent="0.25">
      <c r="K2552" s="26" t="s">
        <v>109</v>
      </c>
      <c r="L2552" s="27" t="s">
        <v>115</v>
      </c>
      <c r="M2552" s="10">
        <v>440.91710758377428</v>
      </c>
    </row>
    <row r="2553" spans="11:13" x14ac:dyDescent="0.25">
      <c r="K2553" s="26" t="s">
        <v>109</v>
      </c>
      <c r="L2553" s="27" t="s">
        <v>116</v>
      </c>
      <c r="M2553" s="10">
        <v>231.05360443622922</v>
      </c>
    </row>
    <row r="2554" spans="11:13" x14ac:dyDescent="0.25">
      <c r="K2554" s="26" t="s">
        <v>109</v>
      </c>
      <c r="L2554" s="27" t="s">
        <v>117</v>
      </c>
      <c r="M2554" s="10">
        <v>77.017868145409736</v>
      </c>
    </row>
    <row r="2555" spans="11:13" x14ac:dyDescent="0.25">
      <c r="K2555" s="26" t="s">
        <v>109</v>
      </c>
      <c r="L2555" s="27" t="s">
        <v>118</v>
      </c>
      <c r="M2555" s="10">
        <v>176.3668430335097</v>
      </c>
    </row>
    <row r="2556" spans="11:13" x14ac:dyDescent="0.25">
      <c r="K2556" s="26" t="s">
        <v>109</v>
      </c>
      <c r="L2556" s="27" t="s">
        <v>119</v>
      </c>
      <c r="M2556" s="10">
        <v>11.5</v>
      </c>
    </row>
    <row r="2557" spans="11:13" x14ac:dyDescent="0.25">
      <c r="K2557" s="26" t="s">
        <v>109</v>
      </c>
      <c r="L2557" s="27" t="s">
        <v>115</v>
      </c>
      <c r="M2557" s="10">
        <v>66.137566137566139</v>
      </c>
    </row>
    <row r="2558" spans="11:13" x14ac:dyDescent="0.25">
      <c r="K2558" s="26" t="s">
        <v>109</v>
      </c>
      <c r="L2558" s="27" t="s">
        <v>116</v>
      </c>
      <c r="M2558" s="10">
        <v>154.03573629081947</v>
      </c>
    </row>
    <row r="2559" spans="11:13" x14ac:dyDescent="0.25">
      <c r="K2559" s="26" t="s">
        <v>109</v>
      </c>
      <c r="L2559" s="27" t="s">
        <v>117</v>
      </c>
      <c r="M2559" s="10">
        <v>129.39001848428836</v>
      </c>
    </row>
    <row r="2560" spans="11:13" x14ac:dyDescent="0.25">
      <c r="K2560" s="26" t="s">
        <v>109</v>
      </c>
      <c r="L2560" s="27" t="s">
        <v>118</v>
      </c>
      <c r="M2560" s="10">
        <v>0</v>
      </c>
    </row>
    <row r="2561" spans="11:13" x14ac:dyDescent="0.25">
      <c r="K2561" s="26" t="s">
        <v>110</v>
      </c>
      <c r="L2561" s="27" t="s">
        <v>119</v>
      </c>
      <c r="M2561" s="10">
        <v>440.91710758377428</v>
      </c>
    </row>
    <row r="2562" spans="11:13" x14ac:dyDescent="0.25">
      <c r="K2562" s="26" t="s">
        <v>112</v>
      </c>
      <c r="L2562" s="27" t="s">
        <v>115</v>
      </c>
      <c r="M2562" s="10">
        <v>169.43930991990143</v>
      </c>
    </row>
    <row r="2563" spans="11:13" x14ac:dyDescent="0.25">
      <c r="K2563" s="26" t="s">
        <v>110</v>
      </c>
      <c r="L2563" s="27" t="s">
        <v>116</v>
      </c>
      <c r="M2563" s="10">
        <v>20.466025745478248</v>
      </c>
    </row>
    <row r="2564" spans="11:13" x14ac:dyDescent="0.25">
      <c r="K2564" s="26" t="s">
        <v>110</v>
      </c>
      <c r="L2564" s="27" t="s">
        <v>117</v>
      </c>
      <c r="M2564" s="10">
        <v>110.22927689594357</v>
      </c>
    </row>
    <row r="2565" spans="11:13" x14ac:dyDescent="0.25">
      <c r="K2565" s="26" t="s">
        <v>110</v>
      </c>
      <c r="L2565" s="27" t="s">
        <v>118</v>
      </c>
      <c r="M2565" s="10">
        <v>220.45855379188714</v>
      </c>
    </row>
    <row r="2566" spans="11:13" x14ac:dyDescent="0.25">
      <c r="K2566" s="26" t="s">
        <v>110</v>
      </c>
      <c r="L2566" s="27" t="s">
        <v>119</v>
      </c>
      <c r="M2566" s="10">
        <v>88.183421516754848</v>
      </c>
    </row>
    <row r="2567" spans="11:13" x14ac:dyDescent="0.25">
      <c r="K2567" s="26" t="s">
        <v>110</v>
      </c>
      <c r="L2567" s="27" t="s">
        <v>115</v>
      </c>
      <c r="M2567" s="10">
        <v>44.091710758377424</v>
      </c>
    </row>
    <row r="2568" spans="11:13" x14ac:dyDescent="0.25">
      <c r="K2568" s="26" t="s">
        <v>110</v>
      </c>
      <c r="L2568" s="27" t="s">
        <v>116</v>
      </c>
      <c r="M2568" s="10">
        <v>2.1633766650617878</v>
      </c>
    </row>
    <row r="2569" spans="11:13" x14ac:dyDescent="0.25">
      <c r="K2569" s="26" t="s">
        <v>109</v>
      </c>
      <c r="L2569" s="27" t="s">
        <v>117</v>
      </c>
      <c r="M2569" s="10">
        <v>18.634791197684567</v>
      </c>
    </row>
    <row r="2570" spans="11:13" x14ac:dyDescent="0.25">
      <c r="K2570" s="26" t="s">
        <v>110</v>
      </c>
      <c r="L2570" s="27" t="s">
        <v>118</v>
      </c>
      <c r="M2570" s="10">
        <v>48.259220958290243</v>
      </c>
    </row>
    <row r="2571" spans="11:13" x14ac:dyDescent="0.25">
      <c r="K2571" s="26" t="s">
        <v>109</v>
      </c>
      <c r="L2571" s="27" t="s">
        <v>119</v>
      </c>
      <c r="M2571" s="10">
        <v>349.46521232659114</v>
      </c>
    </row>
    <row r="2572" spans="11:13" x14ac:dyDescent="0.25">
      <c r="K2572" s="26" t="s">
        <v>109</v>
      </c>
      <c r="L2572" s="27" t="s">
        <v>115</v>
      </c>
      <c r="M2572" s="10">
        <v>63.539129513925651</v>
      </c>
    </row>
    <row r="2573" spans="11:13" x14ac:dyDescent="0.25">
      <c r="K2573" s="26" t="s">
        <v>109</v>
      </c>
      <c r="L2573" s="27" t="s">
        <v>116</v>
      </c>
      <c r="M2573" s="10">
        <v>99.206349206349202</v>
      </c>
    </row>
    <row r="2574" spans="11:13" x14ac:dyDescent="0.25">
      <c r="K2574" s="26" t="s">
        <v>109</v>
      </c>
      <c r="L2574" s="27" t="s">
        <v>117</v>
      </c>
      <c r="M2574" s="10">
        <v>15.4320987654321</v>
      </c>
    </row>
    <row r="2575" spans="11:13" x14ac:dyDescent="0.25">
      <c r="K2575" s="26" t="s">
        <v>109</v>
      </c>
      <c r="L2575" s="27" t="s">
        <v>118</v>
      </c>
      <c r="M2575" s="10">
        <v>74.128984432913256</v>
      </c>
    </row>
    <row r="2576" spans="11:13" x14ac:dyDescent="0.25">
      <c r="K2576" s="26" t="s">
        <v>109</v>
      </c>
      <c r="L2576" s="27" t="s">
        <v>119</v>
      </c>
      <c r="M2576" s="10">
        <v>105.89854918987609</v>
      </c>
    </row>
    <row r="2577" spans="11:13" x14ac:dyDescent="0.25">
      <c r="K2577" s="26" t="s">
        <v>109</v>
      </c>
      <c r="L2577" s="27" t="s">
        <v>115</v>
      </c>
      <c r="M2577" s="10">
        <v>32.12005190600388</v>
      </c>
    </row>
    <row r="2578" spans="11:13" x14ac:dyDescent="0.25">
      <c r="K2578" s="26" t="s">
        <v>113</v>
      </c>
      <c r="L2578" s="27" t="s">
        <v>116</v>
      </c>
      <c r="M2578" s="10">
        <v>55.114638447971785</v>
      </c>
    </row>
    <row r="2579" spans="11:13" x14ac:dyDescent="0.25">
      <c r="K2579" s="26" t="s">
        <v>110</v>
      </c>
      <c r="L2579" s="27" t="s">
        <v>117</v>
      </c>
      <c r="M2579" s="10">
        <v>44.091710758377424</v>
      </c>
    </row>
    <row r="2580" spans="11:13" x14ac:dyDescent="0.25">
      <c r="K2580" s="26" t="s">
        <v>110</v>
      </c>
      <c r="L2580" s="27" t="s">
        <v>118</v>
      </c>
      <c r="M2580" s="10">
        <v>55.114638447971785</v>
      </c>
    </row>
    <row r="2581" spans="11:13" x14ac:dyDescent="0.25">
      <c r="K2581" s="26" t="s">
        <v>110</v>
      </c>
      <c r="L2581" s="27" t="s">
        <v>119</v>
      </c>
      <c r="M2581" s="10">
        <v>55.114638447971785</v>
      </c>
    </row>
    <row r="2582" spans="11:13" x14ac:dyDescent="0.25">
      <c r="K2582" s="26" t="s">
        <v>109</v>
      </c>
      <c r="L2582" s="27" t="s">
        <v>115</v>
      </c>
      <c r="M2582" s="10">
        <v>55.114638447971785</v>
      </c>
    </row>
    <row r="2583" spans="11:13" x14ac:dyDescent="0.25">
      <c r="K2583" s="26" t="s">
        <v>109</v>
      </c>
      <c r="L2583" s="27" t="s">
        <v>116</v>
      </c>
      <c r="M2583" s="10">
        <v>55.114638447971785</v>
      </c>
    </row>
    <row r="2584" spans="11:13" x14ac:dyDescent="0.25">
      <c r="K2584" s="26" t="s">
        <v>110</v>
      </c>
      <c r="L2584" s="27" t="s">
        <v>117</v>
      </c>
      <c r="M2584" s="10">
        <v>45.792997334847563</v>
      </c>
    </row>
    <row r="2585" spans="11:13" x14ac:dyDescent="0.25">
      <c r="K2585" s="26" t="s">
        <v>110</v>
      </c>
      <c r="L2585" s="27" t="s">
        <v>118</v>
      </c>
      <c r="M2585" s="10">
        <v>277.26432532347508</v>
      </c>
    </row>
    <row r="2586" spans="11:13" x14ac:dyDescent="0.25">
      <c r="K2586" s="26" t="s">
        <v>110</v>
      </c>
      <c r="L2586" s="27" t="s">
        <v>119</v>
      </c>
      <c r="M2586" s="10">
        <v>77.017868145409736</v>
      </c>
    </row>
    <row r="2587" spans="11:13" x14ac:dyDescent="0.25">
      <c r="K2587" s="26" t="s">
        <v>110</v>
      </c>
      <c r="L2587" s="27" t="s">
        <v>115</v>
      </c>
      <c r="M2587" s="10">
        <v>12.322858903265558</v>
      </c>
    </row>
    <row r="2588" spans="11:13" x14ac:dyDescent="0.25">
      <c r="K2588" s="26" t="s">
        <v>110</v>
      </c>
      <c r="L2588" s="27" t="s">
        <v>116</v>
      </c>
      <c r="M2588" s="10">
        <v>3.7477954144620811</v>
      </c>
    </row>
    <row r="2589" spans="11:13" x14ac:dyDescent="0.25">
      <c r="K2589" s="26" t="s">
        <v>110</v>
      </c>
      <c r="L2589" s="27" t="s">
        <v>117</v>
      </c>
      <c r="M2589" s="10">
        <v>77.017868145409736</v>
      </c>
    </row>
    <row r="2590" spans="11:13" x14ac:dyDescent="0.25">
      <c r="K2590" s="26" t="s">
        <v>110</v>
      </c>
      <c r="L2590" s="27" t="s">
        <v>118</v>
      </c>
      <c r="M2590" s="10">
        <v>293.80257936507934</v>
      </c>
    </row>
    <row r="2591" spans="11:13" x14ac:dyDescent="0.25">
      <c r="K2591" s="26" t="s">
        <v>110</v>
      </c>
      <c r="L2591" s="27" t="s">
        <v>119</v>
      </c>
      <c r="M2591" s="10">
        <v>154.10713465337437</v>
      </c>
    </row>
    <row r="2592" spans="11:13" x14ac:dyDescent="0.25">
      <c r="K2592" s="26" t="s">
        <v>110</v>
      </c>
      <c r="L2592" s="27" t="s">
        <v>115</v>
      </c>
      <c r="M2592" s="10">
        <v>97.934303350970012</v>
      </c>
    </row>
    <row r="2593" spans="11:13" x14ac:dyDescent="0.25">
      <c r="K2593" s="26" t="s">
        <v>110</v>
      </c>
      <c r="L2593" s="27" t="s">
        <v>116</v>
      </c>
      <c r="M2593" s="10">
        <v>33.06878306878307</v>
      </c>
    </row>
    <row r="2594" spans="11:13" x14ac:dyDescent="0.25">
      <c r="K2594" s="26" t="s">
        <v>110</v>
      </c>
      <c r="L2594" s="27" t="s">
        <v>117</v>
      </c>
      <c r="M2594" s="10">
        <v>15.403573629081947</v>
      </c>
    </row>
    <row r="2595" spans="11:13" x14ac:dyDescent="0.25">
      <c r="K2595" s="26" t="s">
        <v>110</v>
      </c>
      <c r="L2595" s="27" t="s">
        <v>118</v>
      </c>
      <c r="M2595" s="10">
        <v>9.1455360220613588</v>
      </c>
    </row>
    <row r="2596" spans="11:13" x14ac:dyDescent="0.25">
      <c r="K2596" s="26" t="s">
        <v>110</v>
      </c>
      <c r="L2596" s="27" t="s">
        <v>119</v>
      </c>
      <c r="M2596" s="10">
        <v>44.091710758377424</v>
      </c>
    </row>
    <row r="2597" spans="11:13" x14ac:dyDescent="0.25">
      <c r="K2597" s="26" t="s">
        <v>110</v>
      </c>
      <c r="L2597" s="27" t="s">
        <v>115</v>
      </c>
      <c r="M2597" s="10">
        <v>88.183421516754848</v>
      </c>
    </row>
    <row r="2598" spans="11:13" x14ac:dyDescent="0.25">
      <c r="K2598" s="26" t="s">
        <v>109</v>
      </c>
      <c r="L2598" s="27" t="s">
        <v>116</v>
      </c>
      <c r="M2598" s="10">
        <v>20.652335063009637</v>
      </c>
    </row>
    <row r="2599" spans="11:13" x14ac:dyDescent="0.25">
      <c r="K2599" s="26" t="s">
        <v>109</v>
      </c>
      <c r="L2599" s="27" t="s">
        <v>117</v>
      </c>
      <c r="M2599" s="10">
        <v>127.0782590278513</v>
      </c>
    </row>
    <row r="2600" spans="11:13" x14ac:dyDescent="0.25">
      <c r="K2600" s="26" t="s">
        <v>110</v>
      </c>
      <c r="L2600" s="27" t="s">
        <v>118</v>
      </c>
      <c r="M2600" s="10">
        <v>211.79709837975219</v>
      </c>
    </row>
    <row r="2601" spans="11:13" x14ac:dyDescent="0.25">
      <c r="K2601" s="26" t="s">
        <v>110</v>
      </c>
      <c r="L2601" s="27" t="s">
        <v>119</v>
      </c>
      <c r="M2601" s="10">
        <v>125.66137566137566</v>
      </c>
    </row>
    <row r="2602" spans="11:13" x14ac:dyDescent="0.25">
      <c r="K2602" s="26" t="s">
        <v>110</v>
      </c>
      <c r="L2602" s="27" t="s">
        <v>115</v>
      </c>
      <c r="M2602" s="10">
        <v>110.22927689594357</v>
      </c>
    </row>
    <row r="2603" spans="11:13" x14ac:dyDescent="0.25">
      <c r="K2603" s="26" t="s">
        <v>110</v>
      </c>
      <c r="L2603" s="27" t="s">
        <v>116</v>
      </c>
      <c r="M2603" s="10">
        <v>128.48020762401552</v>
      </c>
    </row>
    <row r="2604" spans="11:13" x14ac:dyDescent="0.25">
      <c r="K2604" s="26" t="s">
        <v>109</v>
      </c>
      <c r="L2604" s="27" t="s">
        <v>117</v>
      </c>
      <c r="M2604" s="10">
        <v>264.74637297469025</v>
      </c>
    </row>
    <row r="2605" spans="11:13" x14ac:dyDescent="0.25">
      <c r="K2605" s="26" t="s">
        <v>110</v>
      </c>
      <c r="L2605" s="27" t="s">
        <v>118</v>
      </c>
      <c r="M2605" s="10">
        <v>12.977442918178895</v>
      </c>
    </row>
    <row r="2606" spans="11:13" x14ac:dyDescent="0.25">
      <c r="K2606" s="26" t="s">
        <v>109</v>
      </c>
      <c r="L2606" s="27" t="s">
        <v>119</v>
      </c>
      <c r="M2606" s="10">
        <v>154.10713465337437</v>
      </c>
    </row>
    <row r="2607" spans="11:13" x14ac:dyDescent="0.25">
      <c r="K2607" s="26" t="s">
        <v>109</v>
      </c>
      <c r="L2607" s="27" t="s">
        <v>115</v>
      </c>
      <c r="M2607" s="10">
        <v>1.75</v>
      </c>
    </row>
    <row r="2608" spans="11:13" x14ac:dyDescent="0.25">
      <c r="K2608" s="26" t="s">
        <v>110</v>
      </c>
      <c r="L2608" s="27" t="s">
        <v>116</v>
      </c>
      <c r="M2608" s="10">
        <v>66.137566137566139</v>
      </c>
    </row>
    <row r="2609" spans="11:13" x14ac:dyDescent="0.25">
      <c r="K2609" s="26" t="s">
        <v>109</v>
      </c>
      <c r="L2609" s="27" t="s">
        <v>117</v>
      </c>
      <c r="M2609" s="10">
        <v>38.54406228720466</v>
      </c>
    </row>
    <row r="2610" spans="11:13" x14ac:dyDescent="0.25">
      <c r="K2610" s="26" t="s">
        <v>109</v>
      </c>
      <c r="L2610" s="27" t="s">
        <v>118</v>
      </c>
      <c r="M2610" s="10">
        <v>24</v>
      </c>
    </row>
    <row r="2611" spans="11:13" x14ac:dyDescent="0.25">
      <c r="K2611" s="26" t="s">
        <v>109</v>
      </c>
      <c r="L2611" s="27" t="s">
        <v>119</v>
      </c>
      <c r="M2611" s="10">
        <v>231.05360443622922</v>
      </c>
    </row>
    <row r="2612" spans="11:13" x14ac:dyDescent="0.25">
      <c r="K2612" s="26" t="s">
        <v>109</v>
      </c>
      <c r="L2612" s="27" t="s">
        <v>115</v>
      </c>
      <c r="M2612" s="10">
        <v>600</v>
      </c>
    </row>
    <row r="2613" spans="11:13" x14ac:dyDescent="0.25">
      <c r="K2613" s="26" t="s">
        <v>110</v>
      </c>
      <c r="L2613" s="27" t="s">
        <v>116</v>
      </c>
      <c r="M2613" s="10">
        <v>275.64662103183719</v>
      </c>
    </row>
    <row r="2614" spans="11:13" x14ac:dyDescent="0.25">
      <c r="K2614" s="26" t="s">
        <v>110</v>
      </c>
      <c r="L2614" s="27" t="s">
        <v>117</v>
      </c>
      <c r="M2614" s="10">
        <v>51.544312169312171</v>
      </c>
    </row>
    <row r="2615" spans="11:13" x14ac:dyDescent="0.25">
      <c r="K2615" s="26" t="s">
        <v>110</v>
      </c>
      <c r="L2615" s="27" t="s">
        <v>118</v>
      </c>
      <c r="M2615" s="10">
        <v>32.589212970506765</v>
      </c>
    </row>
    <row r="2616" spans="11:13" x14ac:dyDescent="0.25">
      <c r="K2616" s="26" t="s">
        <v>110</v>
      </c>
      <c r="L2616" s="27" t="s">
        <v>119</v>
      </c>
      <c r="M2616" s="10">
        <v>132.27513227513228</v>
      </c>
    </row>
    <row r="2617" spans="11:13" x14ac:dyDescent="0.25">
      <c r="K2617" s="26" t="s">
        <v>110</v>
      </c>
      <c r="L2617" s="27" t="s">
        <v>115</v>
      </c>
      <c r="M2617" s="10">
        <v>22.045855379188712</v>
      </c>
    </row>
    <row r="2618" spans="11:13" x14ac:dyDescent="0.25">
      <c r="K2618" s="26" t="s">
        <v>109</v>
      </c>
      <c r="L2618" s="27" t="s">
        <v>116</v>
      </c>
      <c r="M2618" s="10">
        <v>5511.4638447971784</v>
      </c>
    </row>
    <row r="2619" spans="11:13" x14ac:dyDescent="0.25">
      <c r="K2619" s="26" t="s">
        <v>109</v>
      </c>
      <c r="L2619" s="27" t="s">
        <v>117</v>
      </c>
      <c r="M2619" s="10">
        <v>132.27513227513228</v>
      </c>
    </row>
    <row r="2620" spans="11:13" x14ac:dyDescent="0.25">
      <c r="K2620" s="26" t="s">
        <v>112</v>
      </c>
      <c r="L2620" s="27" t="s">
        <v>118</v>
      </c>
      <c r="M2620" s="10">
        <v>220.45855379188714</v>
      </c>
    </row>
    <row r="2621" spans="11:13" x14ac:dyDescent="0.25">
      <c r="K2621" s="26" t="s">
        <v>109</v>
      </c>
      <c r="L2621" s="27" t="s">
        <v>119</v>
      </c>
      <c r="M2621" s="10">
        <v>64.824568511465841</v>
      </c>
    </row>
    <row r="2622" spans="11:13" x14ac:dyDescent="0.25">
      <c r="K2622" s="26" t="s">
        <v>109</v>
      </c>
      <c r="L2622" s="27" t="s">
        <v>115</v>
      </c>
      <c r="M2622" s="10">
        <v>40.212481668567705</v>
      </c>
    </row>
    <row r="2623" spans="11:13" x14ac:dyDescent="0.25">
      <c r="K2623" s="26" t="s">
        <v>110</v>
      </c>
      <c r="L2623" s="27" t="s">
        <v>116</v>
      </c>
      <c r="M2623" s="10">
        <v>802.43941582410525</v>
      </c>
    </row>
    <row r="2624" spans="11:13" x14ac:dyDescent="0.25">
      <c r="K2624" s="26" t="s">
        <v>110</v>
      </c>
      <c r="L2624" s="27" t="s">
        <v>117</v>
      </c>
      <c r="M2624" s="10">
        <v>92.421441774491683</v>
      </c>
    </row>
    <row r="2625" spans="11:13" x14ac:dyDescent="0.25">
      <c r="K2625" s="26" t="s">
        <v>109</v>
      </c>
      <c r="L2625" s="27" t="s">
        <v>118</v>
      </c>
      <c r="M2625" s="10">
        <v>66.137566137566139</v>
      </c>
    </row>
    <row r="2626" spans="11:13" x14ac:dyDescent="0.25">
      <c r="K2626" s="26" t="s">
        <v>109</v>
      </c>
      <c r="L2626" s="27" t="s">
        <v>119</v>
      </c>
      <c r="M2626" s="10">
        <v>770.17868145409739</v>
      </c>
    </row>
    <row r="2627" spans="11:13" x14ac:dyDescent="0.25">
      <c r="K2627" s="26" t="s">
        <v>112</v>
      </c>
      <c r="L2627" s="27" t="s">
        <v>115</v>
      </c>
      <c r="M2627" s="10">
        <v>847.19654959950708</v>
      </c>
    </row>
    <row r="2628" spans="11:13" x14ac:dyDescent="0.25">
      <c r="K2628" s="26" t="s">
        <v>112</v>
      </c>
      <c r="L2628" s="27" t="s">
        <v>116</v>
      </c>
      <c r="M2628" s="10">
        <v>8471.9654959950713</v>
      </c>
    </row>
    <row r="2629" spans="11:13" x14ac:dyDescent="0.25">
      <c r="K2629" s="26" t="s">
        <v>112</v>
      </c>
      <c r="L2629" s="27" t="s">
        <v>117</v>
      </c>
      <c r="M2629" s="10">
        <v>120.64805239572561</v>
      </c>
    </row>
    <row r="2630" spans="11:13" x14ac:dyDescent="0.25">
      <c r="K2630" s="26" t="s">
        <v>110</v>
      </c>
      <c r="L2630" s="27" t="s">
        <v>118</v>
      </c>
      <c r="M2630" s="10">
        <v>50</v>
      </c>
    </row>
    <row r="2631" spans="11:13" x14ac:dyDescent="0.25">
      <c r="K2631" s="26" t="s">
        <v>109</v>
      </c>
      <c r="L2631" s="27" t="s">
        <v>119</v>
      </c>
      <c r="M2631" s="10">
        <v>308.07147258163894</v>
      </c>
    </row>
    <row r="2632" spans="11:13" x14ac:dyDescent="0.25">
      <c r="K2632" s="26" t="s">
        <v>109</v>
      </c>
      <c r="L2632" s="27" t="s">
        <v>115</v>
      </c>
      <c r="M2632" s="10">
        <v>66.137566137566139</v>
      </c>
    </row>
    <row r="2633" spans="11:13" x14ac:dyDescent="0.25">
      <c r="K2633" s="26" t="s">
        <v>109</v>
      </c>
      <c r="L2633" s="27" t="s">
        <v>116</v>
      </c>
      <c r="M2633" s="10">
        <v>5.511463844797178</v>
      </c>
    </row>
    <row r="2634" spans="11:13" x14ac:dyDescent="0.25">
      <c r="K2634" s="26" t="s">
        <v>109</v>
      </c>
      <c r="L2634" s="27" t="s">
        <v>117</v>
      </c>
      <c r="M2634" s="10">
        <v>110.22927689594357</v>
      </c>
    </row>
    <row r="2635" spans="11:13" x14ac:dyDescent="0.25">
      <c r="K2635" s="26" t="s">
        <v>110</v>
      </c>
      <c r="L2635" s="27" t="s">
        <v>118</v>
      </c>
      <c r="M2635" s="10">
        <v>220.45855379188714</v>
      </c>
    </row>
    <row r="2636" spans="11:13" x14ac:dyDescent="0.25">
      <c r="K2636" s="26" t="s">
        <v>109</v>
      </c>
      <c r="L2636" s="27" t="s">
        <v>119</v>
      </c>
      <c r="M2636" s="10">
        <v>15.511892450879007</v>
      </c>
    </row>
    <row r="2637" spans="11:13" x14ac:dyDescent="0.25">
      <c r="K2637" s="26" t="s">
        <v>109</v>
      </c>
      <c r="L2637" s="27" t="s">
        <v>115</v>
      </c>
      <c r="M2637" s="10">
        <v>440.91710758377428</v>
      </c>
    </row>
    <row r="2638" spans="11:13" x14ac:dyDescent="0.25">
      <c r="K2638" s="26" t="s">
        <v>112</v>
      </c>
      <c r="L2638" s="27" t="s">
        <v>116</v>
      </c>
      <c r="M2638" s="10">
        <v>100</v>
      </c>
    </row>
    <row r="2639" spans="11:13" x14ac:dyDescent="0.25">
      <c r="K2639" s="26" t="s">
        <v>111</v>
      </c>
      <c r="L2639" s="27" t="s">
        <v>117</v>
      </c>
      <c r="M2639" s="10">
        <v>162.94606485253382</v>
      </c>
    </row>
    <row r="2640" spans="11:13" x14ac:dyDescent="0.25">
      <c r="K2640" s="26" t="s">
        <v>109</v>
      </c>
      <c r="L2640" s="27" t="s">
        <v>118</v>
      </c>
      <c r="M2640" s="10">
        <v>42.054463977938639</v>
      </c>
    </row>
    <row r="2641" spans="11:13" x14ac:dyDescent="0.25">
      <c r="K2641" s="26" t="s">
        <v>109</v>
      </c>
      <c r="L2641" s="27" t="s">
        <v>119</v>
      </c>
      <c r="M2641" s="10">
        <v>11.375387797311273</v>
      </c>
    </row>
    <row r="2642" spans="11:13" x14ac:dyDescent="0.25">
      <c r="K2642" s="26" t="s">
        <v>110</v>
      </c>
      <c r="L2642" s="27" t="s">
        <v>115</v>
      </c>
      <c r="M2642" s="10">
        <v>27.475798400908538</v>
      </c>
    </row>
    <row r="2643" spans="11:13" x14ac:dyDescent="0.25">
      <c r="K2643" s="26" t="s">
        <v>110</v>
      </c>
      <c r="L2643" s="27" t="s">
        <v>116</v>
      </c>
      <c r="M2643" s="10">
        <v>36.63439786787805</v>
      </c>
    </row>
    <row r="2644" spans="11:13" x14ac:dyDescent="0.25">
      <c r="K2644" s="26" t="s">
        <v>112</v>
      </c>
      <c r="L2644" s="27" t="s">
        <v>117</v>
      </c>
      <c r="M2644" s="10">
        <v>369.68576709796673</v>
      </c>
    </row>
    <row r="2645" spans="11:13" x14ac:dyDescent="0.25">
      <c r="K2645" s="26" t="s">
        <v>110</v>
      </c>
      <c r="L2645" s="27" t="s">
        <v>118</v>
      </c>
      <c r="M2645" s="10">
        <v>264.74637297469025</v>
      </c>
    </row>
    <row r="2646" spans="11:13" x14ac:dyDescent="0.25">
      <c r="K2646" s="26" t="s">
        <v>111</v>
      </c>
      <c r="L2646" s="27" t="s">
        <v>119</v>
      </c>
      <c r="M2646" s="10">
        <v>542.916746184776</v>
      </c>
    </row>
    <row r="2647" spans="11:13" x14ac:dyDescent="0.25">
      <c r="K2647" s="26" t="s">
        <v>110</v>
      </c>
      <c r="L2647" s="27" t="s">
        <v>115</v>
      </c>
      <c r="M2647" s="10">
        <v>4.835251322751323</v>
      </c>
    </row>
    <row r="2648" spans="11:13" x14ac:dyDescent="0.25">
      <c r="K2648" s="26" t="s">
        <v>112</v>
      </c>
      <c r="L2648" s="27" t="s">
        <v>116</v>
      </c>
      <c r="M2648" s="10">
        <v>52.949274594938046</v>
      </c>
    </row>
    <row r="2649" spans="11:13" x14ac:dyDescent="0.25">
      <c r="K2649" s="26" t="s">
        <v>109</v>
      </c>
      <c r="L2649" s="27" t="s">
        <v>117</v>
      </c>
      <c r="M2649" s="10">
        <v>35.332057096604274</v>
      </c>
    </row>
    <row r="2650" spans="11:13" x14ac:dyDescent="0.25">
      <c r="K2650" s="26" t="s">
        <v>110</v>
      </c>
      <c r="L2650" s="27" t="s">
        <v>118</v>
      </c>
      <c r="M2650" s="10">
        <v>48.822478897125897</v>
      </c>
    </row>
    <row r="2651" spans="11:13" x14ac:dyDescent="0.25">
      <c r="K2651" s="26" t="s">
        <v>109</v>
      </c>
      <c r="L2651" s="27" t="s">
        <v>119</v>
      </c>
      <c r="M2651" s="10">
        <v>89.624267493967594</v>
      </c>
    </row>
    <row r="2652" spans="11:13" x14ac:dyDescent="0.25">
      <c r="K2652" s="26" t="s">
        <v>109</v>
      </c>
      <c r="L2652" s="27" t="s">
        <v>115</v>
      </c>
      <c r="M2652" s="10">
        <v>110.22927689594357</v>
      </c>
    </row>
    <row r="2653" spans="11:13" x14ac:dyDescent="0.25">
      <c r="K2653" s="26" t="s">
        <v>109</v>
      </c>
      <c r="L2653" s="27" t="s">
        <v>116</v>
      </c>
      <c r="M2653" s="10">
        <v>110.22927689594357</v>
      </c>
    </row>
    <row r="2654" spans="11:13" x14ac:dyDescent="0.25">
      <c r="K2654" s="26" t="s">
        <v>110</v>
      </c>
      <c r="L2654" s="27" t="s">
        <v>117</v>
      </c>
      <c r="M2654" s="10">
        <v>160.19716574245226</v>
      </c>
    </row>
    <row r="2655" spans="11:13" x14ac:dyDescent="0.25">
      <c r="K2655" s="26" t="s">
        <v>112</v>
      </c>
      <c r="L2655" s="27" t="s">
        <v>118</v>
      </c>
      <c r="M2655" s="10">
        <v>1000</v>
      </c>
    </row>
    <row r="2656" spans="11:13" x14ac:dyDescent="0.25">
      <c r="K2656" s="26" t="s">
        <v>109</v>
      </c>
      <c r="L2656" s="27" t="s">
        <v>119</v>
      </c>
      <c r="M2656" s="10">
        <v>25.696041524803107</v>
      </c>
    </row>
    <row r="2657" spans="11:13" x14ac:dyDescent="0.25">
      <c r="K2657" s="26" t="s">
        <v>110</v>
      </c>
      <c r="L2657" s="27" t="s">
        <v>115</v>
      </c>
      <c r="M2657" s="10">
        <v>25.696041524803107</v>
      </c>
    </row>
    <row r="2658" spans="11:13" x14ac:dyDescent="0.25">
      <c r="K2658" s="26" t="s">
        <v>110</v>
      </c>
      <c r="L2658" s="27" t="s">
        <v>116</v>
      </c>
      <c r="M2658" s="10">
        <v>25.696041524803107</v>
      </c>
    </row>
    <row r="2659" spans="11:13" x14ac:dyDescent="0.25">
      <c r="K2659" s="26" t="s">
        <v>110</v>
      </c>
      <c r="L2659" s="27" t="s">
        <v>117</v>
      </c>
      <c r="M2659" s="10">
        <v>17.636684303350968</v>
      </c>
    </row>
    <row r="2660" spans="11:13" x14ac:dyDescent="0.25">
      <c r="K2660" s="26" t="s">
        <v>109</v>
      </c>
      <c r="L2660" s="27" t="s">
        <v>118</v>
      </c>
      <c r="M2660" s="10">
        <v>154.03573629081947</v>
      </c>
    </row>
    <row r="2661" spans="11:13" x14ac:dyDescent="0.25">
      <c r="K2661" s="26" t="s">
        <v>110</v>
      </c>
      <c r="L2661" s="27" t="s">
        <v>119</v>
      </c>
      <c r="M2661" s="10">
        <v>385.08934072704869</v>
      </c>
    </row>
    <row r="2662" spans="11:13" x14ac:dyDescent="0.25">
      <c r="K2662" s="26" t="s">
        <v>112</v>
      </c>
      <c r="L2662" s="27" t="s">
        <v>115</v>
      </c>
      <c r="M2662" s="10">
        <v>53.912507701786815</v>
      </c>
    </row>
    <row r="2663" spans="11:13" x14ac:dyDescent="0.25">
      <c r="K2663" s="26" t="s">
        <v>110</v>
      </c>
      <c r="L2663" s="27" t="s">
        <v>116</v>
      </c>
      <c r="M2663" s="10">
        <v>77.017868145409736</v>
      </c>
    </row>
    <row r="2664" spans="11:13" x14ac:dyDescent="0.25">
      <c r="K2664" s="26" t="s">
        <v>109</v>
      </c>
      <c r="L2664" s="27" t="s">
        <v>117</v>
      </c>
      <c r="M2664" s="10">
        <v>369.68576709796673</v>
      </c>
    </row>
    <row r="2665" spans="11:13" x14ac:dyDescent="0.25">
      <c r="K2665" s="26" t="s">
        <v>109</v>
      </c>
      <c r="L2665" s="27" t="s">
        <v>118</v>
      </c>
      <c r="M2665" s="10">
        <v>48.170194003527335</v>
      </c>
    </row>
    <row r="2666" spans="11:13" x14ac:dyDescent="0.25">
      <c r="K2666" s="26" t="s">
        <v>109</v>
      </c>
      <c r="L2666" s="27" t="s">
        <v>119</v>
      </c>
      <c r="M2666" s="10">
        <v>187.38977072310408</v>
      </c>
    </row>
    <row r="2667" spans="11:13" x14ac:dyDescent="0.25">
      <c r="K2667" s="26" t="s">
        <v>109</v>
      </c>
      <c r="L2667" s="27" t="s">
        <v>115</v>
      </c>
      <c r="M2667" s="10">
        <v>75</v>
      </c>
    </row>
    <row r="2668" spans="11:13" x14ac:dyDescent="0.25">
      <c r="K2668" s="26" t="s">
        <v>110</v>
      </c>
      <c r="L2668" s="27" t="s">
        <v>116</v>
      </c>
      <c r="M2668" s="10">
        <v>29.9</v>
      </c>
    </row>
    <row r="2669" spans="11:13" x14ac:dyDescent="0.25">
      <c r="K2669" s="26" t="s">
        <v>110</v>
      </c>
      <c r="L2669" s="27" t="s">
        <v>117</v>
      </c>
      <c r="M2669" s="10">
        <v>587.6</v>
      </c>
    </row>
    <row r="2670" spans="11:13" x14ac:dyDescent="0.25">
      <c r="K2670" s="26" t="s">
        <v>110</v>
      </c>
      <c r="L2670" s="27" t="s">
        <v>118</v>
      </c>
      <c r="M2670" s="10">
        <v>29.550447753523571</v>
      </c>
    </row>
    <row r="2671" spans="11:13" x14ac:dyDescent="0.25">
      <c r="K2671" s="26" t="s">
        <v>109</v>
      </c>
      <c r="L2671" s="27" t="s">
        <v>119</v>
      </c>
      <c r="M2671" s="10">
        <v>51.392083049606214</v>
      </c>
    </row>
    <row r="2672" spans="11:13" x14ac:dyDescent="0.25">
      <c r="K2672" s="26" t="s">
        <v>110</v>
      </c>
      <c r="L2672" s="27" t="s">
        <v>115</v>
      </c>
      <c r="M2672" s="10">
        <v>99.583597883597889</v>
      </c>
    </row>
    <row r="2673" spans="11:13" x14ac:dyDescent="0.25">
      <c r="K2673" s="26" t="s">
        <v>109</v>
      </c>
      <c r="L2673" s="27" t="s">
        <v>116</v>
      </c>
      <c r="M2673" s="10">
        <v>103.41261633919338</v>
      </c>
    </row>
    <row r="2674" spans="11:13" x14ac:dyDescent="0.25">
      <c r="K2674" s="26" t="s">
        <v>110</v>
      </c>
      <c r="L2674" s="27" t="s">
        <v>117</v>
      </c>
      <c r="M2674" s="10">
        <v>685.53935185185196</v>
      </c>
    </row>
    <row r="2675" spans="11:13" x14ac:dyDescent="0.25">
      <c r="K2675" s="26" t="s">
        <v>110</v>
      </c>
      <c r="L2675" s="27" t="s">
        <v>118</v>
      </c>
      <c r="M2675" s="10">
        <v>4.409171075837742</v>
      </c>
    </row>
    <row r="2676" spans="11:13" x14ac:dyDescent="0.25">
      <c r="K2676" s="26" t="s">
        <v>109</v>
      </c>
      <c r="L2676" s="27" t="s">
        <v>119</v>
      </c>
      <c r="M2676" s="10">
        <v>102.73808976891625</v>
      </c>
    </row>
    <row r="2677" spans="11:13" x14ac:dyDescent="0.25">
      <c r="K2677" s="26" t="s">
        <v>110</v>
      </c>
      <c r="L2677" s="27" t="s">
        <v>115</v>
      </c>
      <c r="M2677" s="10">
        <v>38.508934072704868</v>
      </c>
    </row>
    <row r="2678" spans="11:13" x14ac:dyDescent="0.25">
      <c r="K2678" s="26" t="s">
        <v>112</v>
      </c>
      <c r="L2678" s="27" t="s">
        <v>116</v>
      </c>
      <c r="M2678" s="10">
        <v>38.508934072704868</v>
      </c>
    </row>
    <row r="2679" spans="11:13" x14ac:dyDescent="0.25">
      <c r="K2679" s="26" t="s">
        <v>109</v>
      </c>
      <c r="L2679" s="27" t="s">
        <v>117</v>
      </c>
      <c r="M2679" s="10">
        <v>30.8641975308642</v>
      </c>
    </row>
    <row r="2680" spans="11:13" x14ac:dyDescent="0.25">
      <c r="K2680" s="26" t="s">
        <v>109</v>
      </c>
      <c r="L2680" s="27" t="s">
        <v>118</v>
      </c>
      <c r="M2680" s="10">
        <v>55.114638447971785</v>
      </c>
    </row>
    <row r="2681" spans="11:13" x14ac:dyDescent="0.25">
      <c r="K2681" s="26" t="s">
        <v>109</v>
      </c>
      <c r="L2681" s="27" t="s">
        <v>119</v>
      </c>
      <c r="M2681" s="10">
        <v>132.27513227513228</v>
      </c>
    </row>
    <row r="2682" spans="11:13" x14ac:dyDescent="0.25">
      <c r="K2682" s="26" t="s">
        <v>110</v>
      </c>
      <c r="L2682" s="27" t="s">
        <v>115</v>
      </c>
      <c r="M2682" s="10">
        <v>38.54406228720466</v>
      </c>
    </row>
    <row r="2683" spans="11:13" x14ac:dyDescent="0.25">
      <c r="K2683" s="26" t="s">
        <v>109</v>
      </c>
      <c r="L2683" s="27" t="s">
        <v>116</v>
      </c>
      <c r="M2683" s="10">
        <v>230.4374614910659</v>
      </c>
    </row>
    <row r="2684" spans="11:13" x14ac:dyDescent="0.25">
      <c r="K2684" s="26" t="s">
        <v>112</v>
      </c>
      <c r="L2684" s="27" t="s">
        <v>117</v>
      </c>
      <c r="M2684" s="10">
        <v>157.11645101663586</v>
      </c>
    </row>
    <row r="2685" spans="11:13" x14ac:dyDescent="0.25">
      <c r="K2685" s="26" t="s">
        <v>112</v>
      </c>
      <c r="L2685" s="27" t="s">
        <v>118</v>
      </c>
      <c r="M2685" s="10">
        <v>77.017868145409736</v>
      </c>
    </row>
    <row r="2686" spans="11:13" x14ac:dyDescent="0.25">
      <c r="K2686" s="26" t="s">
        <v>112</v>
      </c>
      <c r="L2686" s="27" t="s">
        <v>119</v>
      </c>
      <c r="M2686" s="10">
        <v>55.114638447971785</v>
      </c>
    </row>
    <row r="2687" spans="11:13" x14ac:dyDescent="0.25">
      <c r="K2687" s="26" t="s">
        <v>109</v>
      </c>
      <c r="L2687" s="27" t="s">
        <v>115</v>
      </c>
      <c r="M2687" s="10">
        <v>88.183421516754848</v>
      </c>
    </row>
    <row r="2688" spans="11:13" x14ac:dyDescent="0.25">
      <c r="K2688" s="26" t="s">
        <v>109</v>
      </c>
      <c r="L2688" s="27" t="s">
        <v>116</v>
      </c>
      <c r="M2688" s="10">
        <v>110.22927689594357</v>
      </c>
    </row>
    <row r="2689" spans="11:13" x14ac:dyDescent="0.25">
      <c r="K2689" s="26" t="s">
        <v>110</v>
      </c>
      <c r="L2689" s="27" t="s">
        <v>117</v>
      </c>
      <c r="M2689" s="10">
        <v>55.114638447971785</v>
      </c>
    </row>
    <row r="2690" spans="11:13" x14ac:dyDescent="0.25">
      <c r="K2690" s="26" t="s">
        <v>109</v>
      </c>
      <c r="L2690" s="27" t="s">
        <v>118</v>
      </c>
      <c r="M2690" s="10">
        <v>55.114638447971785</v>
      </c>
    </row>
    <row r="2691" spans="11:13" x14ac:dyDescent="0.25">
      <c r="K2691" s="26" t="s">
        <v>111</v>
      </c>
      <c r="L2691" s="27" t="s">
        <v>119</v>
      </c>
      <c r="M2691" s="10">
        <v>110.22927689594357</v>
      </c>
    </row>
    <row r="2692" spans="11:13" x14ac:dyDescent="0.25">
      <c r="K2692" s="26" t="s">
        <v>112</v>
      </c>
      <c r="L2692" s="27" t="s">
        <v>115</v>
      </c>
      <c r="M2692" s="10">
        <v>55.114638447971785</v>
      </c>
    </row>
    <row r="2693" spans="11:13" x14ac:dyDescent="0.25">
      <c r="K2693" s="26" t="s">
        <v>109</v>
      </c>
      <c r="L2693" s="27" t="s">
        <v>116</v>
      </c>
      <c r="M2693" s="10">
        <v>55.114638447971785</v>
      </c>
    </row>
    <row r="2694" spans="11:13" x14ac:dyDescent="0.25">
      <c r="K2694" s="26" t="s">
        <v>111</v>
      </c>
      <c r="L2694" s="27" t="s">
        <v>117</v>
      </c>
      <c r="M2694" s="10">
        <v>88.183421516754848</v>
      </c>
    </row>
    <row r="2695" spans="11:13" x14ac:dyDescent="0.25">
      <c r="K2695" s="26" t="s">
        <v>111</v>
      </c>
      <c r="L2695" s="27" t="s">
        <v>118</v>
      </c>
      <c r="M2695" s="10">
        <v>55.114638447971785</v>
      </c>
    </row>
    <row r="2696" spans="11:13" x14ac:dyDescent="0.25">
      <c r="K2696" s="26" t="s">
        <v>110</v>
      </c>
      <c r="L2696" s="27" t="s">
        <v>119</v>
      </c>
      <c r="M2696" s="10">
        <v>195.53527782304059</v>
      </c>
    </row>
    <row r="2697" spans="11:13" x14ac:dyDescent="0.25">
      <c r="K2697" s="26" t="s">
        <v>109</v>
      </c>
      <c r="L2697" s="27" t="s">
        <v>115</v>
      </c>
      <c r="M2697" s="10">
        <v>2.204585537918871</v>
      </c>
    </row>
    <row r="2698" spans="11:13" x14ac:dyDescent="0.25">
      <c r="K2698" s="26" t="s">
        <v>109</v>
      </c>
      <c r="L2698" s="27" t="s">
        <v>116</v>
      </c>
      <c r="M2698" s="10">
        <v>2.204585537918871</v>
      </c>
    </row>
    <row r="2699" spans="11:13" x14ac:dyDescent="0.25">
      <c r="K2699" s="26" t="s">
        <v>110</v>
      </c>
      <c r="L2699" s="27" t="s">
        <v>117</v>
      </c>
      <c r="M2699" s="10">
        <v>5.511463844797178</v>
      </c>
    </row>
    <row r="2700" spans="11:13" x14ac:dyDescent="0.25">
      <c r="K2700" s="26" t="s">
        <v>109</v>
      </c>
      <c r="L2700" s="27" t="s">
        <v>118</v>
      </c>
      <c r="M2700" s="10">
        <v>462.10720887245844</v>
      </c>
    </row>
    <row r="2701" spans="11:13" x14ac:dyDescent="0.25">
      <c r="K2701" s="26" t="s">
        <v>109</v>
      </c>
      <c r="L2701" s="27" t="s">
        <v>119</v>
      </c>
      <c r="M2701" s="10">
        <v>128.48020762401552</v>
      </c>
    </row>
    <row r="2702" spans="11:13" x14ac:dyDescent="0.25">
      <c r="K2702" s="26" t="s">
        <v>110</v>
      </c>
      <c r="L2702" s="27" t="s">
        <v>115</v>
      </c>
      <c r="M2702" s="10">
        <v>83.512134955610094</v>
      </c>
    </row>
    <row r="2703" spans="11:13" x14ac:dyDescent="0.25">
      <c r="K2703" s="26" t="s">
        <v>110</v>
      </c>
      <c r="L2703" s="27" t="s">
        <v>116</v>
      </c>
      <c r="M2703" s="10">
        <v>61.614294516327789</v>
      </c>
    </row>
    <row r="2704" spans="11:13" x14ac:dyDescent="0.25">
      <c r="K2704" s="26" t="s">
        <v>109</v>
      </c>
      <c r="L2704" s="27" t="s">
        <v>117</v>
      </c>
      <c r="M2704" s="10">
        <v>53.912507701786815</v>
      </c>
    </row>
    <row r="2705" spans="11:13" x14ac:dyDescent="0.25">
      <c r="K2705" s="26" t="s">
        <v>110</v>
      </c>
      <c r="L2705" s="27" t="s">
        <v>118</v>
      </c>
      <c r="M2705" s="10">
        <v>73.47504621072089</v>
      </c>
    </row>
    <row r="2706" spans="11:13" x14ac:dyDescent="0.25">
      <c r="K2706" s="26" t="s">
        <v>110</v>
      </c>
      <c r="L2706" s="27" t="s">
        <v>119</v>
      </c>
      <c r="M2706" s="10">
        <v>46.210720887245841</v>
      </c>
    </row>
    <row r="2707" spans="11:13" x14ac:dyDescent="0.25">
      <c r="K2707" s="26" t="s">
        <v>110</v>
      </c>
      <c r="L2707" s="27" t="s">
        <v>115</v>
      </c>
      <c r="M2707" s="10">
        <v>38.508934072704868</v>
      </c>
    </row>
    <row r="2708" spans="11:13" x14ac:dyDescent="0.25">
      <c r="K2708" s="26" t="s">
        <v>110</v>
      </c>
      <c r="L2708" s="27" t="s">
        <v>116</v>
      </c>
      <c r="M2708" s="10">
        <v>55.114638447971785</v>
      </c>
    </row>
    <row r="2709" spans="11:13" x14ac:dyDescent="0.25">
      <c r="K2709" s="26" t="s">
        <v>109</v>
      </c>
      <c r="L2709" s="27" t="s">
        <v>117</v>
      </c>
      <c r="M2709" s="10">
        <v>158.84782378481412</v>
      </c>
    </row>
    <row r="2710" spans="11:13" x14ac:dyDescent="0.25">
      <c r="K2710" s="26" t="s">
        <v>109</v>
      </c>
      <c r="L2710" s="27" t="s">
        <v>118</v>
      </c>
      <c r="M2710" s="10">
        <v>462.10720887245844</v>
      </c>
    </row>
    <row r="2711" spans="11:13" x14ac:dyDescent="0.25">
      <c r="K2711" s="26" t="s">
        <v>110</v>
      </c>
      <c r="L2711" s="27" t="s">
        <v>119</v>
      </c>
      <c r="M2711" s="10">
        <v>462.10720887245844</v>
      </c>
    </row>
    <row r="2712" spans="11:13" x14ac:dyDescent="0.25">
      <c r="K2712" s="26" t="s">
        <v>110</v>
      </c>
      <c r="L2712" s="27" t="s">
        <v>115</v>
      </c>
      <c r="M2712" s="10">
        <v>18.634796940322506</v>
      </c>
    </row>
    <row r="2713" spans="11:13" x14ac:dyDescent="0.25">
      <c r="K2713" s="26" t="s">
        <v>109</v>
      </c>
      <c r="L2713" s="27" t="s">
        <v>116</v>
      </c>
      <c r="M2713" s="10">
        <v>31.769564756962826</v>
      </c>
    </row>
    <row r="2714" spans="11:13" x14ac:dyDescent="0.25">
      <c r="K2714" s="26" t="s">
        <v>112</v>
      </c>
      <c r="L2714" s="27" t="s">
        <v>117</v>
      </c>
      <c r="M2714" s="10">
        <v>52.949274594938046</v>
      </c>
    </row>
    <row r="2715" spans="11:13" x14ac:dyDescent="0.25">
      <c r="K2715" s="26" t="s">
        <v>110</v>
      </c>
      <c r="L2715" s="27" t="s">
        <v>118</v>
      </c>
      <c r="M2715" s="10">
        <v>44.812133746983797</v>
      </c>
    </row>
    <row r="2716" spans="11:13" x14ac:dyDescent="0.25">
      <c r="K2716" s="26" t="s">
        <v>109</v>
      </c>
      <c r="L2716" s="27" t="s">
        <v>119</v>
      </c>
      <c r="M2716" s="10">
        <v>130</v>
      </c>
    </row>
    <row r="2717" spans="11:13" x14ac:dyDescent="0.25">
      <c r="K2717" s="26" t="s">
        <v>110</v>
      </c>
      <c r="L2717" s="27" t="s">
        <v>115</v>
      </c>
      <c r="M2717" s="10">
        <v>16.985841389340408</v>
      </c>
    </row>
    <row r="2718" spans="11:13" x14ac:dyDescent="0.25">
      <c r="K2718" s="26" t="s">
        <v>110</v>
      </c>
      <c r="L2718" s="27" t="s">
        <v>116</v>
      </c>
      <c r="M2718" s="10">
        <v>18.097224872825862</v>
      </c>
    </row>
    <row r="2719" spans="11:13" x14ac:dyDescent="0.25">
      <c r="K2719" s="26" t="s">
        <v>109</v>
      </c>
      <c r="L2719" s="27" t="s">
        <v>117</v>
      </c>
      <c r="M2719" s="10">
        <v>4.2833827990813189</v>
      </c>
    </row>
    <row r="2720" spans="11:13" x14ac:dyDescent="0.25">
      <c r="K2720" s="26" t="s">
        <v>110</v>
      </c>
      <c r="L2720" s="27" t="s">
        <v>118</v>
      </c>
      <c r="M2720" s="10">
        <v>15.403573629081947</v>
      </c>
    </row>
    <row r="2721" spans="11:13" x14ac:dyDescent="0.25">
      <c r="K2721" s="26" t="s">
        <v>109</v>
      </c>
      <c r="L2721" s="27" t="s">
        <v>119</v>
      </c>
      <c r="M2721" s="10">
        <v>51.706308169596689</v>
      </c>
    </row>
    <row r="2722" spans="11:13" x14ac:dyDescent="0.25">
      <c r="K2722" s="26" t="s">
        <v>112</v>
      </c>
      <c r="L2722" s="27" t="s">
        <v>115</v>
      </c>
      <c r="M2722" s="10">
        <v>500</v>
      </c>
    </row>
    <row r="2723" spans="11:13" x14ac:dyDescent="0.25">
      <c r="K2723" s="26" t="s">
        <v>112</v>
      </c>
      <c r="L2723" s="27" t="s">
        <v>116</v>
      </c>
      <c r="M2723" s="10">
        <v>0.79799056955276049</v>
      </c>
    </row>
    <row r="2724" spans="11:13" x14ac:dyDescent="0.25">
      <c r="K2724" s="26" t="s">
        <v>109</v>
      </c>
      <c r="L2724" s="27" t="s">
        <v>117</v>
      </c>
      <c r="M2724" s="10">
        <v>0.79799056955276049</v>
      </c>
    </row>
    <row r="2725" spans="11:13" x14ac:dyDescent="0.25">
      <c r="K2725" s="26" t="s">
        <v>109</v>
      </c>
      <c r="L2725" s="27" t="s">
        <v>118</v>
      </c>
      <c r="M2725" s="10">
        <v>3.2589212970506765</v>
      </c>
    </row>
    <row r="2726" spans="11:13" x14ac:dyDescent="0.25">
      <c r="K2726" s="26" t="s">
        <v>110</v>
      </c>
      <c r="L2726" s="27" t="s">
        <v>119</v>
      </c>
      <c r="M2726" s="10">
        <v>20.673496577387787</v>
      </c>
    </row>
    <row r="2727" spans="11:13" x14ac:dyDescent="0.25">
      <c r="K2727" s="26" t="s">
        <v>109</v>
      </c>
      <c r="L2727" s="27" t="s">
        <v>115</v>
      </c>
      <c r="M2727" s="10">
        <v>261.86075169439312</v>
      </c>
    </row>
    <row r="2728" spans="11:13" x14ac:dyDescent="0.25">
      <c r="K2728" s="26" t="s">
        <v>110</v>
      </c>
      <c r="L2728" s="27" t="s">
        <v>116</v>
      </c>
      <c r="M2728" s="10">
        <v>4.9356067834979633</v>
      </c>
    </row>
    <row r="2729" spans="11:13" x14ac:dyDescent="0.25">
      <c r="K2729" s="26" t="s">
        <v>109</v>
      </c>
      <c r="L2729" s="27" t="s">
        <v>117</v>
      </c>
      <c r="M2729" s="10">
        <v>42.359419675950441</v>
      </c>
    </row>
    <row r="2730" spans="11:13" x14ac:dyDescent="0.25">
      <c r="K2730" s="26" t="s">
        <v>109</v>
      </c>
      <c r="L2730" s="27" t="s">
        <v>118</v>
      </c>
      <c r="M2730" s="10">
        <v>264.74637297469025</v>
      </c>
    </row>
    <row r="2731" spans="11:13" x14ac:dyDescent="0.25">
      <c r="K2731" s="26" t="s">
        <v>110</v>
      </c>
      <c r="L2731" s="27" t="s">
        <v>119</v>
      </c>
      <c r="M2731" s="10">
        <v>46.210720887245841</v>
      </c>
    </row>
    <row r="2732" spans="11:13" x14ac:dyDescent="0.25">
      <c r="K2732" s="26" t="s">
        <v>110</v>
      </c>
      <c r="L2732" s="27" t="s">
        <v>115</v>
      </c>
      <c r="M2732" s="10">
        <v>3.77</v>
      </c>
    </row>
    <row r="2733" spans="11:13" x14ac:dyDescent="0.25">
      <c r="K2733" s="26" t="s">
        <v>110</v>
      </c>
      <c r="L2733" s="27" t="s">
        <v>116</v>
      </c>
      <c r="M2733" s="10">
        <v>176.3668430335097</v>
      </c>
    </row>
    <row r="2734" spans="11:13" x14ac:dyDescent="0.25">
      <c r="K2734" s="26" t="s">
        <v>109</v>
      </c>
      <c r="L2734" s="27" t="s">
        <v>117</v>
      </c>
      <c r="M2734" s="10">
        <v>79.625</v>
      </c>
    </row>
    <row r="2735" spans="11:13" x14ac:dyDescent="0.25">
      <c r="K2735" s="26" t="s">
        <v>109</v>
      </c>
      <c r="L2735" s="27" t="s">
        <v>118</v>
      </c>
      <c r="M2735" s="10">
        <v>321.2005190600388</v>
      </c>
    </row>
    <row r="2736" spans="11:13" x14ac:dyDescent="0.25">
      <c r="K2736" s="26" t="s">
        <v>110</v>
      </c>
      <c r="L2736" s="27" t="s">
        <v>119</v>
      </c>
      <c r="M2736" s="10">
        <v>100.2145619467321</v>
      </c>
    </row>
    <row r="2737" spans="11:13" x14ac:dyDescent="0.25">
      <c r="K2737" s="26" t="s">
        <v>109</v>
      </c>
      <c r="L2737" s="27" t="s">
        <v>115</v>
      </c>
      <c r="M2737" s="10">
        <v>154.32098765432099</v>
      </c>
    </row>
    <row r="2738" spans="11:13" x14ac:dyDescent="0.25">
      <c r="K2738" s="26" t="s">
        <v>109</v>
      </c>
      <c r="L2738" s="27" t="s">
        <v>116</v>
      </c>
      <c r="M2738" s="10">
        <v>835.12134955610088</v>
      </c>
    </row>
    <row r="2739" spans="11:13" x14ac:dyDescent="0.25">
      <c r="K2739" s="26" t="s">
        <v>110</v>
      </c>
      <c r="L2739" s="27" t="s">
        <v>117</v>
      </c>
      <c r="M2739" s="10">
        <v>15.015224904603446</v>
      </c>
    </row>
    <row r="2740" spans="11:13" x14ac:dyDescent="0.25">
      <c r="K2740" s="26" t="s">
        <v>110</v>
      </c>
      <c r="L2740" s="27" t="s">
        <v>118</v>
      </c>
      <c r="M2740" s="10">
        <v>418.87125220458552</v>
      </c>
    </row>
    <row r="2741" spans="11:13" x14ac:dyDescent="0.25">
      <c r="K2741" s="26" t="s">
        <v>109</v>
      </c>
      <c r="L2741" s="27" t="s">
        <v>119</v>
      </c>
      <c r="M2741" s="10">
        <v>38.54406228720466</v>
      </c>
    </row>
    <row r="2742" spans="11:13" x14ac:dyDescent="0.25">
      <c r="K2742" s="26" t="s">
        <v>110</v>
      </c>
      <c r="L2742" s="27" t="s">
        <v>115</v>
      </c>
      <c r="M2742" s="10">
        <v>16.048788316482106</v>
      </c>
    </row>
    <row r="2743" spans="11:13" x14ac:dyDescent="0.25">
      <c r="K2743" s="26" t="s">
        <v>110</v>
      </c>
      <c r="L2743" s="27" t="s">
        <v>116</v>
      </c>
      <c r="M2743" s="10">
        <v>8.0243941582410532</v>
      </c>
    </row>
    <row r="2744" spans="11:13" x14ac:dyDescent="0.25">
      <c r="K2744" s="26" t="s">
        <v>110</v>
      </c>
      <c r="L2744" s="27" t="s">
        <v>117</v>
      </c>
      <c r="M2744" s="10">
        <v>3.9682539682539684</v>
      </c>
    </row>
    <row r="2745" spans="11:13" x14ac:dyDescent="0.25">
      <c r="K2745" s="26" t="s">
        <v>112</v>
      </c>
      <c r="L2745" s="27" t="s">
        <v>118</v>
      </c>
      <c r="M2745" s="10">
        <v>44.091710758377424</v>
      </c>
    </row>
    <row r="2746" spans="11:13" x14ac:dyDescent="0.25">
      <c r="K2746" s="26" t="s">
        <v>109</v>
      </c>
      <c r="L2746" s="27" t="s">
        <v>119</v>
      </c>
      <c r="M2746" s="10">
        <v>52.832269031102129</v>
      </c>
    </row>
    <row r="2747" spans="11:13" x14ac:dyDescent="0.25">
      <c r="K2747" s="26" t="s">
        <v>112</v>
      </c>
      <c r="L2747" s="27" t="s">
        <v>115</v>
      </c>
      <c r="M2747" s="10">
        <v>44.091710758377424</v>
      </c>
    </row>
    <row r="2748" spans="11:13" x14ac:dyDescent="0.25">
      <c r="K2748" s="26" t="s">
        <v>110</v>
      </c>
      <c r="L2748" s="27" t="s">
        <v>116</v>
      </c>
      <c r="M2748" s="10">
        <v>3.7538062261508616</v>
      </c>
    </row>
    <row r="2749" spans="11:13" x14ac:dyDescent="0.25">
      <c r="K2749" s="26" t="s">
        <v>110</v>
      </c>
      <c r="L2749" s="27" t="s">
        <v>117</v>
      </c>
      <c r="M2749" s="10">
        <v>68.941744226128904</v>
      </c>
    </row>
    <row r="2750" spans="11:13" x14ac:dyDescent="0.25">
      <c r="K2750" s="26" t="s">
        <v>109</v>
      </c>
      <c r="L2750" s="27" t="s">
        <v>118</v>
      </c>
      <c r="M2750" s="10">
        <v>105.89854918987609</v>
      </c>
    </row>
    <row r="2751" spans="11:13" x14ac:dyDescent="0.25">
      <c r="K2751" s="26" t="s">
        <v>110</v>
      </c>
      <c r="L2751" s="27" t="s">
        <v>119</v>
      </c>
      <c r="M2751" s="10">
        <v>0.1058985491898761</v>
      </c>
    </row>
    <row r="2752" spans="11:13" x14ac:dyDescent="0.25">
      <c r="K2752" s="26" t="s">
        <v>109</v>
      </c>
      <c r="L2752" s="27" t="s">
        <v>115</v>
      </c>
      <c r="M2752" s="10">
        <v>52.949274594938046</v>
      </c>
    </row>
    <row r="2753" spans="11:13" x14ac:dyDescent="0.25">
      <c r="K2753" s="26" t="s">
        <v>109</v>
      </c>
      <c r="L2753" s="27" t="s">
        <v>116</v>
      </c>
      <c r="M2753" s="10">
        <v>86.177180282661155</v>
      </c>
    </row>
    <row r="2754" spans="11:13" x14ac:dyDescent="0.25">
      <c r="K2754" s="26" t="s">
        <v>110</v>
      </c>
      <c r="L2754" s="27" t="s">
        <v>117</v>
      </c>
      <c r="M2754" s="10">
        <v>86.177180282661155</v>
      </c>
    </row>
    <row r="2755" spans="11:13" x14ac:dyDescent="0.25">
      <c r="K2755" s="26" t="s">
        <v>110</v>
      </c>
      <c r="L2755" s="27" t="s">
        <v>118</v>
      </c>
      <c r="M2755" s="10">
        <v>6.8941744226128918</v>
      </c>
    </row>
    <row r="2756" spans="11:13" x14ac:dyDescent="0.25">
      <c r="K2756" s="26" t="s">
        <v>110</v>
      </c>
      <c r="L2756" s="27" t="s">
        <v>119</v>
      </c>
      <c r="M2756" s="10">
        <v>1441.7744916820702</v>
      </c>
    </row>
    <row r="2757" spans="11:13" x14ac:dyDescent="0.25">
      <c r="K2757" s="26" t="s">
        <v>110</v>
      </c>
      <c r="L2757" s="27" t="s">
        <v>115</v>
      </c>
      <c r="M2757" s="10">
        <v>77.017868145409736</v>
      </c>
    </row>
    <row r="2758" spans="11:13" x14ac:dyDescent="0.25">
      <c r="K2758" s="26" t="s">
        <v>110</v>
      </c>
      <c r="L2758" s="27" t="s">
        <v>116</v>
      </c>
      <c r="M2758" s="10">
        <v>91.585994669695125</v>
      </c>
    </row>
    <row r="2759" spans="11:13" x14ac:dyDescent="0.25">
      <c r="K2759" s="26" t="s">
        <v>112</v>
      </c>
      <c r="L2759" s="27" t="s">
        <v>117</v>
      </c>
      <c r="M2759" s="10">
        <v>91.585994669695125</v>
      </c>
    </row>
    <row r="2760" spans="11:13" x14ac:dyDescent="0.25">
      <c r="K2760" s="26" t="s">
        <v>112</v>
      </c>
      <c r="L2760" s="27" t="s">
        <v>118</v>
      </c>
      <c r="M2760" s="10">
        <v>71.883595116634766</v>
      </c>
    </row>
    <row r="2761" spans="11:13" x14ac:dyDescent="0.25">
      <c r="K2761" s="26" t="s">
        <v>112</v>
      </c>
      <c r="L2761" s="27" t="s">
        <v>119</v>
      </c>
      <c r="M2761" s="10">
        <v>308.07147258163894</v>
      </c>
    </row>
    <row r="2762" spans="11:13" x14ac:dyDescent="0.25">
      <c r="K2762" s="26" t="s">
        <v>112</v>
      </c>
      <c r="L2762" s="27" t="s">
        <v>115</v>
      </c>
      <c r="M2762" s="10">
        <v>46.210720887245841</v>
      </c>
    </row>
    <row r="2763" spans="11:13" x14ac:dyDescent="0.25">
      <c r="K2763" s="26" t="s">
        <v>109</v>
      </c>
      <c r="L2763" s="27" t="s">
        <v>116</v>
      </c>
      <c r="M2763" s="10">
        <v>45.792997334847563</v>
      </c>
    </row>
    <row r="2764" spans="11:13" x14ac:dyDescent="0.25">
      <c r="K2764" s="26" t="s">
        <v>110</v>
      </c>
      <c r="L2764" s="27" t="s">
        <v>117</v>
      </c>
      <c r="M2764" s="10">
        <v>88.183421516754848</v>
      </c>
    </row>
    <row r="2765" spans="11:13" x14ac:dyDescent="0.25">
      <c r="K2765" s="26" t="s">
        <v>110</v>
      </c>
      <c r="L2765" s="27" t="s">
        <v>118</v>
      </c>
      <c r="M2765" s="10">
        <v>88.183421516754848</v>
      </c>
    </row>
    <row r="2766" spans="11:13" x14ac:dyDescent="0.25">
      <c r="K2766" s="26" t="s">
        <v>109</v>
      </c>
      <c r="L2766" s="27" t="s">
        <v>119</v>
      </c>
      <c r="M2766" s="10">
        <v>88.183421516754848</v>
      </c>
    </row>
    <row r="2767" spans="11:13" x14ac:dyDescent="0.25">
      <c r="K2767" s="26" t="s">
        <v>109</v>
      </c>
      <c r="L2767" s="27" t="s">
        <v>115</v>
      </c>
      <c r="M2767" s="10">
        <v>88.183421516754848</v>
      </c>
    </row>
    <row r="2768" spans="11:13" x14ac:dyDescent="0.25">
      <c r="K2768" s="26" t="s">
        <v>110</v>
      </c>
      <c r="L2768" s="27" t="s">
        <v>116</v>
      </c>
      <c r="M2768" s="10">
        <v>88.183421516754848</v>
      </c>
    </row>
    <row r="2769" spans="11:13" x14ac:dyDescent="0.25">
      <c r="K2769" s="26" t="s">
        <v>109</v>
      </c>
      <c r="L2769" s="27" t="s">
        <v>117</v>
      </c>
      <c r="M2769" s="10">
        <v>220.45855379188714</v>
      </c>
    </row>
    <row r="2770" spans="11:13" x14ac:dyDescent="0.25">
      <c r="K2770" s="26" t="s">
        <v>110</v>
      </c>
      <c r="L2770" s="27" t="s">
        <v>118</v>
      </c>
      <c r="M2770" s="10">
        <v>88.183421516754848</v>
      </c>
    </row>
    <row r="2771" spans="11:13" x14ac:dyDescent="0.25">
      <c r="K2771" s="26" t="s">
        <v>110</v>
      </c>
      <c r="L2771" s="27" t="s">
        <v>119</v>
      </c>
      <c r="M2771" s="10">
        <v>88.183421516754848</v>
      </c>
    </row>
    <row r="2772" spans="11:13" x14ac:dyDescent="0.25">
      <c r="K2772" s="26" t="s">
        <v>110</v>
      </c>
      <c r="L2772" s="27" t="s">
        <v>115</v>
      </c>
      <c r="M2772" s="10">
        <v>88.183421516754848</v>
      </c>
    </row>
    <row r="2773" spans="11:13" x14ac:dyDescent="0.25">
      <c r="K2773" s="26" t="s">
        <v>112</v>
      </c>
      <c r="L2773" s="27" t="s">
        <v>116</v>
      </c>
      <c r="M2773" s="10">
        <v>88.183421516754848</v>
      </c>
    </row>
    <row r="2774" spans="11:13" x14ac:dyDescent="0.25">
      <c r="K2774" s="26" t="s">
        <v>109</v>
      </c>
      <c r="L2774" s="27" t="s">
        <v>117</v>
      </c>
      <c r="M2774" s="10">
        <v>86.177180282661155</v>
      </c>
    </row>
    <row r="2775" spans="11:13" x14ac:dyDescent="0.25">
      <c r="K2775" s="26" t="s">
        <v>110</v>
      </c>
      <c r="L2775" s="27" t="s">
        <v>118</v>
      </c>
      <c r="M2775" s="10">
        <v>70.614668592521269</v>
      </c>
    </row>
    <row r="2776" spans="11:13" x14ac:dyDescent="0.25">
      <c r="K2776" s="26" t="s">
        <v>110</v>
      </c>
      <c r="L2776" s="27" t="s">
        <v>119</v>
      </c>
      <c r="M2776" s="10">
        <v>32.097576632964213</v>
      </c>
    </row>
    <row r="2777" spans="11:13" x14ac:dyDescent="0.25">
      <c r="K2777" s="26" t="s">
        <v>109</v>
      </c>
      <c r="L2777" s="27" t="s">
        <v>115</v>
      </c>
      <c r="M2777" s="10">
        <v>635.3912951392565</v>
      </c>
    </row>
    <row r="2778" spans="11:13" x14ac:dyDescent="0.25">
      <c r="K2778" s="26" t="s">
        <v>110</v>
      </c>
      <c r="L2778" s="27" t="s">
        <v>116</v>
      </c>
      <c r="M2778" s="10">
        <v>64.195153265928425</v>
      </c>
    </row>
    <row r="2779" spans="11:13" x14ac:dyDescent="0.25">
      <c r="K2779" s="26" t="s">
        <v>109</v>
      </c>
      <c r="L2779" s="27" t="s">
        <v>117</v>
      </c>
      <c r="M2779" s="10">
        <v>52.949274594938046</v>
      </c>
    </row>
    <row r="2780" spans="11:13" x14ac:dyDescent="0.25">
      <c r="K2780" s="26" t="s">
        <v>109</v>
      </c>
      <c r="L2780" s="27" t="s">
        <v>118</v>
      </c>
      <c r="M2780" s="10">
        <v>344.55827628979654</v>
      </c>
    </row>
    <row r="2781" spans="11:13" x14ac:dyDescent="0.25">
      <c r="K2781" s="26" t="s">
        <v>109</v>
      </c>
      <c r="L2781" s="27" t="s">
        <v>119</v>
      </c>
      <c r="M2781" s="10">
        <v>158.84782378481412</v>
      </c>
    </row>
    <row r="2782" spans="11:13" x14ac:dyDescent="0.25">
      <c r="K2782" s="26" t="s">
        <v>109</v>
      </c>
      <c r="L2782" s="27" t="s">
        <v>115</v>
      </c>
      <c r="M2782" s="10">
        <v>0</v>
      </c>
    </row>
    <row r="2783" spans="11:13" x14ac:dyDescent="0.25">
      <c r="K2783" s="26" t="s">
        <v>110</v>
      </c>
      <c r="L2783" s="27" t="s">
        <v>116</v>
      </c>
      <c r="M2783" s="10">
        <v>37.850875178021781</v>
      </c>
    </row>
    <row r="2784" spans="11:13" x14ac:dyDescent="0.25">
      <c r="K2784" s="26" t="s">
        <v>110</v>
      </c>
      <c r="L2784" s="27" t="s">
        <v>117</v>
      </c>
      <c r="M2784" s="10">
        <v>77.160493827160494</v>
      </c>
    </row>
    <row r="2785" spans="11:13" x14ac:dyDescent="0.25">
      <c r="K2785" s="26" t="s">
        <v>109</v>
      </c>
      <c r="L2785" s="27" t="s">
        <v>118</v>
      </c>
      <c r="M2785" s="10">
        <v>88.183421516754848</v>
      </c>
    </row>
    <row r="2786" spans="11:13" x14ac:dyDescent="0.25">
      <c r="K2786" s="26" t="s">
        <v>109</v>
      </c>
      <c r="L2786" s="27" t="s">
        <v>119</v>
      </c>
      <c r="M2786" s="10">
        <v>92.421441774491683</v>
      </c>
    </row>
    <row r="2787" spans="11:13" x14ac:dyDescent="0.25">
      <c r="K2787" s="26" t="s">
        <v>110</v>
      </c>
      <c r="L2787" s="27" t="s">
        <v>115</v>
      </c>
      <c r="M2787" s="10">
        <v>25.696041524803107</v>
      </c>
    </row>
    <row r="2788" spans="11:13" x14ac:dyDescent="0.25">
      <c r="K2788" s="26" t="s">
        <v>110</v>
      </c>
      <c r="L2788" s="27" t="s">
        <v>116</v>
      </c>
      <c r="M2788" s="10">
        <v>17.987229067362172</v>
      </c>
    </row>
    <row r="2789" spans="11:13" x14ac:dyDescent="0.25">
      <c r="K2789" s="26" t="s">
        <v>110</v>
      </c>
      <c r="L2789" s="27" t="s">
        <v>117</v>
      </c>
      <c r="M2789" s="10">
        <v>162.94606485253382</v>
      </c>
    </row>
    <row r="2790" spans="11:13" x14ac:dyDescent="0.25">
      <c r="K2790" s="26" t="s">
        <v>112</v>
      </c>
      <c r="L2790" s="27" t="s">
        <v>118</v>
      </c>
      <c r="M2790" s="10">
        <v>3.77</v>
      </c>
    </row>
    <row r="2791" spans="11:13" x14ac:dyDescent="0.25">
      <c r="K2791" s="26" t="s">
        <v>109</v>
      </c>
      <c r="L2791" s="27" t="s">
        <v>119</v>
      </c>
      <c r="M2791" s="10">
        <v>66.137566137566139</v>
      </c>
    </row>
    <row r="2792" spans="11:13" x14ac:dyDescent="0.25">
      <c r="K2792" s="26" t="s">
        <v>109</v>
      </c>
      <c r="L2792" s="27" t="s">
        <v>115</v>
      </c>
      <c r="M2792" s="10">
        <v>308.07147258163894</v>
      </c>
    </row>
    <row r="2793" spans="11:13" x14ac:dyDescent="0.25">
      <c r="K2793" s="26" t="s">
        <v>110</v>
      </c>
      <c r="L2793" s="27" t="s">
        <v>116</v>
      </c>
      <c r="M2793" s="10">
        <v>154.03573629081947</v>
      </c>
    </row>
    <row r="2794" spans="11:13" x14ac:dyDescent="0.25">
      <c r="K2794" s="26" t="s">
        <v>110</v>
      </c>
      <c r="L2794" s="27" t="s">
        <v>117</v>
      </c>
      <c r="M2794" s="10">
        <v>154.03573629081947</v>
      </c>
    </row>
    <row r="2795" spans="11:13" x14ac:dyDescent="0.25">
      <c r="K2795" s="26" t="s">
        <v>110</v>
      </c>
      <c r="L2795" s="27" t="s">
        <v>118</v>
      </c>
      <c r="M2795" s="10">
        <v>46.210720887245841</v>
      </c>
    </row>
    <row r="2796" spans="11:13" x14ac:dyDescent="0.25">
      <c r="K2796" s="26" t="s">
        <v>110</v>
      </c>
      <c r="L2796" s="27" t="s">
        <v>119</v>
      </c>
      <c r="M2796" s="10">
        <v>462.10720887245844</v>
      </c>
    </row>
    <row r="2797" spans="11:13" x14ac:dyDescent="0.25">
      <c r="K2797" s="26" t="s">
        <v>112</v>
      </c>
      <c r="L2797" s="27" t="s">
        <v>115</v>
      </c>
      <c r="M2797" s="10">
        <v>33.887861983980287</v>
      </c>
    </row>
    <row r="2798" spans="11:13" x14ac:dyDescent="0.25">
      <c r="K2798" s="26" t="s">
        <v>110</v>
      </c>
      <c r="L2798" s="27" t="s">
        <v>116</v>
      </c>
      <c r="M2798" s="10">
        <v>183.17198933939025</v>
      </c>
    </row>
    <row r="2799" spans="11:13" x14ac:dyDescent="0.25">
      <c r="K2799" s="26" t="s">
        <v>110</v>
      </c>
      <c r="L2799" s="27" t="s">
        <v>117</v>
      </c>
      <c r="M2799" s="10">
        <v>45.792997334847563</v>
      </c>
    </row>
    <row r="2800" spans="11:13" x14ac:dyDescent="0.25">
      <c r="K2800" s="26" t="s">
        <v>110</v>
      </c>
      <c r="L2800" s="27" t="s">
        <v>118</v>
      </c>
      <c r="M2800" s="10">
        <v>137.37899200454268</v>
      </c>
    </row>
    <row r="2801" spans="11:13" x14ac:dyDescent="0.25">
      <c r="K2801" s="26" t="s">
        <v>109</v>
      </c>
      <c r="L2801" s="27" t="s">
        <v>119</v>
      </c>
      <c r="M2801" s="10">
        <v>64.110196268786581</v>
      </c>
    </row>
    <row r="2802" spans="11:13" x14ac:dyDescent="0.25">
      <c r="K2802" s="26" t="s">
        <v>109</v>
      </c>
      <c r="L2802" s="27" t="s">
        <v>115</v>
      </c>
      <c r="M2802" s="10">
        <v>84.06654343807763</v>
      </c>
    </row>
    <row r="2803" spans="11:13" x14ac:dyDescent="0.25">
      <c r="K2803" s="26" t="s">
        <v>110</v>
      </c>
      <c r="L2803" s="27" t="s">
        <v>116</v>
      </c>
      <c r="M2803" s="10">
        <v>46.210720887245841</v>
      </c>
    </row>
    <row r="2804" spans="11:13" x14ac:dyDescent="0.25">
      <c r="K2804" s="26" t="s">
        <v>109</v>
      </c>
      <c r="L2804" s="27" t="s">
        <v>117</v>
      </c>
      <c r="M2804" s="10">
        <v>366.3439786787805</v>
      </c>
    </row>
    <row r="2805" spans="11:13" x14ac:dyDescent="0.25">
      <c r="K2805" s="26" t="s">
        <v>109</v>
      </c>
      <c r="L2805" s="27" t="s">
        <v>118</v>
      </c>
      <c r="M2805" s="10">
        <v>183.17198933939025</v>
      </c>
    </row>
    <row r="2806" spans="11:13" x14ac:dyDescent="0.25">
      <c r="K2806" s="26" t="s">
        <v>110</v>
      </c>
      <c r="L2806" s="27" t="s">
        <v>119</v>
      </c>
      <c r="M2806" s="10">
        <v>457.92997334847558</v>
      </c>
    </row>
    <row r="2807" spans="11:13" x14ac:dyDescent="0.25">
      <c r="K2807" s="26" t="s">
        <v>110</v>
      </c>
      <c r="L2807" s="27" t="s">
        <v>115</v>
      </c>
      <c r="M2807" s="10">
        <v>53.536593184170286</v>
      </c>
    </row>
    <row r="2808" spans="11:13" x14ac:dyDescent="0.25">
      <c r="K2808" s="26" t="s">
        <v>109</v>
      </c>
      <c r="L2808" s="27" t="s">
        <v>116</v>
      </c>
      <c r="M2808" s="10">
        <v>55.114638447971785</v>
      </c>
    </row>
    <row r="2809" spans="11:13" x14ac:dyDescent="0.25">
      <c r="K2809" s="26" t="s">
        <v>109</v>
      </c>
      <c r="L2809" s="27" t="s">
        <v>117</v>
      </c>
      <c r="M2809" s="10">
        <v>68.25</v>
      </c>
    </row>
    <row r="2810" spans="11:13" x14ac:dyDescent="0.25">
      <c r="K2810" s="26" t="s">
        <v>112</v>
      </c>
      <c r="L2810" s="27" t="s">
        <v>118</v>
      </c>
      <c r="M2810" s="10">
        <v>551.14638447971777</v>
      </c>
    </row>
    <row r="2811" spans="11:13" x14ac:dyDescent="0.25">
      <c r="K2811" s="26" t="s">
        <v>111</v>
      </c>
      <c r="L2811" s="27" t="s">
        <v>119</v>
      </c>
      <c r="M2811" s="10">
        <v>110.22927689594357</v>
      </c>
    </row>
    <row r="2812" spans="11:13" x14ac:dyDescent="0.25">
      <c r="K2812" s="26" t="s">
        <v>113</v>
      </c>
      <c r="L2812" s="27" t="s">
        <v>115</v>
      </c>
      <c r="M2812" s="10">
        <v>73.2687957357561</v>
      </c>
    </row>
    <row r="2813" spans="11:13" x14ac:dyDescent="0.25">
      <c r="K2813" s="26" t="s">
        <v>113</v>
      </c>
      <c r="L2813" s="27" t="s">
        <v>116</v>
      </c>
      <c r="M2813" s="10">
        <v>73.2687957357561</v>
      </c>
    </row>
    <row r="2814" spans="11:13" x14ac:dyDescent="0.25">
      <c r="K2814" s="26" t="s">
        <v>109</v>
      </c>
      <c r="L2814" s="27" t="s">
        <v>117</v>
      </c>
      <c r="M2814" s="10">
        <v>36.63439786787805</v>
      </c>
    </row>
    <row r="2815" spans="11:13" x14ac:dyDescent="0.25">
      <c r="K2815" s="26" t="s">
        <v>110</v>
      </c>
      <c r="L2815" s="27" t="s">
        <v>118</v>
      </c>
      <c r="M2815" s="10">
        <v>43.892587945451382</v>
      </c>
    </row>
    <row r="2816" spans="11:13" x14ac:dyDescent="0.25">
      <c r="K2816" s="26" t="s">
        <v>109</v>
      </c>
      <c r="L2816" s="27" t="s">
        <v>119</v>
      </c>
      <c r="M2816" s="10">
        <v>0.2</v>
      </c>
    </row>
    <row r="2817" spans="11:13" x14ac:dyDescent="0.25">
      <c r="K2817" s="26" t="s">
        <v>110</v>
      </c>
      <c r="L2817" s="27" t="s">
        <v>115</v>
      </c>
      <c r="M2817" s="10">
        <v>0.2</v>
      </c>
    </row>
    <row r="2818" spans="11:13" x14ac:dyDescent="0.25">
      <c r="K2818" s="26" t="s">
        <v>109</v>
      </c>
      <c r="L2818" s="27" t="s">
        <v>116</v>
      </c>
      <c r="M2818" s="10">
        <v>16.048788316482106</v>
      </c>
    </row>
    <row r="2819" spans="11:13" x14ac:dyDescent="0.25">
      <c r="K2819" s="26" t="s">
        <v>109</v>
      </c>
      <c r="L2819" s="27" t="s">
        <v>117</v>
      </c>
      <c r="M2819" s="10">
        <v>469.06825615141122</v>
      </c>
    </row>
    <row r="2820" spans="11:13" x14ac:dyDescent="0.25">
      <c r="K2820" s="26" t="s">
        <v>110</v>
      </c>
      <c r="L2820" s="27" t="s">
        <v>118</v>
      </c>
      <c r="M2820" s="10">
        <v>31.769564756962826</v>
      </c>
    </row>
    <row r="2821" spans="11:13" x14ac:dyDescent="0.25">
      <c r="K2821" s="26" t="s">
        <v>110</v>
      </c>
      <c r="L2821" s="27" t="s">
        <v>119</v>
      </c>
      <c r="M2821" s="10">
        <v>10.341261633919338</v>
      </c>
    </row>
    <row r="2822" spans="11:13" x14ac:dyDescent="0.25">
      <c r="K2822" s="26" t="s">
        <v>110</v>
      </c>
      <c r="L2822" s="27" t="s">
        <v>115</v>
      </c>
      <c r="M2822" s="10">
        <v>184.84288354898337</v>
      </c>
    </row>
    <row r="2823" spans="11:13" x14ac:dyDescent="0.25">
      <c r="K2823" s="26" t="s">
        <v>110</v>
      </c>
      <c r="L2823" s="27" t="s">
        <v>116</v>
      </c>
      <c r="M2823" s="10">
        <v>154.03573629081947</v>
      </c>
    </row>
    <row r="2824" spans="11:13" x14ac:dyDescent="0.25">
      <c r="K2824" s="26" t="s">
        <v>112</v>
      </c>
      <c r="L2824" s="27" t="s">
        <v>117</v>
      </c>
      <c r="M2824" s="10">
        <v>30.492697801316002</v>
      </c>
    </row>
    <row r="2825" spans="11:13" x14ac:dyDescent="0.25">
      <c r="K2825" s="26" t="s">
        <v>111</v>
      </c>
      <c r="L2825" s="27" t="s">
        <v>118</v>
      </c>
      <c r="M2825" s="10">
        <v>46.210720887245841</v>
      </c>
    </row>
    <row r="2826" spans="11:13" x14ac:dyDescent="0.25">
      <c r="K2826" s="26" t="s">
        <v>111</v>
      </c>
      <c r="L2826" s="27" t="s">
        <v>119</v>
      </c>
      <c r="M2826" s="10">
        <v>308.07147258163894</v>
      </c>
    </row>
    <row r="2827" spans="11:13" x14ac:dyDescent="0.25">
      <c r="K2827" s="26" t="s">
        <v>112</v>
      </c>
      <c r="L2827" s="27" t="s">
        <v>115</v>
      </c>
      <c r="M2827" s="10">
        <v>77.017868145409736</v>
      </c>
    </row>
    <row r="2828" spans="11:13" x14ac:dyDescent="0.25">
      <c r="K2828" s="26" t="s">
        <v>110</v>
      </c>
      <c r="L2828" s="27" t="s">
        <v>116</v>
      </c>
      <c r="M2828" s="10">
        <v>100</v>
      </c>
    </row>
    <row r="2829" spans="11:13" x14ac:dyDescent="0.25">
      <c r="K2829" s="26" t="s">
        <v>109</v>
      </c>
      <c r="L2829" s="27" t="s">
        <v>117</v>
      </c>
      <c r="M2829" s="10">
        <v>36.081481481481482</v>
      </c>
    </row>
    <row r="2830" spans="11:13" x14ac:dyDescent="0.25">
      <c r="K2830" s="26" t="s">
        <v>109</v>
      </c>
      <c r="L2830" s="27" t="s">
        <v>118</v>
      </c>
      <c r="M2830" s="10">
        <v>8.0243941582410532</v>
      </c>
    </row>
    <row r="2831" spans="11:13" x14ac:dyDescent="0.25">
      <c r="K2831" s="26" t="s">
        <v>109</v>
      </c>
      <c r="L2831" s="27" t="s">
        <v>119</v>
      </c>
      <c r="M2831" s="10">
        <v>48.259220958290243</v>
      </c>
    </row>
    <row r="2832" spans="11:13" x14ac:dyDescent="0.25">
      <c r="K2832" s="26" t="s">
        <v>110</v>
      </c>
      <c r="L2832" s="27" t="s">
        <v>115</v>
      </c>
      <c r="M2832" s="10">
        <v>64.805239572561192</v>
      </c>
    </row>
    <row r="2833" spans="11:13" x14ac:dyDescent="0.25">
      <c r="K2833" s="26" t="s">
        <v>112</v>
      </c>
      <c r="L2833" s="27" t="s">
        <v>116</v>
      </c>
      <c r="M2833" s="10">
        <v>3.4470872113064459</v>
      </c>
    </row>
    <row r="2834" spans="11:13" x14ac:dyDescent="0.25">
      <c r="K2834" s="26" t="s">
        <v>111</v>
      </c>
      <c r="L2834" s="27" t="s">
        <v>117</v>
      </c>
      <c r="M2834" s="10">
        <v>5.1392083049606212</v>
      </c>
    </row>
    <row r="2835" spans="11:13" x14ac:dyDescent="0.25">
      <c r="K2835" s="26" t="s">
        <v>111</v>
      </c>
      <c r="L2835" s="27" t="s">
        <v>118</v>
      </c>
      <c r="M2835" s="10">
        <v>86.177180282661155</v>
      </c>
    </row>
    <row r="2836" spans="11:13" x14ac:dyDescent="0.25">
      <c r="K2836" s="26" t="s">
        <v>112</v>
      </c>
      <c r="L2836" s="27" t="s">
        <v>119</v>
      </c>
      <c r="M2836" s="10">
        <v>103.41261633919338</v>
      </c>
    </row>
    <row r="2837" spans="11:13" x14ac:dyDescent="0.25">
      <c r="K2837" s="26" t="s">
        <v>112</v>
      </c>
      <c r="L2837" s="27" t="s">
        <v>115</v>
      </c>
      <c r="M2837" s="10">
        <v>2.7576697690451564</v>
      </c>
    </row>
    <row r="2838" spans="11:13" x14ac:dyDescent="0.25">
      <c r="K2838" s="26" t="s">
        <v>111</v>
      </c>
      <c r="L2838" s="27" t="s">
        <v>116</v>
      </c>
      <c r="M2838" s="10">
        <v>58.093209238193722</v>
      </c>
    </row>
    <row r="2839" spans="11:13" x14ac:dyDescent="0.25">
      <c r="K2839" s="26" t="s">
        <v>111</v>
      </c>
      <c r="L2839" s="27" t="s">
        <v>117</v>
      </c>
      <c r="M2839" s="10">
        <v>55.114638447971785</v>
      </c>
    </row>
    <row r="2840" spans="11:13" x14ac:dyDescent="0.25">
      <c r="K2840" s="26" t="s">
        <v>111</v>
      </c>
      <c r="L2840" s="27" t="s">
        <v>118</v>
      </c>
      <c r="M2840" s="10">
        <v>92.421441774491683</v>
      </c>
    </row>
    <row r="2841" spans="11:13" x14ac:dyDescent="0.25">
      <c r="K2841" s="26" t="s">
        <v>111</v>
      </c>
      <c r="L2841" s="27" t="s">
        <v>119</v>
      </c>
      <c r="M2841" s="10">
        <v>6.8437347238064206</v>
      </c>
    </row>
    <row r="2842" spans="11:13" x14ac:dyDescent="0.25">
      <c r="K2842" s="26" t="s">
        <v>109</v>
      </c>
      <c r="L2842" s="27" t="s">
        <v>115</v>
      </c>
      <c r="M2842" s="10">
        <v>237.5</v>
      </c>
    </row>
    <row r="2843" spans="11:13" x14ac:dyDescent="0.25">
      <c r="K2843" s="26" t="s">
        <v>109</v>
      </c>
      <c r="L2843" s="27" t="s">
        <v>116</v>
      </c>
      <c r="M2843" s="10">
        <v>165.34391534391534</v>
      </c>
    </row>
    <row r="2844" spans="11:13" x14ac:dyDescent="0.25">
      <c r="K2844" s="26" t="s">
        <v>111</v>
      </c>
      <c r="L2844" s="27" t="s">
        <v>117</v>
      </c>
      <c r="M2844" s="10">
        <v>37.206275554738824</v>
      </c>
    </row>
    <row r="2845" spans="11:13" x14ac:dyDescent="0.25">
      <c r="K2845" s="26" t="s">
        <v>111</v>
      </c>
      <c r="L2845" s="27" t="s">
        <v>118</v>
      </c>
      <c r="M2845" s="10">
        <v>6.2718898153739415</v>
      </c>
    </row>
    <row r="2846" spans="11:13" x14ac:dyDescent="0.25">
      <c r="K2846" s="26" t="s">
        <v>111</v>
      </c>
      <c r="L2846" s="27" t="s">
        <v>119</v>
      </c>
      <c r="M2846" s="10">
        <v>7.4429355157837938</v>
      </c>
    </row>
    <row r="2847" spans="11:13" x14ac:dyDescent="0.25">
      <c r="K2847" s="26" t="s">
        <v>109</v>
      </c>
      <c r="L2847" s="27" t="s">
        <v>115</v>
      </c>
      <c r="M2847" s="10">
        <v>15.403573629081947</v>
      </c>
    </row>
    <row r="2848" spans="11:13" x14ac:dyDescent="0.25">
      <c r="K2848" s="26" t="s">
        <v>109</v>
      </c>
      <c r="L2848" s="27" t="s">
        <v>116</v>
      </c>
      <c r="M2848" s="10">
        <v>36.068827160493825</v>
      </c>
    </row>
    <row r="2849" spans="11:13" x14ac:dyDescent="0.25">
      <c r="K2849" s="26" t="s">
        <v>111</v>
      </c>
      <c r="L2849" s="27" t="s">
        <v>117</v>
      </c>
      <c r="M2849" s="10">
        <v>4.3874559082892421</v>
      </c>
    </row>
    <row r="2850" spans="11:13" x14ac:dyDescent="0.25">
      <c r="K2850" s="26" t="s">
        <v>111</v>
      </c>
      <c r="L2850" s="27" t="s">
        <v>118</v>
      </c>
      <c r="M2850" s="10">
        <v>30.807147258163894</v>
      </c>
    </row>
    <row r="2851" spans="11:13" x14ac:dyDescent="0.25">
      <c r="K2851" s="26" t="s">
        <v>114</v>
      </c>
      <c r="L2851" s="27" t="s">
        <v>119</v>
      </c>
      <c r="M2851" s="10">
        <v>30.807147258163894</v>
      </c>
    </row>
    <row r="2852" spans="11:13" x14ac:dyDescent="0.25">
      <c r="K2852" s="26" t="s">
        <v>114</v>
      </c>
      <c r="L2852" s="27" t="s">
        <v>115</v>
      </c>
      <c r="M2852" s="10">
        <v>46.210720887245841</v>
      </c>
    </row>
    <row r="2853" spans="11:13" x14ac:dyDescent="0.25">
      <c r="K2853" s="26" t="s">
        <v>109</v>
      </c>
      <c r="L2853" s="27" t="s">
        <v>116</v>
      </c>
      <c r="M2853" s="10">
        <v>77.017868145409736</v>
      </c>
    </row>
    <row r="2854" spans="11:13" x14ac:dyDescent="0.25">
      <c r="K2854" s="26" t="s">
        <v>109</v>
      </c>
      <c r="L2854" s="27" t="s">
        <v>117</v>
      </c>
      <c r="M2854" s="10">
        <v>169.43930991990143</v>
      </c>
    </row>
    <row r="2855" spans="11:13" x14ac:dyDescent="0.25">
      <c r="K2855" s="26" t="s">
        <v>112</v>
      </c>
      <c r="L2855" s="27" t="s">
        <v>118</v>
      </c>
      <c r="M2855" s="10">
        <v>154.03573629081947</v>
      </c>
    </row>
    <row r="2856" spans="11:13" x14ac:dyDescent="0.25">
      <c r="K2856" s="26" t="s">
        <v>111</v>
      </c>
      <c r="L2856" s="27" t="s">
        <v>119</v>
      </c>
      <c r="M2856" s="10">
        <v>4.0121970791205266</v>
      </c>
    </row>
    <row r="2857" spans="11:13" x14ac:dyDescent="0.25">
      <c r="K2857" s="26" t="s">
        <v>109</v>
      </c>
      <c r="L2857" s="27" t="s">
        <v>115</v>
      </c>
      <c r="M2857" s="10">
        <v>80.243941582410528</v>
      </c>
    </row>
    <row r="2858" spans="11:13" x14ac:dyDescent="0.25">
      <c r="K2858" s="26" t="s">
        <v>114</v>
      </c>
      <c r="L2858" s="27" t="s">
        <v>116</v>
      </c>
      <c r="M2858" s="10">
        <v>18.92543758901089</v>
      </c>
    </row>
    <row r="2859" spans="11:13" x14ac:dyDescent="0.25">
      <c r="K2859" s="26" t="s">
        <v>114</v>
      </c>
      <c r="L2859" s="27" t="s">
        <v>117</v>
      </c>
      <c r="M2859" s="10">
        <v>87.5</v>
      </c>
    </row>
    <row r="2860" spans="11:13" x14ac:dyDescent="0.25">
      <c r="K2860" s="26" t="s">
        <v>110</v>
      </c>
      <c r="L2860" s="27" t="s">
        <v>118</v>
      </c>
      <c r="M2860" s="10">
        <v>300</v>
      </c>
    </row>
    <row r="2861" spans="11:13" x14ac:dyDescent="0.25">
      <c r="K2861" s="26" t="s">
        <v>110</v>
      </c>
      <c r="L2861" s="27" t="s">
        <v>119</v>
      </c>
      <c r="M2861" s="10">
        <v>293.80264550264553</v>
      </c>
    </row>
    <row r="2862" spans="11:13" x14ac:dyDescent="0.25">
      <c r="K2862" s="26" t="s">
        <v>110</v>
      </c>
      <c r="L2862" s="27" t="s">
        <v>115</v>
      </c>
      <c r="M2862" s="10">
        <v>0.56481481481481477</v>
      </c>
    </row>
    <row r="2863" spans="11:13" x14ac:dyDescent="0.25">
      <c r="K2863" s="26" t="s">
        <v>110</v>
      </c>
      <c r="L2863" s="27" t="s">
        <v>116</v>
      </c>
      <c r="M2863" s="10">
        <v>69.316081330868769</v>
      </c>
    </row>
    <row r="2864" spans="11:13" x14ac:dyDescent="0.25">
      <c r="K2864" s="26" t="s">
        <v>110</v>
      </c>
      <c r="L2864" s="27" t="s">
        <v>117</v>
      </c>
      <c r="M2864" s="10">
        <v>3.77</v>
      </c>
    </row>
    <row r="2865" spans="11:13" x14ac:dyDescent="0.25">
      <c r="K2865" s="26" t="s">
        <v>109</v>
      </c>
      <c r="L2865" s="27" t="s">
        <v>118</v>
      </c>
      <c r="M2865" s="10">
        <v>64.24010381200776</v>
      </c>
    </row>
    <row r="2866" spans="11:13" x14ac:dyDescent="0.25">
      <c r="K2866" s="26" t="s">
        <v>109</v>
      </c>
      <c r="L2866" s="27" t="s">
        <v>119</v>
      </c>
      <c r="M2866" s="10">
        <v>52.949274594938046</v>
      </c>
    </row>
    <row r="2867" spans="11:13" x14ac:dyDescent="0.25">
      <c r="K2867" s="26" t="s">
        <v>109</v>
      </c>
      <c r="L2867" s="27" t="s">
        <v>115</v>
      </c>
      <c r="M2867" s="10">
        <v>44.091710758377424</v>
      </c>
    </row>
    <row r="2868" spans="11:13" x14ac:dyDescent="0.25">
      <c r="K2868" s="26" t="s">
        <v>109</v>
      </c>
      <c r="L2868" s="27" t="s">
        <v>116</v>
      </c>
      <c r="M2868" s="10">
        <v>44.091710758377424</v>
      </c>
    </row>
    <row r="2869" spans="11:13" x14ac:dyDescent="0.25">
      <c r="K2869" s="26" t="s">
        <v>110</v>
      </c>
      <c r="L2869" s="27" t="s">
        <v>117</v>
      </c>
      <c r="M2869" s="10">
        <v>48.967151675485006</v>
      </c>
    </row>
    <row r="2870" spans="11:13" x14ac:dyDescent="0.25">
      <c r="K2870" s="26" t="s">
        <v>110</v>
      </c>
      <c r="L2870" s="27" t="s">
        <v>118</v>
      </c>
      <c r="M2870" s="10">
        <v>110.22927689594357</v>
      </c>
    </row>
    <row r="2871" spans="11:13" x14ac:dyDescent="0.25">
      <c r="K2871" s="26" t="s">
        <v>111</v>
      </c>
      <c r="L2871" s="27" t="s">
        <v>119</v>
      </c>
      <c r="M2871" s="10">
        <v>924.64280792024624</v>
      </c>
    </row>
    <row r="2872" spans="11:13" x14ac:dyDescent="0.25">
      <c r="K2872" s="26" t="s">
        <v>111</v>
      </c>
      <c r="L2872" s="27" t="s">
        <v>115</v>
      </c>
      <c r="M2872" s="10">
        <v>158.73015873015873</v>
      </c>
    </row>
    <row r="2873" spans="11:13" x14ac:dyDescent="0.25">
      <c r="K2873" s="26" t="s">
        <v>109</v>
      </c>
      <c r="L2873" s="27" t="s">
        <v>116</v>
      </c>
      <c r="M2873" s="10">
        <v>32.12005190600388</v>
      </c>
    </row>
    <row r="2874" spans="11:13" x14ac:dyDescent="0.25">
      <c r="K2874" s="26" t="s">
        <v>110</v>
      </c>
      <c r="L2874" s="27" t="s">
        <v>117</v>
      </c>
      <c r="M2874" s="10">
        <v>64.75516099949327</v>
      </c>
    </row>
    <row r="2875" spans="11:13" x14ac:dyDescent="0.25">
      <c r="K2875" s="26" t="s">
        <v>110</v>
      </c>
      <c r="L2875" s="27" t="s">
        <v>118</v>
      </c>
      <c r="M2875" s="10">
        <v>44.091710758377424</v>
      </c>
    </row>
    <row r="2876" spans="11:13" x14ac:dyDescent="0.25">
      <c r="K2876" s="26" t="s">
        <v>110</v>
      </c>
      <c r="L2876" s="27" t="s">
        <v>119</v>
      </c>
      <c r="M2876" s="10">
        <v>108.38031423290204</v>
      </c>
    </row>
    <row r="2877" spans="11:13" x14ac:dyDescent="0.25">
      <c r="K2877" s="26" t="s">
        <v>110</v>
      </c>
      <c r="L2877" s="27" t="s">
        <v>115</v>
      </c>
      <c r="M2877" s="10">
        <v>83.17929759704252</v>
      </c>
    </row>
    <row r="2878" spans="11:13" x14ac:dyDescent="0.25">
      <c r="K2878" s="26" t="s">
        <v>109</v>
      </c>
      <c r="L2878" s="27" t="s">
        <v>116</v>
      </c>
      <c r="M2878" s="10">
        <v>126.30930375847197</v>
      </c>
    </row>
    <row r="2879" spans="11:13" x14ac:dyDescent="0.25">
      <c r="K2879" s="26" t="s">
        <v>109</v>
      </c>
      <c r="L2879" s="27" t="s">
        <v>117</v>
      </c>
      <c r="M2879" s="10">
        <v>36.968576709796672</v>
      </c>
    </row>
    <row r="2880" spans="11:13" x14ac:dyDescent="0.25">
      <c r="K2880" s="26" t="s">
        <v>109</v>
      </c>
      <c r="L2880" s="27" t="s">
        <v>118</v>
      </c>
      <c r="M2880" s="10">
        <v>40.049291435613064</v>
      </c>
    </row>
    <row r="2881" spans="11:13" x14ac:dyDescent="0.25">
      <c r="K2881" s="26" t="s">
        <v>109</v>
      </c>
      <c r="L2881" s="27" t="s">
        <v>119</v>
      </c>
      <c r="M2881" s="10">
        <v>132.27513227513228</v>
      </c>
    </row>
    <row r="2882" spans="11:13" x14ac:dyDescent="0.25">
      <c r="K2882" s="26" t="s">
        <v>111</v>
      </c>
      <c r="L2882" s="27" t="s">
        <v>115</v>
      </c>
      <c r="M2882" s="10">
        <v>132.27513227513228</v>
      </c>
    </row>
    <row r="2883" spans="11:13" x14ac:dyDescent="0.25">
      <c r="K2883" s="26" t="s">
        <v>110</v>
      </c>
      <c r="L2883" s="27" t="s">
        <v>116</v>
      </c>
      <c r="M2883" s="10">
        <v>86.177180282661155</v>
      </c>
    </row>
    <row r="2884" spans="11:13" x14ac:dyDescent="0.25">
      <c r="K2884" s="26" t="s">
        <v>110</v>
      </c>
      <c r="L2884" s="27" t="s">
        <v>117</v>
      </c>
      <c r="M2884" s="10">
        <v>91.91461626201729</v>
      </c>
    </row>
    <row r="2885" spans="11:13" x14ac:dyDescent="0.25">
      <c r="K2885" s="26" t="s">
        <v>109</v>
      </c>
      <c r="L2885" s="27" t="s">
        <v>118</v>
      </c>
      <c r="M2885" s="10">
        <v>121.25220458553792</v>
      </c>
    </row>
    <row r="2886" spans="11:13" x14ac:dyDescent="0.25">
      <c r="K2886" s="26" t="s">
        <v>110</v>
      </c>
      <c r="L2886" s="27" t="s">
        <v>119</v>
      </c>
      <c r="M2886" s="10">
        <v>11.022927689594356</v>
      </c>
    </row>
    <row r="2887" spans="11:13" x14ac:dyDescent="0.25">
      <c r="K2887" s="26" t="s">
        <v>110</v>
      </c>
      <c r="L2887" s="27" t="s">
        <v>115</v>
      </c>
      <c r="M2887" s="10">
        <v>102.78416609921243</v>
      </c>
    </row>
    <row r="2888" spans="11:13" x14ac:dyDescent="0.25">
      <c r="K2888" s="26" t="s">
        <v>110</v>
      </c>
      <c r="L2888" s="27" t="s">
        <v>116</v>
      </c>
      <c r="M2888" s="10">
        <v>44.091710758377424</v>
      </c>
    </row>
    <row r="2889" spans="11:13" x14ac:dyDescent="0.25">
      <c r="K2889" s="26" t="s">
        <v>110</v>
      </c>
      <c r="L2889" s="27" t="s">
        <v>117</v>
      </c>
      <c r="M2889" s="10">
        <v>44.091710758377424</v>
      </c>
    </row>
    <row r="2890" spans="11:13" x14ac:dyDescent="0.25">
      <c r="K2890" s="26" t="s">
        <v>109</v>
      </c>
      <c r="L2890" s="27" t="s">
        <v>118</v>
      </c>
      <c r="M2890" s="10">
        <v>110.22927689594357</v>
      </c>
    </row>
    <row r="2891" spans="11:13" x14ac:dyDescent="0.25">
      <c r="K2891" s="26" t="s">
        <v>109</v>
      </c>
      <c r="L2891" s="27" t="s">
        <v>119</v>
      </c>
      <c r="M2891" s="10">
        <v>220.45855379188714</v>
      </c>
    </row>
    <row r="2892" spans="11:13" x14ac:dyDescent="0.25">
      <c r="K2892" s="26" t="s">
        <v>109</v>
      </c>
      <c r="L2892" s="27" t="s">
        <v>115</v>
      </c>
      <c r="M2892" s="10">
        <v>8818.3421516754843</v>
      </c>
    </row>
    <row r="2893" spans="11:13" x14ac:dyDescent="0.25">
      <c r="K2893" s="26" t="s">
        <v>111</v>
      </c>
      <c r="L2893" s="27" t="s">
        <v>116</v>
      </c>
      <c r="M2893" s="10">
        <v>176.3668430335097</v>
      </c>
    </row>
    <row r="2894" spans="11:13" x14ac:dyDescent="0.25">
      <c r="K2894" s="26" t="s">
        <v>110</v>
      </c>
      <c r="L2894" s="27" t="s">
        <v>117</v>
      </c>
      <c r="M2894" s="10">
        <v>77.017868145409736</v>
      </c>
    </row>
    <row r="2895" spans="11:13" x14ac:dyDescent="0.25">
      <c r="K2895" s="26" t="s">
        <v>111</v>
      </c>
      <c r="L2895" s="27" t="s">
        <v>118</v>
      </c>
      <c r="M2895" s="10">
        <v>92.421441774491683</v>
      </c>
    </row>
    <row r="2896" spans="11:13" x14ac:dyDescent="0.25">
      <c r="K2896" s="26" t="s">
        <v>114</v>
      </c>
      <c r="L2896" s="27" t="s">
        <v>119</v>
      </c>
      <c r="M2896" s="10">
        <v>88.183421516754848</v>
      </c>
    </row>
    <row r="2897" spans="11:13" x14ac:dyDescent="0.25">
      <c r="K2897" s="26" t="s">
        <v>114</v>
      </c>
      <c r="L2897" s="27" t="s">
        <v>115</v>
      </c>
      <c r="M2897" s="10">
        <v>44.091710758377424</v>
      </c>
    </row>
    <row r="2898" spans="11:13" x14ac:dyDescent="0.25">
      <c r="K2898" s="26" t="s">
        <v>109</v>
      </c>
      <c r="L2898" s="27" t="s">
        <v>116</v>
      </c>
      <c r="M2898" s="10">
        <v>100</v>
      </c>
    </row>
    <row r="2899" spans="11:13" x14ac:dyDescent="0.25">
      <c r="K2899" s="26" t="s">
        <v>110</v>
      </c>
      <c r="L2899" s="27" t="s">
        <v>117</v>
      </c>
      <c r="M2899" s="10">
        <v>770.17868145409739</v>
      </c>
    </row>
    <row r="2900" spans="11:13" x14ac:dyDescent="0.25">
      <c r="K2900" s="26" t="s">
        <v>110</v>
      </c>
      <c r="L2900" s="27" t="s">
        <v>118</v>
      </c>
      <c r="M2900" s="10">
        <v>84.718839351900883</v>
      </c>
    </row>
    <row r="2901" spans="11:13" x14ac:dyDescent="0.25">
      <c r="K2901" s="26" t="s">
        <v>109</v>
      </c>
      <c r="L2901" s="27" t="s">
        <v>119</v>
      </c>
      <c r="M2901" s="10">
        <v>77.017868145409736</v>
      </c>
    </row>
    <row r="2902" spans="11:13" x14ac:dyDescent="0.25">
      <c r="K2902" s="26" t="s">
        <v>109</v>
      </c>
      <c r="L2902" s="27" t="s">
        <v>115</v>
      </c>
      <c r="M2902" s="10">
        <v>285.17500000000001</v>
      </c>
    </row>
    <row r="2903" spans="11:13" x14ac:dyDescent="0.25">
      <c r="K2903" s="26" t="s">
        <v>109</v>
      </c>
      <c r="L2903" s="27" t="s">
        <v>116</v>
      </c>
      <c r="M2903" s="10">
        <v>77.017868145409736</v>
      </c>
    </row>
    <row r="2904" spans="11:13" x14ac:dyDescent="0.25">
      <c r="K2904" s="26" t="s">
        <v>109</v>
      </c>
      <c r="L2904" s="27" t="s">
        <v>117</v>
      </c>
      <c r="M2904" s="10">
        <v>105.89854918987609</v>
      </c>
    </row>
    <row r="2905" spans="11:13" x14ac:dyDescent="0.25">
      <c r="K2905" s="26" t="s">
        <v>110</v>
      </c>
      <c r="L2905" s="27" t="s">
        <v>118</v>
      </c>
      <c r="M2905" s="10">
        <v>317.69564756962825</v>
      </c>
    </row>
    <row r="2906" spans="11:13" x14ac:dyDescent="0.25">
      <c r="K2906" s="26" t="s">
        <v>111</v>
      </c>
      <c r="L2906" s="27" t="s">
        <v>119</v>
      </c>
      <c r="M2906" s="10">
        <v>81.473032426266911</v>
      </c>
    </row>
    <row r="2907" spans="11:13" x14ac:dyDescent="0.25">
      <c r="K2907" s="26" t="s">
        <v>114</v>
      </c>
      <c r="L2907" s="27" t="s">
        <v>115</v>
      </c>
      <c r="M2907" s="10">
        <v>24.260628465804068</v>
      </c>
    </row>
    <row r="2908" spans="11:13" x14ac:dyDescent="0.25">
      <c r="K2908" s="26" t="s">
        <v>114</v>
      </c>
      <c r="L2908" s="27" t="s">
        <v>116</v>
      </c>
      <c r="M2908" s="10">
        <v>24.260628465804068</v>
      </c>
    </row>
    <row r="2909" spans="11:13" x14ac:dyDescent="0.25">
      <c r="K2909" s="26" t="s">
        <v>109</v>
      </c>
      <c r="L2909" s="27" t="s">
        <v>117</v>
      </c>
      <c r="M2909" s="10">
        <v>24.260628465804068</v>
      </c>
    </row>
    <row r="2910" spans="11:13" x14ac:dyDescent="0.25">
      <c r="K2910" s="26" t="s">
        <v>110</v>
      </c>
      <c r="L2910" s="27" t="s">
        <v>118</v>
      </c>
      <c r="M2910" s="10">
        <v>24.260628465804068</v>
      </c>
    </row>
    <row r="2911" spans="11:13" x14ac:dyDescent="0.25">
      <c r="K2911" s="26" t="s">
        <v>110</v>
      </c>
      <c r="L2911" s="27" t="s">
        <v>119</v>
      </c>
      <c r="M2911" s="10">
        <v>24.260628465804068</v>
      </c>
    </row>
    <row r="2912" spans="11:13" x14ac:dyDescent="0.25">
      <c r="K2912" s="26" t="s">
        <v>109</v>
      </c>
      <c r="L2912" s="27" t="s">
        <v>115</v>
      </c>
      <c r="M2912" s="10">
        <v>24.260628465804068</v>
      </c>
    </row>
    <row r="2913" spans="11:13" x14ac:dyDescent="0.25">
      <c r="K2913" s="26" t="s">
        <v>110</v>
      </c>
      <c r="L2913" s="27" t="s">
        <v>116</v>
      </c>
      <c r="M2913" s="10">
        <v>84.718839351900883</v>
      </c>
    </row>
    <row r="2914" spans="11:13" x14ac:dyDescent="0.25">
      <c r="K2914" s="26" t="s">
        <v>110</v>
      </c>
      <c r="L2914" s="27" t="s">
        <v>117</v>
      </c>
      <c r="M2914" s="10">
        <v>84.718839351900883</v>
      </c>
    </row>
    <row r="2915" spans="11:13" x14ac:dyDescent="0.25">
      <c r="K2915" s="26" t="s">
        <v>111</v>
      </c>
      <c r="L2915" s="27" t="s">
        <v>118</v>
      </c>
      <c r="M2915" s="10">
        <v>211.79709837975219</v>
      </c>
    </row>
    <row r="2916" spans="11:13" x14ac:dyDescent="0.25">
      <c r="K2916" s="26" t="s">
        <v>111</v>
      </c>
      <c r="L2916" s="27" t="s">
        <v>119</v>
      </c>
      <c r="M2916" s="10">
        <v>26.455026455026456</v>
      </c>
    </row>
    <row r="2917" spans="11:13" x14ac:dyDescent="0.25">
      <c r="K2917" s="26" t="s">
        <v>110</v>
      </c>
      <c r="L2917" s="27" t="s">
        <v>115</v>
      </c>
      <c r="M2917" s="10">
        <v>100.2145619467321</v>
      </c>
    </row>
    <row r="2918" spans="11:13" x14ac:dyDescent="0.25">
      <c r="K2918" s="26" t="s">
        <v>110</v>
      </c>
      <c r="L2918" s="27" t="s">
        <v>116</v>
      </c>
      <c r="M2918" s="10">
        <v>183.17198933939025</v>
      </c>
    </row>
    <row r="2919" spans="11:13" x14ac:dyDescent="0.25">
      <c r="K2919" s="26" t="s">
        <v>110</v>
      </c>
      <c r="L2919" s="27" t="s">
        <v>117</v>
      </c>
      <c r="M2919" s="10">
        <v>90</v>
      </c>
    </row>
    <row r="2920" spans="11:13" x14ac:dyDescent="0.25">
      <c r="K2920" s="26" t="s">
        <v>113</v>
      </c>
      <c r="L2920" s="27" t="s">
        <v>118</v>
      </c>
      <c r="M2920" s="10">
        <v>391.73686067019401</v>
      </c>
    </row>
    <row r="2921" spans="11:13" x14ac:dyDescent="0.25">
      <c r="K2921" s="26" t="s">
        <v>114</v>
      </c>
      <c r="L2921" s="27" t="s">
        <v>119</v>
      </c>
      <c r="M2921" s="10">
        <v>82.730093071354702</v>
      </c>
    </row>
    <row r="2922" spans="11:13" x14ac:dyDescent="0.25">
      <c r="K2922" s="26" t="s">
        <v>114</v>
      </c>
      <c r="L2922" s="27" t="s">
        <v>115</v>
      </c>
      <c r="M2922" s="10">
        <v>211.79709837975219</v>
      </c>
    </row>
    <row r="2923" spans="11:13" x14ac:dyDescent="0.25">
      <c r="K2923" s="26" t="s">
        <v>111</v>
      </c>
      <c r="L2923" s="27" t="s">
        <v>116</v>
      </c>
      <c r="M2923" s="10">
        <v>88.183421516754848</v>
      </c>
    </row>
    <row r="2924" spans="11:13" x14ac:dyDescent="0.25">
      <c r="K2924" s="26" t="s">
        <v>109</v>
      </c>
      <c r="L2924" s="27" t="s">
        <v>117</v>
      </c>
      <c r="M2924" s="10">
        <v>99.206349206349202</v>
      </c>
    </row>
    <row r="2925" spans="11:13" x14ac:dyDescent="0.25">
      <c r="K2925" s="26" t="s">
        <v>110</v>
      </c>
      <c r="L2925" s="27" t="s">
        <v>118</v>
      </c>
      <c r="M2925" s="10">
        <v>100.71966490299823</v>
      </c>
    </row>
    <row r="2926" spans="11:13" x14ac:dyDescent="0.25">
      <c r="K2926" s="26" t="s">
        <v>110</v>
      </c>
      <c r="L2926" s="27" t="s">
        <v>119</v>
      </c>
      <c r="M2926" s="10">
        <v>77.088124574409321</v>
      </c>
    </row>
    <row r="2927" spans="11:13" x14ac:dyDescent="0.25">
      <c r="K2927" s="26" t="s">
        <v>109</v>
      </c>
      <c r="L2927" s="27" t="s">
        <v>115</v>
      </c>
      <c r="M2927" s="10">
        <v>68.941744226128904</v>
      </c>
    </row>
    <row r="2928" spans="11:13" x14ac:dyDescent="0.25">
      <c r="K2928" s="26" t="s">
        <v>109</v>
      </c>
      <c r="L2928" s="27" t="s">
        <v>116</v>
      </c>
      <c r="M2928" s="10">
        <v>3.2904045223319754E-5</v>
      </c>
    </row>
    <row r="2929" spans="11:13" x14ac:dyDescent="0.25">
      <c r="K2929" s="26" t="s">
        <v>110</v>
      </c>
      <c r="L2929" s="27" t="s">
        <v>117</v>
      </c>
      <c r="M2929" s="10">
        <v>51.706308169596689</v>
      </c>
    </row>
    <row r="2930" spans="11:13" x14ac:dyDescent="0.25">
      <c r="K2930" s="26" t="s">
        <v>110</v>
      </c>
      <c r="L2930" s="27" t="s">
        <v>118</v>
      </c>
      <c r="M2930" s="10">
        <v>88.183421516754848</v>
      </c>
    </row>
    <row r="2931" spans="11:13" x14ac:dyDescent="0.25">
      <c r="K2931" s="26" t="s">
        <v>111</v>
      </c>
      <c r="L2931" s="27" t="s">
        <v>119</v>
      </c>
      <c r="M2931" s="10">
        <v>55.114638447971785</v>
      </c>
    </row>
    <row r="2932" spans="11:13" x14ac:dyDescent="0.25">
      <c r="K2932" s="26" t="s">
        <v>111</v>
      </c>
      <c r="L2932" s="27" t="s">
        <v>115</v>
      </c>
      <c r="M2932" s="10">
        <v>202.57677659833075</v>
      </c>
    </row>
    <row r="2933" spans="11:13" x14ac:dyDescent="0.25">
      <c r="K2933" s="26" t="s">
        <v>110</v>
      </c>
      <c r="L2933" s="27" t="s">
        <v>116</v>
      </c>
      <c r="M2933" s="10">
        <v>69.689206377757515</v>
      </c>
    </row>
    <row r="2934" spans="11:13" x14ac:dyDescent="0.25">
      <c r="K2934" s="26" t="s">
        <v>110</v>
      </c>
      <c r="L2934" s="27" t="s">
        <v>117</v>
      </c>
      <c r="M2934" s="10">
        <v>68.941744226128904</v>
      </c>
    </row>
    <row r="2935" spans="11:13" x14ac:dyDescent="0.25">
      <c r="K2935" s="26" t="s">
        <v>111</v>
      </c>
      <c r="L2935" s="27" t="s">
        <v>118</v>
      </c>
      <c r="M2935" s="10">
        <v>86.177180282661155</v>
      </c>
    </row>
    <row r="2936" spans="11:13" x14ac:dyDescent="0.25">
      <c r="K2936" s="26" t="s">
        <v>111</v>
      </c>
      <c r="L2936" s="27" t="s">
        <v>119</v>
      </c>
      <c r="M2936" s="10">
        <v>68.941744226128904</v>
      </c>
    </row>
    <row r="2937" spans="11:13" x14ac:dyDescent="0.25">
      <c r="K2937" s="26" t="s">
        <v>114</v>
      </c>
      <c r="L2937" s="27" t="s">
        <v>115</v>
      </c>
      <c r="M2937" s="10">
        <v>86.177180282661155</v>
      </c>
    </row>
    <row r="2938" spans="11:13" x14ac:dyDescent="0.25">
      <c r="K2938" s="26" t="s">
        <v>114</v>
      </c>
      <c r="L2938" s="27" t="s">
        <v>116</v>
      </c>
      <c r="M2938" s="10">
        <v>68.941744226128904</v>
      </c>
    </row>
    <row r="2939" spans="11:13" x14ac:dyDescent="0.25">
      <c r="K2939" s="26" t="s">
        <v>111</v>
      </c>
      <c r="L2939" s="27" t="s">
        <v>117</v>
      </c>
      <c r="M2939" s="10">
        <v>86.177180282661155</v>
      </c>
    </row>
    <row r="2940" spans="11:13" x14ac:dyDescent="0.25">
      <c r="K2940" s="26" t="s">
        <v>110</v>
      </c>
      <c r="L2940" s="27" t="s">
        <v>118</v>
      </c>
      <c r="M2940" s="10">
        <v>86.177180282661155</v>
      </c>
    </row>
    <row r="2941" spans="11:13" x14ac:dyDescent="0.25">
      <c r="K2941" s="26" t="s">
        <v>110</v>
      </c>
      <c r="L2941" s="27" t="s">
        <v>119</v>
      </c>
      <c r="M2941" s="10">
        <v>20.531204171419262</v>
      </c>
    </row>
    <row r="2942" spans="11:13" x14ac:dyDescent="0.25">
      <c r="K2942" s="26" t="s">
        <v>110</v>
      </c>
      <c r="L2942" s="27" t="s">
        <v>115</v>
      </c>
      <c r="M2942" s="10">
        <v>30.796806257128893</v>
      </c>
    </row>
    <row r="2943" spans="11:13" x14ac:dyDescent="0.25">
      <c r="K2943" s="26" t="s">
        <v>110</v>
      </c>
      <c r="L2943" s="27" t="s">
        <v>116</v>
      </c>
      <c r="M2943" s="10">
        <v>66.137566137566139</v>
      </c>
    </row>
    <row r="2944" spans="11:13" x14ac:dyDescent="0.25">
      <c r="K2944" s="26" t="s">
        <v>111</v>
      </c>
      <c r="L2944" s="27" t="s">
        <v>117</v>
      </c>
      <c r="M2944" s="10">
        <v>77.017868145409736</v>
      </c>
    </row>
    <row r="2945" spans="11:13" x14ac:dyDescent="0.25">
      <c r="K2945" s="26" t="s">
        <v>111</v>
      </c>
      <c r="L2945" s="27" t="s">
        <v>118</v>
      </c>
      <c r="M2945" s="10">
        <v>25.696041524803107</v>
      </c>
    </row>
    <row r="2946" spans="11:13" x14ac:dyDescent="0.25">
      <c r="K2946" s="26" t="s">
        <v>109</v>
      </c>
      <c r="L2946" s="27" t="s">
        <v>119</v>
      </c>
      <c r="M2946" s="10">
        <v>66.137566137566139</v>
      </c>
    </row>
    <row r="2947" spans="11:13" x14ac:dyDescent="0.25">
      <c r="K2947" s="26" t="s">
        <v>110</v>
      </c>
      <c r="L2947" s="27" t="s">
        <v>115</v>
      </c>
      <c r="M2947" s="10">
        <v>88.183421516754848</v>
      </c>
    </row>
    <row r="2948" spans="11:13" x14ac:dyDescent="0.25">
      <c r="K2948" s="26" t="s">
        <v>110</v>
      </c>
      <c r="L2948" s="27" t="s">
        <v>116</v>
      </c>
      <c r="M2948" s="10">
        <v>15.403573629081947</v>
      </c>
    </row>
    <row r="2949" spans="11:13" x14ac:dyDescent="0.25">
      <c r="K2949" s="26" t="s">
        <v>110</v>
      </c>
      <c r="L2949" s="27" t="s">
        <v>117</v>
      </c>
      <c r="M2949" s="10">
        <v>22.75</v>
      </c>
    </row>
    <row r="2950" spans="11:13" x14ac:dyDescent="0.25">
      <c r="K2950" s="26" t="s">
        <v>109</v>
      </c>
      <c r="L2950" s="27" t="s">
        <v>118</v>
      </c>
      <c r="M2950" s="10">
        <v>42.365976861658794</v>
      </c>
    </row>
    <row r="2951" spans="11:13" x14ac:dyDescent="0.25">
      <c r="K2951" s="26" t="s">
        <v>111</v>
      </c>
      <c r="L2951" s="27" t="s">
        <v>119</v>
      </c>
      <c r="M2951" s="10">
        <v>56.623954251826746</v>
      </c>
    </row>
    <row r="2952" spans="11:13" x14ac:dyDescent="0.25">
      <c r="K2952" s="26" t="s">
        <v>111</v>
      </c>
      <c r="L2952" s="27" t="s">
        <v>115</v>
      </c>
      <c r="M2952" s="10">
        <v>130</v>
      </c>
    </row>
    <row r="2953" spans="11:13" x14ac:dyDescent="0.25">
      <c r="K2953" s="26" t="s">
        <v>111</v>
      </c>
      <c r="L2953" s="27" t="s">
        <v>116</v>
      </c>
      <c r="M2953" s="10">
        <v>109.90319360363415</v>
      </c>
    </row>
    <row r="2954" spans="11:13" x14ac:dyDescent="0.25">
      <c r="K2954" s="26" t="s">
        <v>113</v>
      </c>
      <c r="L2954" s="27" t="s">
        <v>117</v>
      </c>
      <c r="M2954" s="10">
        <v>128.48020762401552</v>
      </c>
    </row>
    <row r="2955" spans="11:13" x14ac:dyDescent="0.25">
      <c r="K2955" s="26" t="s">
        <v>113</v>
      </c>
      <c r="L2955" s="27" t="s">
        <v>118</v>
      </c>
      <c r="M2955" s="10">
        <v>1284.8020762401552</v>
      </c>
    </row>
    <row r="2956" spans="11:13" x14ac:dyDescent="0.25">
      <c r="K2956" s="26" t="s">
        <v>109</v>
      </c>
      <c r="L2956" s="27" t="s">
        <v>119</v>
      </c>
      <c r="M2956" s="10">
        <v>137.88348845225781</v>
      </c>
    </row>
    <row r="2957" spans="11:13" x14ac:dyDescent="0.25">
      <c r="K2957" s="26" t="s">
        <v>110</v>
      </c>
      <c r="L2957" s="27" t="s">
        <v>115</v>
      </c>
      <c r="M2957" s="10">
        <v>27.576697690451567</v>
      </c>
    </row>
    <row r="2958" spans="11:13" x14ac:dyDescent="0.25">
      <c r="K2958" s="26" t="s">
        <v>110</v>
      </c>
      <c r="L2958" s="27" t="s">
        <v>116</v>
      </c>
      <c r="M2958" s="10">
        <v>27.576697690451567</v>
      </c>
    </row>
    <row r="2959" spans="11:13" x14ac:dyDescent="0.25">
      <c r="K2959" s="26" t="s">
        <v>110</v>
      </c>
      <c r="L2959" s="27" t="s">
        <v>117</v>
      </c>
      <c r="M2959" s="10">
        <v>27.576697690451567</v>
      </c>
    </row>
    <row r="2960" spans="11:13" x14ac:dyDescent="0.25">
      <c r="K2960" s="26" t="s">
        <v>110</v>
      </c>
      <c r="L2960" s="27" t="s">
        <v>118</v>
      </c>
      <c r="M2960" s="10">
        <v>172.35436056532231</v>
      </c>
    </row>
    <row r="2961" spans="11:13" x14ac:dyDescent="0.25">
      <c r="K2961" s="26" t="s">
        <v>109</v>
      </c>
      <c r="L2961" s="27" t="s">
        <v>119</v>
      </c>
      <c r="M2961" s="10">
        <v>110.22927689594357</v>
      </c>
    </row>
    <row r="2962" spans="11:13" x14ac:dyDescent="0.25">
      <c r="K2962" s="26" t="s">
        <v>109</v>
      </c>
      <c r="L2962" s="27" t="s">
        <v>115</v>
      </c>
      <c r="M2962" s="10">
        <v>358.39881393624904</v>
      </c>
    </row>
    <row r="2963" spans="11:13" x14ac:dyDescent="0.25">
      <c r="K2963" s="26" t="s">
        <v>111</v>
      </c>
      <c r="L2963" s="27" t="s">
        <v>116</v>
      </c>
      <c r="M2963" s="10">
        <v>77.017868145409736</v>
      </c>
    </row>
    <row r="2964" spans="11:13" x14ac:dyDescent="0.25">
      <c r="K2964" s="26" t="s">
        <v>111</v>
      </c>
      <c r="L2964" s="27" t="s">
        <v>117</v>
      </c>
      <c r="M2964" s="10">
        <v>77.017868145409736</v>
      </c>
    </row>
    <row r="2965" spans="11:13" x14ac:dyDescent="0.25">
      <c r="K2965" s="26" t="s">
        <v>111</v>
      </c>
      <c r="L2965" s="27" t="s">
        <v>118</v>
      </c>
      <c r="M2965" s="10">
        <v>1439</v>
      </c>
    </row>
    <row r="2966" spans="11:13" x14ac:dyDescent="0.25">
      <c r="K2966" s="26" t="s">
        <v>111</v>
      </c>
      <c r="L2966" s="27" t="s">
        <v>119</v>
      </c>
      <c r="M2966" s="10">
        <v>74.128984432913256</v>
      </c>
    </row>
    <row r="2967" spans="11:13" x14ac:dyDescent="0.25">
      <c r="K2967" s="26" t="s">
        <v>111</v>
      </c>
      <c r="L2967" s="27" t="s">
        <v>115</v>
      </c>
      <c r="M2967" s="10">
        <v>61.614294516327789</v>
      </c>
    </row>
    <row r="2968" spans="11:13" x14ac:dyDescent="0.25">
      <c r="K2968" s="26" t="s">
        <v>113</v>
      </c>
      <c r="L2968" s="27" t="s">
        <v>116</v>
      </c>
      <c r="M2968" s="10">
        <v>92.421441774491683</v>
      </c>
    </row>
    <row r="2969" spans="11:13" x14ac:dyDescent="0.25">
      <c r="K2969" s="26" t="s">
        <v>113</v>
      </c>
      <c r="L2969" s="27" t="s">
        <v>117</v>
      </c>
      <c r="M2969" s="10">
        <v>274.75798400908536</v>
      </c>
    </row>
    <row r="2970" spans="11:13" x14ac:dyDescent="0.25">
      <c r="K2970" s="26" t="s">
        <v>110</v>
      </c>
      <c r="L2970" s="27" t="s">
        <v>118</v>
      </c>
      <c r="M2970" s="10">
        <v>105.89854918987609</v>
      </c>
    </row>
    <row r="2971" spans="11:13" x14ac:dyDescent="0.25">
      <c r="K2971" s="26" t="s">
        <v>109</v>
      </c>
      <c r="L2971" s="27" t="s">
        <v>119</v>
      </c>
      <c r="M2971" s="10">
        <v>44.091710758377424</v>
      </c>
    </row>
    <row r="2972" spans="11:13" x14ac:dyDescent="0.25">
      <c r="K2972" s="26" t="s">
        <v>110</v>
      </c>
      <c r="L2972" s="27" t="s">
        <v>115</v>
      </c>
      <c r="M2972" s="10">
        <v>642.4010381200776</v>
      </c>
    </row>
    <row r="2973" spans="11:13" x14ac:dyDescent="0.25">
      <c r="K2973" s="26" t="s">
        <v>110</v>
      </c>
      <c r="L2973" s="27" t="s">
        <v>116</v>
      </c>
      <c r="M2973" s="10">
        <v>17.235436056532226</v>
      </c>
    </row>
    <row r="2974" spans="11:13" x14ac:dyDescent="0.25">
      <c r="K2974" s="26" t="s">
        <v>110</v>
      </c>
      <c r="L2974" s="27" t="s">
        <v>117</v>
      </c>
      <c r="M2974" s="10">
        <v>102.78416609921243</v>
      </c>
    </row>
    <row r="2975" spans="11:13" x14ac:dyDescent="0.25">
      <c r="K2975" s="26" t="s">
        <v>110</v>
      </c>
      <c r="L2975" s="27" t="s">
        <v>118</v>
      </c>
      <c r="M2975" s="10">
        <v>68.941744226128904</v>
      </c>
    </row>
    <row r="2976" spans="11:13" x14ac:dyDescent="0.25">
      <c r="K2976" s="26" t="s">
        <v>110</v>
      </c>
      <c r="L2976" s="27" t="s">
        <v>119</v>
      </c>
      <c r="M2976" s="10">
        <v>123.22858903265558</v>
      </c>
    </row>
    <row r="2977" spans="11:13" x14ac:dyDescent="0.25">
      <c r="K2977" s="26" t="s">
        <v>109</v>
      </c>
      <c r="L2977" s="27" t="s">
        <v>115</v>
      </c>
      <c r="M2977" s="10">
        <v>77.017868145409736</v>
      </c>
    </row>
    <row r="2978" spans="11:13" x14ac:dyDescent="0.25">
      <c r="K2978" s="26" t="s">
        <v>109</v>
      </c>
      <c r="L2978" s="27" t="s">
        <v>116</v>
      </c>
      <c r="M2978" s="10">
        <v>138.63216266173754</v>
      </c>
    </row>
    <row r="2979" spans="11:13" x14ac:dyDescent="0.25">
      <c r="K2979" s="26" t="s">
        <v>111</v>
      </c>
      <c r="L2979" s="27" t="s">
        <v>117</v>
      </c>
      <c r="M2979" s="10">
        <v>46.210720887245841</v>
      </c>
    </row>
    <row r="2980" spans="11:13" x14ac:dyDescent="0.25">
      <c r="K2980" s="26" t="s">
        <v>111</v>
      </c>
      <c r="L2980" s="27" t="s">
        <v>118</v>
      </c>
      <c r="M2980" s="10">
        <v>107.82501540357363</v>
      </c>
    </row>
    <row r="2981" spans="11:13" x14ac:dyDescent="0.25">
      <c r="K2981" s="26" t="s">
        <v>111</v>
      </c>
      <c r="L2981" s="27" t="s">
        <v>119</v>
      </c>
      <c r="M2981" s="10">
        <v>107.82501540357363</v>
      </c>
    </row>
    <row r="2982" spans="11:13" x14ac:dyDescent="0.25">
      <c r="K2982" s="26" t="s">
        <v>111</v>
      </c>
      <c r="L2982" s="27" t="s">
        <v>115</v>
      </c>
      <c r="M2982" s="10">
        <v>55.114638447971785</v>
      </c>
    </row>
    <row r="2983" spans="11:13" x14ac:dyDescent="0.25">
      <c r="K2983" s="26" t="s">
        <v>111</v>
      </c>
      <c r="L2983" s="27" t="s">
        <v>116</v>
      </c>
      <c r="M2983" s="10">
        <v>8.993614533681086</v>
      </c>
    </row>
    <row r="2984" spans="11:13" x14ac:dyDescent="0.25">
      <c r="K2984" s="26" t="s">
        <v>113</v>
      </c>
      <c r="L2984" s="27" t="s">
        <v>117</v>
      </c>
      <c r="M2984" s="10">
        <v>50</v>
      </c>
    </row>
    <row r="2985" spans="11:13" x14ac:dyDescent="0.25">
      <c r="K2985" s="26" t="s">
        <v>113</v>
      </c>
      <c r="L2985" s="27" t="s">
        <v>118</v>
      </c>
      <c r="M2985" s="10">
        <v>20</v>
      </c>
    </row>
    <row r="2986" spans="11:13" x14ac:dyDescent="0.25">
      <c r="K2986" s="26" t="s">
        <v>110</v>
      </c>
      <c r="L2986" s="27" t="s">
        <v>119</v>
      </c>
      <c r="M2986" s="10">
        <v>65.55</v>
      </c>
    </row>
    <row r="2987" spans="11:13" x14ac:dyDescent="0.25">
      <c r="K2987" s="26" t="s">
        <v>109</v>
      </c>
      <c r="L2987" s="27" t="s">
        <v>115</v>
      </c>
      <c r="M2987" s="10">
        <v>17.438650000000003</v>
      </c>
    </row>
    <row r="2988" spans="11:13" x14ac:dyDescent="0.25">
      <c r="K2988" s="26" t="s">
        <v>110</v>
      </c>
      <c r="L2988" s="27" t="s">
        <v>116</v>
      </c>
      <c r="M2988" s="10">
        <v>250</v>
      </c>
    </row>
    <row r="2989" spans="11:13" x14ac:dyDescent="0.25">
      <c r="K2989" s="26" t="s">
        <v>109</v>
      </c>
      <c r="L2989" s="27" t="s">
        <v>117</v>
      </c>
      <c r="M2989" s="10">
        <v>30.807147258163894</v>
      </c>
    </row>
    <row r="2990" spans="11:13" x14ac:dyDescent="0.25">
      <c r="K2990" s="26" t="s">
        <v>109</v>
      </c>
      <c r="L2990" s="27" t="s">
        <v>118</v>
      </c>
      <c r="M2990" s="10">
        <v>3.2097576632964211</v>
      </c>
    </row>
    <row r="2991" spans="11:13" x14ac:dyDescent="0.25">
      <c r="K2991" s="26" t="s">
        <v>109</v>
      </c>
      <c r="L2991" s="27" t="s">
        <v>119</v>
      </c>
      <c r="M2991" s="10">
        <v>27.576697690451567</v>
      </c>
    </row>
    <row r="2992" spans="11:13" x14ac:dyDescent="0.25">
      <c r="K2992" s="26" t="s">
        <v>110</v>
      </c>
      <c r="L2992" s="27" t="s">
        <v>115</v>
      </c>
      <c r="M2992" s="10">
        <v>121.54606595899845</v>
      </c>
    </row>
    <row r="2993" spans="11:13" x14ac:dyDescent="0.25">
      <c r="K2993" s="26" t="s">
        <v>110</v>
      </c>
      <c r="L2993" s="27" t="s">
        <v>116</v>
      </c>
      <c r="M2993" s="10">
        <v>22.970551752653101</v>
      </c>
    </row>
    <row r="2994" spans="11:13" x14ac:dyDescent="0.25">
      <c r="K2994" s="26" t="s">
        <v>110</v>
      </c>
      <c r="L2994" s="27" t="s">
        <v>117</v>
      </c>
      <c r="M2994" s="10">
        <v>41.235449735449734</v>
      </c>
    </row>
    <row r="2995" spans="11:13" x14ac:dyDescent="0.25">
      <c r="K2995" s="26" t="s">
        <v>109</v>
      </c>
      <c r="L2995" s="27" t="s">
        <v>118</v>
      </c>
      <c r="M2995" s="10">
        <v>102.48</v>
      </c>
    </row>
    <row r="2996" spans="11:13" x14ac:dyDescent="0.25">
      <c r="K2996" s="26" t="s">
        <v>111</v>
      </c>
      <c r="L2996" s="27" t="s">
        <v>119</v>
      </c>
      <c r="M2996" s="10">
        <v>35.273368606701936</v>
      </c>
    </row>
    <row r="2997" spans="11:13" x14ac:dyDescent="0.25">
      <c r="K2997" s="26" t="s">
        <v>111</v>
      </c>
      <c r="L2997" s="27" t="s">
        <v>115</v>
      </c>
      <c r="M2997" s="10">
        <v>45.941103505306202</v>
      </c>
    </row>
    <row r="2998" spans="11:13" x14ac:dyDescent="0.25">
      <c r="K2998" s="26" t="s">
        <v>111</v>
      </c>
      <c r="L2998" s="27" t="s">
        <v>116</v>
      </c>
      <c r="M2998" s="10">
        <v>57.426379381632742</v>
      </c>
    </row>
    <row r="2999" spans="11:13" x14ac:dyDescent="0.25">
      <c r="K2999" s="26" t="s">
        <v>111</v>
      </c>
      <c r="L2999" s="27" t="s">
        <v>117</v>
      </c>
      <c r="M2999" s="10">
        <v>98.712135669959252</v>
      </c>
    </row>
    <row r="3000" spans="11:13" x14ac:dyDescent="0.25">
      <c r="K3000" s="26" t="s">
        <v>111</v>
      </c>
      <c r="L3000" s="27" t="s">
        <v>118</v>
      </c>
      <c r="M3000" s="10">
        <v>98.712135669959252</v>
      </c>
    </row>
    <row r="3001" spans="11:13" x14ac:dyDescent="0.25">
      <c r="K3001" s="26" t="s">
        <v>111</v>
      </c>
      <c r="L3001" s="27" t="s">
        <v>119</v>
      </c>
      <c r="M3001" s="10">
        <v>102.78416609921243</v>
      </c>
    </row>
    <row r="3002" spans="11:13" x14ac:dyDescent="0.25">
      <c r="K3002" s="26" t="s">
        <v>113</v>
      </c>
      <c r="L3002" s="27" t="s">
        <v>115</v>
      </c>
      <c r="M3002" s="10">
        <v>51.369044884458127</v>
      </c>
    </row>
    <row r="3003" spans="11:13" x14ac:dyDescent="0.25">
      <c r="K3003" s="26" t="s">
        <v>113</v>
      </c>
      <c r="L3003" s="27" t="s">
        <v>116</v>
      </c>
      <c r="M3003" s="10">
        <v>0.1058985491898761</v>
      </c>
    </row>
    <row r="3004" spans="11:13" x14ac:dyDescent="0.25">
      <c r="K3004" s="26" t="s">
        <v>110</v>
      </c>
      <c r="L3004" s="27" t="s">
        <v>117</v>
      </c>
      <c r="M3004" s="10">
        <v>64.24010381200776</v>
      </c>
    </row>
    <row r="3005" spans="11:13" x14ac:dyDescent="0.25">
      <c r="K3005" s="26" t="s">
        <v>109</v>
      </c>
      <c r="L3005" s="27" t="s">
        <v>118</v>
      </c>
      <c r="M3005" s="10">
        <v>110.22927689594357</v>
      </c>
    </row>
    <row r="3006" spans="11:13" x14ac:dyDescent="0.25">
      <c r="K3006" s="26" t="s">
        <v>110</v>
      </c>
      <c r="L3006" s="27" t="s">
        <v>119</v>
      </c>
      <c r="M3006" s="10">
        <v>88.183421516754848</v>
      </c>
    </row>
    <row r="3007" spans="11:13" x14ac:dyDescent="0.25">
      <c r="K3007" s="26" t="s">
        <v>109</v>
      </c>
      <c r="L3007" s="27" t="s">
        <v>115</v>
      </c>
      <c r="M3007" s="10">
        <v>107.82501540357363</v>
      </c>
    </row>
    <row r="3008" spans="11:13" x14ac:dyDescent="0.25">
      <c r="K3008" s="26" t="s">
        <v>109</v>
      </c>
      <c r="L3008" s="27" t="s">
        <v>116</v>
      </c>
      <c r="M3008" s="10">
        <v>77.017868145409736</v>
      </c>
    </row>
    <row r="3009" spans="11:13" x14ac:dyDescent="0.25">
      <c r="K3009" s="26" t="s">
        <v>109</v>
      </c>
      <c r="L3009" s="27" t="s">
        <v>117</v>
      </c>
      <c r="M3009" s="10">
        <v>66.137566137566139</v>
      </c>
    </row>
    <row r="3010" spans="11:13" x14ac:dyDescent="0.25">
      <c r="K3010" s="26" t="s">
        <v>109</v>
      </c>
      <c r="L3010" s="27" t="s">
        <v>118</v>
      </c>
      <c r="M3010" s="10">
        <v>88.183421516754848</v>
      </c>
    </row>
    <row r="3011" spans="11:13" x14ac:dyDescent="0.25">
      <c r="K3011" s="26" t="s">
        <v>109</v>
      </c>
      <c r="L3011" s="27" t="s">
        <v>119</v>
      </c>
      <c r="M3011" s="10">
        <v>132.27513227513228</v>
      </c>
    </row>
    <row r="3012" spans="11:13" x14ac:dyDescent="0.25">
      <c r="K3012" s="26" t="s">
        <v>110</v>
      </c>
      <c r="L3012" s="27" t="s">
        <v>115</v>
      </c>
      <c r="M3012" s="10">
        <v>20.060985395602632</v>
      </c>
    </row>
    <row r="3013" spans="11:13" x14ac:dyDescent="0.25">
      <c r="K3013" s="26" t="s">
        <v>111</v>
      </c>
      <c r="L3013" s="27" t="s">
        <v>116</v>
      </c>
      <c r="M3013" s="10">
        <v>79.8</v>
      </c>
    </row>
    <row r="3014" spans="11:13" x14ac:dyDescent="0.25">
      <c r="K3014" s="26" t="s">
        <v>111</v>
      </c>
      <c r="L3014" s="27" t="s">
        <v>117</v>
      </c>
      <c r="M3014" s="10">
        <v>65.55</v>
      </c>
    </row>
    <row r="3015" spans="11:13" x14ac:dyDescent="0.25">
      <c r="K3015" s="26" t="s">
        <v>109</v>
      </c>
      <c r="L3015" s="27" t="s">
        <v>118</v>
      </c>
      <c r="M3015" s="10">
        <v>154.03573629081947</v>
      </c>
    </row>
    <row r="3016" spans="11:13" x14ac:dyDescent="0.25">
      <c r="K3016" s="26" t="s">
        <v>111</v>
      </c>
      <c r="L3016" s="27" t="s">
        <v>119</v>
      </c>
      <c r="M3016" s="10">
        <v>19.528991558850361</v>
      </c>
    </row>
    <row r="3017" spans="11:13" x14ac:dyDescent="0.25">
      <c r="K3017" s="26" t="s">
        <v>111</v>
      </c>
      <c r="L3017" s="27" t="s">
        <v>115</v>
      </c>
      <c r="M3017" s="10">
        <v>1078.2501540357364</v>
      </c>
    </row>
    <row r="3018" spans="11:13" x14ac:dyDescent="0.25">
      <c r="K3018" s="26" t="s">
        <v>111</v>
      </c>
      <c r="L3018" s="27" t="s">
        <v>116</v>
      </c>
      <c r="M3018" s="10">
        <v>104.74430067775724</v>
      </c>
    </row>
    <row r="3019" spans="11:13" x14ac:dyDescent="0.25">
      <c r="K3019" s="26" t="s">
        <v>113</v>
      </c>
      <c r="L3019" s="27" t="s">
        <v>117</v>
      </c>
      <c r="M3019" s="10">
        <v>77.017868145409736</v>
      </c>
    </row>
    <row r="3020" spans="11:13" x14ac:dyDescent="0.25">
      <c r="K3020" s="26" t="s">
        <v>113</v>
      </c>
      <c r="L3020" s="27" t="s">
        <v>118</v>
      </c>
      <c r="M3020" s="10">
        <v>147.47589336358479</v>
      </c>
    </row>
    <row r="3021" spans="11:13" x14ac:dyDescent="0.25">
      <c r="K3021" s="26" t="s">
        <v>110</v>
      </c>
      <c r="L3021" s="27" t="s">
        <v>119</v>
      </c>
      <c r="M3021" s="10">
        <v>61.614294516327789</v>
      </c>
    </row>
    <row r="3022" spans="11:13" x14ac:dyDescent="0.25">
      <c r="K3022" s="26" t="s">
        <v>110</v>
      </c>
      <c r="L3022" s="27" t="s">
        <v>115</v>
      </c>
      <c r="M3022" s="10">
        <v>529.49274594938049</v>
      </c>
    </row>
    <row r="3023" spans="11:13" x14ac:dyDescent="0.25">
      <c r="K3023" s="26" t="s">
        <v>109</v>
      </c>
      <c r="L3023" s="27" t="s">
        <v>116</v>
      </c>
      <c r="M3023" s="10">
        <v>18.92543758901089</v>
      </c>
    </row>
    <row r="3024" spans="11:13" x14ac:dyDescent="0.25">
      <c r="K3024" s="26" t="s">
        <v>109</v>
      </c>
      <c r="L3024" s="27" t="s">
        <v>117</v>
      </c>
      <c r="M3024" s="10">
        <v>143.29805996472663</v>
      </c>
    </row>
    <row r="3025" spans="11:13" x14ac:dyDescent="0.25">
      <c r="K3025" s="26" t="s">
        <v>110</v>
      </c>
      <c r="L3025" s="27" t="s">
        <v>118</v>
      </c>
      <c r="M3025" s="10">
        <v>1.7549999999999999</v>
      </c>
    </row>
    <row r="3026" spans="11:13" x14ac:dyDescent="0.25">
      <c r="K3026" s="26" t="s">
        <v>109</v>
      </c>
      <c r="L3026" s="27" t="s">
        <v>119</v>
      </c>
      <c r="M3026" s="10">
        <v>4.7774999999999999</v>
      </c>
    </row>
    <row r="3027" spans="11:13" x14ac:dyDescent="0.25">
      <c r="K3027" s="26" t="s">
        <v>109</v>
      </c>
      <c r="L3027" s="27" t="s">
        <v>115</v>
      </c>
      <c r="M3027" s="10">
        <v>48.289934505342984</v>
      </c>
    </row>
    <row r="3028" spans="11:13" x14ac:dyDescent="0.25">
      <c r="K3028" s="26" t="s">
        <v>110</v>
      </c>
      <c r="L3028" s="27" t="s">
        <v>116</v>
      </c>
      <c r="M3028" s="10">
        <v>88</v>
      </c>
    </row>
    <row r="3029" spans="11:13" x14ac:dyDescent="0.25">
      <c r="K3029" s="26" t="s">
        <v>110</v>
      </c>
      <c r="L3029" s="27" t="s">
        <v>117</v>
      </c>
      <c r="M3029" s="10">
        <v>50</v>
      </c>
    </row>
    <row r="3030" spans="11:13" x14ac:dyDescent="0.25">
      <c r="K3030" s="26" t="s">
        <v>111</v>
      </c>
      <c r="L3030" s="27" t="s">
        <v>118</v>
      </c>
      <c r="M3030" s="10">
        <v>50</v>
      </c>
    </row>
    <row r="3031" spans="11:13" x14ac:dyDescent="0.25">
      <c r="K3031" s="26" t="s">
        <v>111</v>
      </c>
      <c r="L3031" s="27" t="s">
        <v>119</v>
      </c>
      <c r="M3031" s="10">
        <v>50</v>
      </c>
    </row>
    <row r="3032" spans="11:13" x14ac:dyDescent="0.25">
      <c r="K3032" s="26" t="s">
        <v>111</v>
      </c>
      <c r="L3032" s="27" t="s">
        <v>115</v>
      </c>
      <c r="M3032" s="10">
        <v>50</v>
      </c>
    </row>
    <row r="3033" spans="11:13" x14ac:dyDescent="0.25">
      <c r="K3033" s="26" t="s">
        <v>111</v>
      </c>
      <c r="L3033" s="27" t="s">
        <v>116</v>
      </c>
      <c r="M3033" s="10">
        <v>10.85</v>
      </c>
    </row>
    <row r="3034" spans="11:13" x14ac:dyDescent="0.25">
      <c r="K3034" s="26" t="s">
        <v>109</v>
      </c>
      <c r="L3034" s="27" t="s">
        <v>117</v>
      </c>
      <c r="M3034" s="10">
        <v>179.19940696812452</v>
      </c>
    </row>
    <row r="3035" spans="11:13" x14ac:dyDescent="0.25">
      <c r="K3035" s="26" t="s">
        <v>109</v>
      </c>
      <c r="L3035" s="27" t="s">
        <v>118</v>
      </c>
      <c r="M3035" s="10">
        <v>127.99957640580324</v>
      </c>
    </row>
    <row r="3036" spans="11:13" x14ac:dyDescent="0.25">
      <c r="K3036" s="26" t="s">
        <v>109</v>
      </c>
      <c r="L3036" s="27" t="s">
        <v>119</v>
      </c>
      <c r="M3036" s="10">
        <v>76.799745843481944</v>
      </c>
    </row>
    <row r="3037" spans="11:13" x14ac:dyDescent="0.25">
      <c r="K3037" s="26" t="s">
        <v>109</v>
      </c>
      <c r="L3037" s="27" t="s">
        <v>115</v>
      </c>
      <c r="M3037" s="10">
        <v>137.37899200454268</v>
      </c>
    </row>
    <row r="3038" spans="11:13" x14ac:dyDescent="0.25">
      <c r="K3038" s="26" t="s">
        <v>110</v>
      </c>
      <c r="L3038" s="27" t="s">
        <v>116</v>
      </c>
      <c r="M3038" s="10">
        <v>100</v>
      </c>
    </row>
    <row r="3039" spans="11:13" x14ac:dyDescent="0.25">
      <c r="K3039" s="26" t="s">
        <v>110</v>
      </c>
      <c r="L3039" s="27" t="s">
        <v>117</v>
      </c>
      <c r="M3039" s="10">
        <v>22.045855379188712</v>
      </c>
    </row>
    <row r="3040" spans="11:13" x14ac:dyDescent="0.25">
      <c r="K3040" s="26" t="s">
        <v>111</v>
      </c>
      <c r="L3040" s="27" t="s">
        <v>118</v>
      </c>
      <c r="M3040" s="10">
        <v>231.05360443622922</v>
      </c>
    </row>
    <row r="3041" spans="11:13" x14ac:dyDescent="0.25">
      <c r="K3041" s="26" t="s">
        <v>111</v>
      </c>
      <c r="L3041" s="27" t="s">
        <v>119</v>
      </c>
      <c r="M3041" s="10">
        <v>423.59419675950437</v>
      </c>
    </row>
    <row r="3042" spans="11:13" x14ac:dyDescent="0.25">
      <c r="K3042" s="26" t="s">
        <v>111</v>
      </c>
      <c r="L3042" s="27" t="s">
        <v>115</v>
      </c>
      <c r="M3042" s="10">
        <v>77.017868145409736</v>
      </c>
    </row>
    <row r="3043" spans="11:13" x14ac:dyDescent="0.25">
      <c r="K3043" s="26" t="s">
        <v>113</v>
      </c>
      <c r="L3043" s="27" t="s">
        <v>116</v>
      </c>
      <c r="M3043" s="10">
        <v>73.2687957357561</v>
      </c>
    </row>
    <row r="3044" spans="11:13" x14ac:dyDescent="0.25">
      <c r="K3044" s="26" t="s">
        <v>110</v>
      </c>
      <c r="L3044" s="27" t="s">
        <v>117</v>
      </c>
      <c r="M3044" s="10">
        <v>91.585994669695125</v>
      </c>
    </row>
    <row r="3045" spans="11:13" x14ac:dyDescent="0.25">
      <c r="K3045" s="26" t="s">
        <v>110</v>
      </c>
      <c r="L3045" s="27" t="s">
        <v>118</v>
      </c>
      <c r="M3045" s="10">
        <v>64.110196268786581</v>
      </c>
    </row>
    <row r="3046" spans="11:13" x14ac:dyDescent="0.25">
      <c r="K3046" s="26" t="s">
        <v>109</v>
      </c>
      <c r="L3046" s="27" t="s">
        <v>119</v>
      </c>
      <c r="M3046" s="10">
        <v>192.33058880635974</v>
      </c>
    </row>
    <row r="3047" spans="11:13" x14ac:dyDescent="0.25">
      <c r="K3047" s="26" t="s">
        <v>109</v>
      </c>
      <c r="L3047" s="27" t="s">
        <v>115</v>
      </c>
      <c r="M3047" s="10">
        <v>32.05509813439329</v>
      </c>
    </row>
    <row r="3048" spans="11:13" x14ac:dyDescent="0.25">
      <c r="K3048" s="26" t="s">
        <v>110</v>
      </c>
      <c r="L3048" s="27" t="s">
        <v>116</v>
      </c>
      <c r="M3048" s="10">
        <v>219.8063872072683</v>
      </c>
    </row>
    <row r="3049" spans="11:13" x14ac:dyDescent="0.25">
      <c r="K3049" s="26" t="s">
        <v>110</v>
      </c>
      <c r="L3049" s="27" t="s">
        <v>117</v>
      </c>
      <c r="M3049" s="10">
        <v>228.96498667423779</v>
      </c>
    </row>
    <row r="3050" spans="11:13" x14ac:dyDescent="0.25">
      <c r="K3050" s="26" t="s">
        <v>109</v>
      </c>
      <c r="L3050" s="27" t="s">
        <v>118</v>
      </c>
      <c r="M3050" s="10">
        <v>91.585994669695125</v>
      </c>
    </row>
    <row r="3051" spans="11:13" x14ac:dyDescent="0.25">
      <c r="K3051" s="26" t="s">
        <v>109</v>
      </c>
      <c r="L3051" s="27" t="s">
        <v>119</v>
      </c>
      <c r="M3051" s="10">
        <v>183.17198933939025</v>
      </c>
    </row>
    <row r="3052" spans="11:13" x14ac:dyDescent="0.25">
      <c r="K3052" s="26" t="s">
        <v>109</v>
      </c>
      <c r="L3052" s="27" t="s">
        <v>115</v>
      </c>
      <c r="M3052" s="10">
        <v>64.110196268786581</v>
      </c>
    </row>
    <row r="3053" spans="11:13" x14ac:dyDescent="0.25">
      <c r="K3053" s="26" t="s">
        <v>111</v>
      </c>
      <c r="L3053" s="27" t="s">
        <v>116</v>
      </c>
      <c r="M3053" s="10">
        <v>73.2687957357561</v>
      </c>
    </row>
    <row r="3054" spans="11:13" x14ac:dyDescent="0.25">
      <c r="K3054" s="26" t="s">
        <v>111</v>
      </c>
      <c r="L3054" s="27" t="s">
        <v>117</v>
      </c>
      <c r="M3054" s="10">
        <v>46.178067717186565</v>
      </c>
    </row>
    <row r="3055" spans="11:13" x14ac:dyDescent="0.25">
      <c r="K3055" s="26" t="s">
        <v>111</v>
      </c>
      <c r="L3055" s="27" t="s">
        <v>118</v>
      </c>
      <c r="M3055" s="10">
        <v>45.792997334847563</v>
      </c>
    </row>
    <row r="3056" spans="11:13" x14ac:dyDescent="0.25">
      <c r="K3056" s="26" t="s">
        <v>111</v>
      </c>
      <c r="L3056" s="27" t="s">
        <v>119</v>
      </c>
      <c r="M3056" s="10">
        <v>9.1585994669695125</v>
      </c>
    </row>
    <row r="3057" spans="11:13" x14ac:dyDescent="0.25">
      <c r="K3057" s="26" t="s">
        <v>109</v>
      </c>
      <c r="L3057" s="27" t="s">
        <v>115</v>
      </c>
      <c r="M3057" s="10">
        <v>107.82501540357363</v>
      </c>
    </row>
    <row r="3058" spans="11:13" x14ac:dyDescent="0.25">
      <c r="K3058" s="26" t="s">
        <v>110</v>
      </c>
      <c r="L3058" s="27" t="s">
        <v>116</v>
      </c>
      <c r="M3058" s="10">
        <v>36.63439786787805</v>
      </c>
    </row>
    <row r="3059" spans="11:13" x14ac:dyDescent="0.25">
      <c r="K3059" s="26" t="s">
        <v>109</v>
      </c>
      <c r="L3059" s="27" t="s">
        <v>117</v>
      </c>
      <c r="M3059" s="10">
        <v>91.585994669695125</v>
      </c>
    </row>
    <row r="3060" spans="11:13" x14ac:dyDescent="0.25">
      <c r="K3060" s="26" t="s">
        <v>110</v>
      </c>
      <c r="L3060" s="27" t="s">
        <v>118</v>
      </c>
      <c r="M3060" s="10">
        <v>4.1365046535677346</v>
      </c>
    </row>
    <row r="3061" spans="11:13" x14ac:dyDescent="0.25">
      <c r="K3061" s="26" t="s">
        <v>111</v>
      </c>
      <c r="L3061" s="27" t="s">
        <v>119</v>
      </c>
      <c r="M3061" s="10">
        <v>3.4470872113064459</v>
      </c>
    </row>
    <row r="3062" spans="11:13" x14ac:dyDescent="0.25">
      <c r="K3062" s="26" t="s">
        <v>110</v>
      </c>
      <c r="L3062" s="27" t="s">
        <v>115</v>
      </c>
      <c r="M3062" s="10">
        <v>15.403573629081947</v>
      </c>
    </row>
    <row r="3063" spans="11:13" x14ac:dyDescent="0.25">
      <c r="K3063" s="26" t="s">
        <v>110</v>
      </c>
      <c r="L3063" s="27" t="s">
        <v>116</v>
      </c>
      <c r="M3063" s="10">
        <v>46.210720887245841</v>
      </c>
    </row>
    <row r="3064" spans="11:13" x14ac:dyDescent="0.25">
      <c r="K3064" s="26" t="s">
        <v>110</v>
      </c>
      <c r="L3064" s="27" t="s">
        <v>117</v>
      </c>
      <c r="M3064" s="10">
        <v>23.105360443622921</v>
      </c>
    </row>
    <row r="3065" spans="11:13" x14ac:dyDescent="0.25">
      <c r="K3065" s="26" t="s">
        <v>110</v>
      </c>
      <c r="L3065" s="27" t="s">
        <v>118</v>
      </c>
      <c r="M3065" s="10">
        <v>38.508934072704868</v>
      </c>
    </row>
    <row r="3066" spans="11:13" x14ac:dyDescent="0.25">
      <c r="K3066" s="26" t="s">
        <v>109</v>
      </c>
      <c r="L3066" s="27" t="s">
        <v>119</v>
      </c>
      <c r="M3066" s="10">
        <v>2.2970551752653101</v>
      </c>
    </row>
    <row r="3067" spans="11:13" x14ac:dyDescent="0.25">
      <c r="K3067" s="26" t="s">
        <v>109</v>
      </c>
      <c r="L3067" s="27" t="s">
        <v>115</v>
      </c>
      <c r="M3067" s="10">
        <v>86.177180282661155</v>
      </c>
    </row>
    <row r="3068" spans="11:13" x14ac:dyDescent="0.25">
      <c r="K3068" s="26" t="s">
        <v>109</v>
      </c>
      <c r="L3068" s="27" t="s">
        <v>116</v>
      </c>
      <c r="M3068" s="10">
        <v>32.904045223319756</v>
      </c>
    </row>
    <row r="3069" spans="11:13" x14ac:dyDescent="0.25">
      <c r="K3069" s="26" t="s">
        <v>109</v>
      </c>
      <c r="L3069" s="27" t="s">
        <v>117</v>
      </c>
      <c r="M3069" s="10">
        <v>23.126437372322794</v>
      </c>
    </row>
    <row r="3070" spans="11:13" x14ac:dyDescent="0.25">
      <c r="K3070" s="26" t="s">
        <v>109</v>
      </c>
      <c r="L3070" s="27" t="s">
        <v>118</v>
      </c>
      <c r="M3070" s="10">
        <v>154.03573629081947</v>
      </c>
    </row>
    <row r="3071" spans="11:13" x14ac:dyDescent="0.25">
      <c r="K3071" s="26" t="s">
        <v>109</v>
      </c>
      <c r="L3071" s="27" t="s">
        <v>119</v>
      </c>
      <c r="M3071" s="10">
        <v>154.03573629081947</v>
      </c>
    </row>
    <row r="3072" spans="11:13" x14ac:dyDescent="0.25">
      <c r="K3072" s="26" t="s">
        <v>110</v>
      </c>
      <c r="L3072" s="27" t="s">
        <v>115</v>
      </c>
      <c r="M3072" s="10">
        <v>22.486772486772487</v>
      </c>
    </row>
    <row r="3073" spans="11:13" x14ac:dyDescent="0.25">
      <c r="K3073" s="26" t="s">
        <v>110</v>
      </c>
      <c r="L3073" s="27" t="s">
        <v>116</v>
      </c>
      <c r="M3073" s="10">
        <v>84.718839351900883</v>
      </c>
    </row>
    <row r="3074" spans="11:13" x14ac:dyDescent="0.25">
      <c r="K3074" s="26" t="s">
        <v>111</v>
      </c>
      <c r="L3074" s="27" t="s">
        <v>117</v>
      </c>
      <c r="M3074" s="10">
        <v>84.718839351900883</v>
      </c>
    </row>
    <row r="3075" spans="11:13" x14ac:dyDescent="0.25">
      <c r="K3075" s="26" t="s">
        <v>113</v>
      </c>
      <c r="L3075" s="27" t="s">
        <v>118</v>
      </c>
      <c r="M3075" s="10">
        <v>88.183421516754848</v>
      </c>
    </row>
    <row r="3076" spans="11:13" x14ac:dyDescent="0.25">
      <c r="K3076" s="26" t="s">
        <v>113</v>
      </c>
      <c r="L3076" s="27" t="s">
        <v>119</v>
      </c>
      <c r="M3076" s="10">
        <v>375.84719654959952</v>
      </c>
    </row>
    <row r="3077" spans="11:13" x14ac:dyDescent="0.25">
      <c r="K3077" s="26" t="s">
        <v>113</v>
      </c>
      <c r="L3077" s="27" t="s">
        <v>115</v>
      </c>
      <c r="M3077" s="10">
        <v>40.212481668567705</v>
      </c>
    </row>
    <row r="3078" spans="11:13" x14ac:dyDescent="0.25">
      <c r="K3078" s="26" t="s">
        <v>113</v>
      </c>
      <c r="L3078" s="27" t="s">
        <v>116</v>
      </c>
      <c r="M3078" s="10">
        <v>13.788348845225784</v>
      </c>
    </row>
    <row r="3079" spans="11:13" x14ac:dyDescent="0.25">
      <c r="K3079" s="26" t="s">
        <v>113</v>
      </c>
      <c r="L3079" s="27" t="s">
        <v>117</v>
      </c>
      <c r="M3079" s="10">
        <v>385.08934072704869</v>
      </c>
    </row>
    <row r="3080" spans="11:13" x14ac:dyDescent="0.25">
      <c r="K3080" s="26" t="s">
        <v>113</v>
      </c>
      <c r="L3080" s="27" t="s">
        <v>118</v>
      </c>
      <c r="M3080" s="10">
        <v>38.508934072704868</v>
      </c>
    </row>
    <row r="3081" spans="11:13" x14ac:dyDescent="0.25">
      <c r="K3081" s="26" t="s">
        <v>113</v>
      </c>
      <c r="L3081" s="27" t="s">
        <v>119</v>
      </c>
      <c r="M3081" s="10">
        <v>154.03573629081947</v>
      </c>
    </row>
    <row r="3082" spans="11:13" x14ac:dyDescent="0.25">
      <c r="K3082" s="26" t="s">
        <v>113</v>
      </c>
      <c r="L3082" s="27" t="s">
        <v>115</v>
      </c>
      <c r="M3082" s="10">
        <v>44.091710758377424</v>
      </c>
    </row>
    <row r="3083" spans="11:13" x14ac:dyDescent="0.25">
      <c r="K3083" s="26" t="s">
        <v>110</v>
      </c>
      <c r="L3083" s="27" t="s">
        <v>116</v>
      </c>
      <c r="M3083" s="10">
        <v>14.415479295414542</v>
      </c>
    </row>
    <row r="3084" spans="11:13" x14ac:dyDescent="0.25">
      <c r="K3084" s="26" t="s">
        <v>110</v>
      </c>
      <c r="L3084" s="27" t="s">
        <v>117</v>
      </c>
      <c r="M3084" s="10">
        <v>32.12005190600388</v>
      </c>
    </row>
    <row r="3085" spans="11:13" x14ac:dyDescent="0.25">
      <c r="K3085" s="26" t="s">
        <v>109</v>
      </c>
      <c r="L3085" s="27" t="s">
        <v>118</v>
      </c>
      <c r="M3085" s="10">
        <v>47.420767195767198</v>
      </c>
    </row>
    <row r="3086" spans="11:13" x14ac:dyDescent="0.25">
      <c r="K3086" s="26" t="s">
        <v>109</v>
      </c>
      <c r="L3086" s="27" t="s">
        <v>119</v>
      </c>
      <c r="M3086" s="10">
        <v>22.045855379188712</v>
      </c>
    </row>
    <row r="3087" spans="11:13" x14ac:dyDescent="0.25">
      <c r="K3087" s="26" t="s">
        <v>109</v>
      </c>
      <c r="L3087" s="27" t="s">
        <v>115</v>
      </c>
      <c r="M3087" s="10">
        <v>77.088124574409321</v>
      </c>
    </row>
    <row r="3088" spans="11:13" x14ac:dyDescent="0.25">
      <c r="K3088" s="26" t="s">
        <v>109</v>
      </c>
      <c r="L3088" s="27" t="s">
        <v>116</v>
      </c>
      <c r="M3088" s="10">
        <v>55.114638447971785</v>
      </c>
    </row>
    <row r="3089" spans="11:13" x14ac:dyDescent="0.25">
      <c r="K3089" s="26" t="s">
        <v>109</v>
      </c>
      <c r="L3089" s="27" t="s">
        <v>117</v>
      </c>
      <c r="M3089" s="10">
        <v>66.137566137566139</v>
      </c>
    </row>
    <row r="3090" spans="11:13" x14ac:dyDescent="0.25">
      <c r="K3090" s="26" t="s">
        <v>110</v>
      </c>
      <c r="L3090" s="27" t="s">
        <v>118</v>
      </c>
      <c r="M3090" s="10">
        <v>44.091710758377424</v>
      </c>
    </row>
    <row r="3091" spans="11:13" x14ac:dyDescent="0.25">
      <c r="K3091" s="26" t="s">
        <v>111</v>
      </c>
      <c r="L3091" s="27" t="s">
        <v>119</v>
      </c>
      <c r="M3091" s="10">
        <v>55.114638447971785</v>
      </c>
    </row>
    <row r="3092" spans="11:13" x14ac:dyDescent="0.25">
      <c r="K3092" s="26" t="s">
        <v>111</v>
      </c>
      <c r="L3092" s="27" t="s">
        <v>115</v>
      </c>
      <c r="M3092" s="10">
        <v>529.49274594938049</v>
      </c>
    </row>
    <row r="3093" spans="11:13" x14ac:dyDescent="0.25">
      <c r="K3093" s="26" t="s">
        <v>110</v>
      </c>
      <c r="L3093" s="27" t="s">
        <v>116</v>
      </c>
      <c r="M3093" s="10">
        <v>105.89854918987609</v>
      </c>
    </row>
    <row r="3094" spans="11:13" x14ac:dyDescent="0.25">
      <c r="K3094" s="26" t="s">
        <v>110</v>
      </c>
      <c r="L3094" s="27" t="s">
        <v>117</v>
      </c>
      <c r="M3094" s="10">
        <v>105.89854918987609</v>
      </c>
    </row>
    <row r="3095" spans="11:13" x14ac:dyDescent="0.25">
      <c r="K3095" s="26" t="s">
        <v>110</v>
      </c>
      <c r="L3095" s="27" t="s">
        <v>118</v>
      </c>
      <c r="M3095" s="10">
        <v>55.114638447971785</v>
      </c>
    </row>
    <row r="3096" spans="11:13" x14ac:dyDescent="0.25">
      <c r="K3096" s="26" t="s">
        <v>110</v>
      </c>
      <c r="L3096" s="27" t="s">
        <v>119</v>
      </c>
      <c r="M3096" s="10">
        <v>156.67558689759727</v>
      </c>
    </row>
    <row r="3097" spans="11:13" x14ac:dyDescent="0.25">
      <c r="K3097" s="26" t="s">
        <v>110</v>
      </c>
      <c r="L3097" s="27" t="s">
        <v>115</v>
      </c>
      <c r="M3097" s="10">
        <v>335.48660383352745</v>
      </c>
    </row>
    <row r="3098" spans="11:13" x14ac:dyDescent="0.25">
      <c r="K3098" s="26" t="s">
        <v>110</v>
      </c>
      <c r="L3098" s="27" t="s">
        <v>116</v>
      </c>
      <c r="M3098" s="10">
        <v>24.309213191799692</v>
      </c>
    </row>
    <row r="3099" spans="11:13" x14ac:dyDescent="0.25">
      <c r="K3099" s="26" t="s">
        <v>109</v>
      </c>
      <c r="L3099" s="27" t="s">
        <v>117</v>
      </c>
      <c r="M3099" s="10">
        <v>51.392083049606214</v>
      </c>
    </row>
    <row r="3100" spans="11:13" x14ac:dyDescent="0.25">
      <c r="K3100" s="26" t="s">
        <v>111</v>
      </c>
      <c r="L3100" s="27" t="s">
        <v>118</v>
      </c>
      <c r="M3100" s="10">
        <v>228.96498667423779</v>
      </c>
    </row>
    <row r="3101" spans="11:13" x14ac:dyDescent="0.25">
      <c r="K3101" s="26" t="s">
        <v>109</v>
      </c>
      <c r="L3101" s="27" t="s">
        <v>119</v>
      </c>
      <c r="M3101" s="10">
        <v>84.718839351900883</v>
      </c>
    </row>
    <row r="3102" spans="11:13" x14ac:dyDescent="0.25">
      <c r="K3102" s="26" t="s">
        <v>109</v>
      </c>
      <c r="L3102" s="27" t="s">
        <v>115</v>
      </c>
      <c r="M3102" s="10">
        <v>51.195594620353702</v>
      </c>
    </row>
    <row r="3103" spans="11:13" x14ac:dyDescent="0.25">
      <c r="K3103" s="26" t="s">
        <v>111</v>
      </c>
      <c r="L3103" s="27" t="s">
        <v>116</v>
      </c>
      <c r="M3103" s="10">
        <v>211.79709837975219</v>
      </c>
    </row>
    <row r="3104" spans="11:13" x14ac:dyDescent="0.25">
      <c r="K3104" s="26" t="s">
        <v>111</v>
      </c>
      <c r="L3104" s="27" t="s">
        <v>117</v>
      </c>
      <c r="M3104" s="10">
        <v>115.52028218694885</v>
      </c>
    </row>
    <row r="3105" spans="11:13" x14ac:dyDescent="0.25">
      <c r="K3105" s="26" t="s">
        <v>111</v>
      </c>
      <c r="L3105" s="27" t="s">
        <v>118</v>
      </c>
      <c r="M3105" s="10">
        <v>0.75</v>
      </c>
    </row>
    <row r="3106" spans="11:13" x14ac:dyDescent="0.25">
      <c r="K3106" s="26" t="s">
        <v>111</v>
      </c>
      <c r="L3106" s="27" t="s">
        <v>119</v>
      </c>
      <c r="M3106" s="10">
        <v>0.75</v>
      </c>
    </row>
    <row r="3107" spans="11:13" x14ac:dyDescent="0.25">
      <c r="K3107" s="26" t="s">
        <v>111</v>
      </c>
      <c r="L3107" s="27" t="s">
        <v>115</v>
      </c>
      <c r="M3107" s="10">
        <v>123.22858903265558</v>
      </c>
    </row>
    <row r="3108" spans="11:13" x14ac:dyDescent="0.25">
      <c r="K3108" s="26" t="s">
        <v>113</v>
      </c>
      <c r="L3108" s="27" t="s">
        <v>116</v>
      </c>
      <c r="M3108" s="10">
        <v>18.484288354898336</v>
      </c>
    </row>
    <row r="3109" spans="11:13" x14ac:dyDescent="0.25">
      <c r="K3109" s="26" t="s">
        <v>113</v>
      </c>
      <c r="L3109" s="27" t="s">
        <v>117</v>
      </c>
      <c r="M3109" s="10">
        <v>15.403573629081947</v>
      </c>
    </row>
    <row r="3110" spans="11:13" x14ac:dyDescent="0.25">
      <c r="K3110" s="26" t="s">
        <v>113</v>
      </c>
      <c r="L3110" s="27" t="s">
        <v>118</v>
      </c>
      <c r="M3110" s="10">
        <v>46.210720887245841</v>
      </c>
    </row>
    <row r="3111" spans="11:13" x14ac:dyDescent="0.25">
      <c r="K3111" s="26" t="s">
        <v>113</v>
      </c>
      <c r="L3111" s="27" t="s">
        <v>119</v>
      </c>
      <c r="M3111" s="10">
        <v>4.621072088724584</v>
      </c>
    </row>
    <row r="3112" spans="11:13" x14ac:dyDescent="0.25">
      <c r="K3112" s="26" t="s">
        <v>113</v>
      </c>
      <c r="L3112" s="27" t="s">
        <v>115</v>
      </c>
      <c r="M3112" s="10">
        <v>529.49274594938049</v>
      </c>
    </row>
    <row r="3113" spans="11:13" x14ac:dyDescent="0.25">
      <c r="K3113" s="26" t="s">
        <v>113</v>
      </c>
      <c r="L3113" s="27" t="s">
        <v>116</v>
      </c>
      <c r="M3113" s="10">
        <v>52.949274594938046</v>
      </c>
    </row>
    <row r="3114" spans="11:13" x14ac:dyDescent="0.25">
      <c r="K3114" s="26" t="s">
        <v>110</v>
      </c>
      <c r="L3114" s="27" t="s">
        <v>117</v>
      </c>
      <c r="M3114" s="10">
        <v>52.949274594938046</v>
      </c>
    </row>
    <row r="3115" spans="11:13" x14ac:dyDescent="0.25">
      <c r="K3115" s="26" t="s">
        <v>110</v>
      </c>
      <c r="L3115" s="27" t="s">
        <v>118</v>
      </c>
      <c r="M3115" s="10">
        <v>55.114638447971785</v>
      </c>
    </row>
    <row r="3116" spans="11:13" x14ac:dyDescent="0.25">
      <c r="K3116" s="26" t="s">
        <v>109</v>
      </c>
      <c r="L3116" s="27" t="s">
        <v>119</v>
      </c>
      <c r="M3116" s="10">
        <v>66.137566137566139</v>
      </c>
    </row>
    <row r="3117" spans="11:13" x14ac:dyDescent="0.25">
      <c r="K3117" s="26" t="s">
        <v>109</v>
      </c>
      <c r="L3117" s="27" t="s">
        <v>115</v>
      </c>
      <c r="M3117" s="10">
        <v>55.114638447971785</v>
      </c>
    </row>
    <row r="3118" spans="11:13" x14ac:dyDescent="0.25">
      <c r="K3118" s="26" t="s">
        <v>110</v>
      </c>
      <c r="L3118" s="27" t="s">
        <v>116</v>
      </c>
      <c r="M3118" s="10">
        <v>70.546737213403873</v>
      </c>
    </row>
    <row r="3119" spans="11:13" x14ac:dyDescent="0.25">
      <c r="K3119" s="26" t="s">
        <v>109</v>
      </c>
      <c r="L3119" s="27" t="s">
        <v>117</v>
      </c>
      <c r="M3119" s="10">
        <v>66.137566137566139</v>
      </c>
    </row>
    <row r="3120" spans="11:13" x14ac:dyDescent="0.25">
      <c r="K3120" s="26" t="s">
        <v>109</v>
      </c>
      <c r="L3120" s="27" t="s">
        <v>118</v>
      </c>
      <c r="M3120" s="10">
        <v>8.8183421516754859E-6</v>
      </c>
    </row>
    <row r="3121" spans="11:13" x14ac:dyDescent="0.25">
      <c r="K3121" s="26" t="s">
        <v>109</v>
      </c>
      <c r="L3121" s="27" t="s">
        <v>119</v>
      </c>
      <c r="M3121" s="10">
        <v>55.114638447971785</v>
      </c>
    </row>
    <row r="3122" spans="11:13" x14ac:dyDescent="0.25">
      <c r="K3122" s="26" t="s">
        <v>109</v>
      </c>
      <c r="L3122" s="27" t="s">
        <v>115</v>
      </c>
      <c r="M3122" s="10">
        <v>15.417624914881863</v>
      </c>
    </row>
    <row r="3123" spans="11:13" x14ac:dyDescent="0.25">
      <c r="K3123" s="26" t="s">
        <v>110</v>
      </c>
      <c r="L3123" s="27" t="s">
        <v>116</v>
      </c>
      <c r="M3123" s="10">
        <v>44.091710758377424</v>
      </c>
    </row>
    <row r="3124" spans="11:13" x14ac:dyDescent="0.25">
      <c r="K3124" s="26" t="s">
        <v>111</v>
      </c>
      <c r="L3124" s="27" t="s">
        <v>117</v>
      </c>
      <c r="M3124" s="10">
        <v>55.114638447971785</v>
      </c>
    </row>
    <row r="3125" spans="11:13" x14ac:dyDescent="0.25">
      <c r="K3125" s="26" t="s">
        <v>111</v>
      </c>
      <c r="L3125" s="27" t="s">
        <v>118</v>
      </c>
      <c r="M3125" s="10">
        <v>40.212481668567705</v>
      </c>
    </row>
    <row r="3126" spans="11:13" x14ac:dyDescent="0.25">
      <c r="K3126" s="26" t="s">
        <v>111</v>
      </c>
      <c r="L3126" s="27" t="s">
        <v>119</v>
      </c>
      <c r="M3126" s="10">
        <v>64.110196268786581</v>
      </c>
    </row>
    <row r="3127" spans="11:13" x14ac:dyDescent="0.25">
      <c r="K3127" s="26" t="s">
        <v>110</v>
      </c>
      <c r="L3127" s="27" t="s">
        <v>115</v>
      </c>
      <c r="M3127" s="10">
        <v>72</v>
      </c>
    </row>
    <row r="3128" spans="11:13" x14ac:dyDescent="0.25">
      <c r="K3128" s="26" t="s">
        <v>110</v>
      </c>
      <c r="L3128" s="27" t="s">
        <v>116</v>
      </c>
      <c r="M3128" s="10">
        <v>30.8641975308642</v>
      </c>
    </row>
    <row r="3129" spans="11:13" x14ac:dyDescent="0.25">
      <c r="K3129" s="26" t="s">
        <v>110</v>
      </c>
      <c r="L3129" s="27" t="s">
        <v>117</v>
      </c>
      <c r="M3129" s="10">
        <v>12.848020762401553</v>
      </c>
    </row>
    <row r="3130" spans="11:13" x14ac:dyDescent="0.25">
      <c r="K3130" s="26" t="s">
        <v>110</v>
      </c>
      <c r="L3130" s="27" t="s">
        <v>118</v>
      </c>
      <c r="M3130" s="10">
        <v>132.27513227513228</v>
      </c>
    </row>
    <row r="3131" spans="11:13" x14ac:dyDescent="0.25">
      <c r="K3131" s="26" t="s">
        <v>109</v>
      </c>
      <c r="L3131" s="27" t="s">
        <v>119</v>
      </c>
      <c r="M3131" s="10">
        <v>15</v>
      </c>
    </row>
    <row r="3132" spans="11:13" x14ac:dyDescent="0.25">
      <c r="K3132" s="26" t="s">
        <v>109</v>
      </c>
      <c r="L3132" s="27" t="s">
        <v>115</v>
      </c>
      <c r="M3132" s="10">
        <v>107.82501540357363</v>
      </c>
    </row>
    <row r="3133" spans="11:13" x14ac:dyDescent="0.25">
      <c r="K3133" s="26" t="s">
        <v>109</v>
      </c>
      <c r="L3133" s="27" t="s">
        <v>116</v>
      </c>
      <c r="M3133" s="10">
        <v>92.421441774491683</v>
      </c>
    </row>
    <row r="3134" spans="11:13" x14ac:dyDescent="0.25">
      <c r="K3134" s="26" t="s">
        <v>109</v>
      </c>
      <c r="L3134" s="27" t="s">
        <v>117</v>
      </c>
      <c r="M3134" s="10">
        <v>595.2380952380953</v>
      </c>
    </row>
    <row r="3135" spans="11:13" x14ac:dyDescent="0.25">
      <c r="K3135" s="26" t="s">
        <v>111</v>
      </c>
      <c r="L3135" s="27" t="s">
        <v>118</v>
      </c>
      <c r="M3135" s="10">
        <v>209.67912739595468</v>
      </c>
    </row>
    <row r="3136" spans="11:13" x14ac:dyDescent="0.25">
      <c r="K3136" s="26" t="s">
        <v>109</v>
      </c>
      <c r="L3136" s="27" t="s">
        <v>119</v>
      </c>
      <c r="M3136" s="10">
        <v>209.67912739595468</v>
      </c>
    </row>
    <row r="3137" spans="11:13" x14ac:dyDescent="0.25">
      <c r="K3137" s="26" t="s">
        <v>109</v>
      </c>
      <c r="L3137" s="27" t="s">
        <v>115</v>
      </c>
      <c r="M3137" s="10">
        <v>105.89854918987609</v>
      </c>
    </row>
    <row r="3138" spans="11:13" x14ac:dyDescent="0.25">
      <c r="K3138" s="26" t="s">
        <v>110</v>
      </c>
      <c r="L3138" s="27" t="s">
        <v>116</v>
      </c>
      <c r="M3138" s="10">
        <v>15.884782378481413</v>
      </c>
    </row>
    <row r="3139" spans="11:13" x14ac:dyDescent="0.25">
      <c r="K3139" s="26" t="s">
        <v>110</v>
      </c>
      <c r="L3139" s="27" t="s">
        <v>117</v>
      </c>
      <c r="M3139" s="10">
        <v>80</v>
      </c>
    </row>
    <row r="3140" spans="11:13" x14ac:dyDescent="0.25">
      <c r="K3140" s="26" t="s">
        <v>111</v>
      </c>
      <c r="L3140" s="27" t="s">
        <v>118</v>
      </c>
      <c r="M3140" s="10">
        <v>103.41261633919338</v>
      </c>
    </row>
    <row r="3141" spans="11:13" x14ac:dyDescent="0.25">
      <c r="K3141" s="26" t="s">
        <v>111</v>
      </c>
      <c r="L3141" s="27" t="s">
        <v>119</v>
      </c>
      <c r="M3141" s="10">
        <v>52.949274594938046</v>
      </c>
    </row>
    <row r="3142" spans="11:13" x14ac:dyDescent="0.25">
      <c r="K3142" s="26" t="s">
        <v>113</v>
      </c>
      <c r="L3142" s="27" t="s">
        <v>115</v>
      </c>
      <c r="M3142" s="10">
        <v>57.816093430806987</v>
      </c>
    </row>
    <row r="3143" spans="11:13" x14ac:dyDescent="0.25">
      <c r="K3143" s="26" t="s">
        <v>113</v>
      </c>
      <c r="L3143" s="27" t="s">
        <v>116</v>
      </c>
      <c r="M3143" s="10">
        <v>86.177180282661155</v>
      </c>
    </row>
    <row r="3144" spans="11:13" x14ac:dyDescent="0.25">
      <c r="K3144" s="26" t="s">
        <v>113</v>
      </c>
      <c r="L3144" s="27" t="s">
        <v>117</v>
      </c>
      <c r="M3144" s="10">
        <v>66.137566137566139</v>
      </c>
    </row>
    <row r="3145" spans="11:13" x14ac:dyDescent="0.25">
      <c r="K3145" s="26" t="s">
        <v>113</v>
      </c>
      <c r="L3145" s="27" t="s">
        <v>118</v>
      </c>
      <c r="M3145" s="10">
        <v>95.486111111111114</v>
      </c>
    </row>
    <row r="3146" spans="11:13" x14ac:dyDescent="0.25">
      <c r="K3146" s="26" t="s">
        <v>113</v>
      </c>
      <c r="L3146" s="27" t="s">
        <v>119</v>
      </c>
      <c r="M3146" s="10">
        <v>72.162081128747801</v>
      </c>
    </row>
    <row r="3147" spans="11:13" x14ac:dyDescent="0.25">
      <c r="K3147" s="26" t="s">
        <v>113</v>
      </c>
      <c r="L3147" s="27" t="s">
        <v>115</v>
      </c>
      <c r="M3147" s="10">
        <v>55.114638447971785</v>
      </c>
    </row>
    <row r="3148" spans="11:13" x14ac:dyDescent="0.25">
      <c r="K3148" s="26" t="s">
        <v>109</v>
      </c>
      <c r="L3148" s="27" t="s">
        <v>116</v>
      </c>
      <c r="M3148" s="10">
        <v>689.41744226128924</v>
      </c>
    </row>
    <row r="3149" spans="11:13" x14ac:dyDescent="0.25">
      <c r="K3149" s="26" t="s">
        <v>110</v>
      </c>
      <c r="L3149" s="27" t="s">
        <v>117</v>
      </c>
      <c r="M3149" s="10">
        <v>46.905423280423278</v>
      </c>
    </row>
    <row r="3150" spans="11:13" x14ac:dyDescent="0.25">
      <c r="K3150" s="26" t="s">
        <v>110</v>
      </c>
      <c r="L3150" s="27" t="s">
        <v>118</v>
      </c>
      <c r="M3150" s="10">
        <v>44.091710758377424</v>
      </c>
    </row>
    <row r="3151" spans="11:13" x14ac:dyDescent="0.25">
      <c r="K3151" s="26" t="s">
        <v>110</v>
      </c>
      <c r="L3151" s="27" t="s">
        <v>119</v>
      </c>
      <c r="M3151" s="10">
        <v>44.091710758377424</v>
      </c>
    </row>
    <row r="3152" spans="11:13" x14ac:dyDescent="0.25">
      <c r="K3152" s="26" t="s">
        <v>110</v>
      </c>
      <c r="L3152" s="27" t="s">
        <v>115</v>
      </c>
      <c r="M3152" s="10">
        <v>44.091710758377424</v>
      </c>
    </row>
    <row r="3153" spans="11:13" x14ac:dyDescent="0.25">
      <c r="K3153" s="26" t="s">
        <v>110</v>
      </c>
      <c r="L3153" s="27" t="s">
        <v>116</v>
      </c>
      <c r="M3153" s="10">
        <v>44.091710758377424</v>
      </c>
    </row>
    <row r="3154" spans="11:13" x14ac:dyDescent="0.25">
      <c r="K3154" s="26" t="s">
        <v>110</v>
      </c>
      <c r="L3154" s="27" t="s">
        <v>117</v>
      </c>
      <c r="M3154" s="10">
        <v>48.500881834215171</v>
      </c>
    </row>
    <row r="3155" spans="11:13" x14ac:dyDescent="0.25">
      <c r="K3155" s="26" t="s">
        <v>110</v>
      </c>
      <c r="L3155" s="27" t="s">
        <v>118</v>
      </c>
      <c r="M3155" s="10">
        <v>23.478835978835978</v>
      </c>
    </row>
    <row r="3156" spans="11:13" x14ac:dyDescent="0.25">
      <c r="K3156" s="26" t="s">
        <v>109</v>
      </c>
      <c r="L3156" s="27" t="s">
        <v>119</v>
      </c>
      <c r="M3156" s="10">
        <v>801.35710019754674</v>
      </c>
    </row>
    <row r="3157" spans="11:13" x14ac:dyDescent="0.25">
      <c r="K3157" s="26" t="s">
        <v>109</v>
      </c>
      <c r="L3157" s="27" t="s">
        <v>115</v>
      </c>
      <c r="M3157" s="10">
        <v>17.235436056532226</v>
      </c>
    </row>
    <row r="3158" spans="11:13" x14ac:dyDescent="0.25">
      <c r="K3158" s="26" t="s">
        <v>109</v>
      </c>
      <c r="L3158" s="27" t="s">
        <v>116</v>
      </c>
      <c r="M3158" s="10">
        <v>317.69564756962825</v>
      </c>
    </row>
    <row r="3159" spans="11:13" x14ac:dyDescent="0.25">
      <c r="K3159" s="26" t="s">
        <v>109</v>
      </c>
      <c r="L3159" s="27" t="s">
        <v>117</v>
      </c>
      <c r="M3159" s="10">
        <v>317.69564756962825</v>
      </c>
    </row>
    <row r="3160" spans="11:13" x14ac:dyDescent="0.25">
      <c r="K3160" s="26" t="s">
        <v>109</v>
      </c>
      <c r="L3160" s="27" t="s">
        <v>118</v>
      </c>
      <c r="M3160" s="10">
        <v>317.69564756962825</v>
      </c>
    </row>
    <row r="3161" spans="11:13" x14ac:dyDescent="0.25">
      <c r="K3161" s="26" t="s">
        <v>110</v>
      </c>
      <c r="L3161" s="27" t="s">
        <v>119</v>
      </c>
      <c r="M3161" s="10">
        <v>11.355262553406535</v>
      </c>
    </row>
    <row r="3162" spans="11:13" x14ac:dyDescent="0.25">
      <c r="K3162" s="26" t="s">
        <v>110</v>
      </c>
      <c r="L3162" s="27" t="s">
        <v>115</v>
      </c>
      <c r="M3162" s="10">
        <v>50</v>
      </c>
    </row>
    <row r="3163" spans="11:13" x14ac:dyDescent="0.25">
      <c r="K3163" s="26" t="s">
        <v>111</v>
      </c>
      <c r="L3163" s="27" t="s">
        <v>116</v>
      </c>
      <c r="M3163" s="10">
        <v>110.22927689594357</v>
      </c>
    </row>
    <row r="3164" spans="11:13" x14ac:dyDescent="0.25">
      <c r="K3164" s="26" t="s">
        <v>113</v>
      </c>
      <c r="L3164" s="27" t="s">
        <v>117</v>
      </c>
      <c r="M3164" s="10">
        <v>992.06349206349205</v>
      </c>
    </row>
    <row r="3165" spans="11:13" x14ac:dyDescent="0.25">
      <c r="K3165" s="26" t="s">
        <v>112</v>
      </c>
      <c r="L3165" s="27" t="s">
        <v>118</v>
      </c>
      <c r="M3165" s="10">
        <v>330.68783068783068</v>
      </c>
    </row>
    <row r="3166" spans="11:13" x14ac:dyDescent="0.25">
      <c r="K3166" s="26" t="s">
        <v>109</v>
      </c>
      <c r="L3166" s="27" t="s">
        <v>119</v>
      </c>
      <c r="M3166" s="10">
        <v>1643.8094363026601</v>
      </c>
    </row>
    <row r="3167" spans="11:13" x14ac:dyDescent="0.25">
      <c r="K3167" s="26" t="s">
        <v>111</v>
      </c>
      <c r="L3167" s="27" t="s">
        <v>115</v>
      </c>
      <c r="M3167" s="10">
        <v>64.24010381200776</v>
      </c>
    </row>
    <row r="3168" spans="11:13" x14ac:dyDescent="0.25">
      <c r="K3168" s="26" t="s">
        <v>111</v>
      </c>
      <c r="L3168" s="27" t="s">
        <v>116</v>
      </c>
      <c r="M3168" s="10">
        <v>15.403573629081947</v>
      </c>
    </row>
    <row r="3169" spans="11:13" x14ac:dyDescent="0.25">
      <c r="K3169" s="26" t="s">
        <v>110</v>
      </c>
      <c r="L3169" s="27" t="s">
        <v>117</v>
      </c>
      <c r="M3169" s="10">
        <v>23.105360443622921</v>
      </c>
    </row>
    <row r="3170" spans="11:13" x14ac:dyDescent="0.25">
      <c r="K3170" s="26" t="s">
        <v>110</v>
      </c>
      <c r="L3170" s="27" t="s">
        <v>118</v>
      </c>
      <c r="M3170" s="10">
        <v>15.403573629081947</v>
      </c>
    </row>
    <row r="3171" spans="11:13" x14ac:dyDescent="0.25">
      <c r="K3171" s="26" t="s">
        <v>110</v>
      </c>
      <c r="L3171" s="27" t="s">
        <v>119</v>
      </c>
      <c r="M3171" s="10">
        <v>23.105360443622921</v>
      </c>
    </row>
    <row r="3172" spans="11:13" x14ac:dyDescent="0.25">
      <c r="K3172" s="26" t="s">
        <v>110</v>
      </c>
      <c r="L3172" s="27" t="s">
        <v>115</v>
      </c>
      <c r="M3172" s="10">
        <v>50.705467372134038</v>
      </c>
    </row>
    <row r="3173" spans="11:13" x14ac:dyDescent="0.25">
      <c r="K3173" s="26" t="s">
        <v>109</v>
      </c>
      <c r="L3173" s="27" t="s">
        <v>116</v>
      </c>
      <c r="M3173" s="10">
        <v>35.273368606701936</v>
      </c>
    </row>
    <row r="3174" spans="11:13" x14ac:dyDescent="0.25">
      <c r="K3174" s="26" t="s">
        <v>109</v>
      </c>
      <c r="L3174" s="27" t="s">
        <v>117</v>
      </c>
      <c r="M3174" s="10">
        <v>20.257677659833075</v>
      </c>
    </row>
    <row r="3175" spans="11:13" x14ac:dyDescent="0.25">
      <c r="K3175" s="26" t="s">
        <v>109</v>
      </c>
      <c r="L3175" s="27" t="s">
        <v>118</v>
      </c>
      <c r="M3175" s="10">
        <v>52.949274594938046</v>
      </c>
    </row>
    <row r="3176" spans="11:13" x14ac:dyDescent="0.25">
      <c r="K3176" s="26" t="s">
        <v>109</v>
      </c>
      <c r="L3176" s="27" t="s">
        <v>119</v>
      </c>
      <c r="M3176" s="10">
        <v>38.54406228720466</v>
      </c>
    </row>
    <row r="3177" spans="11:13" x14ac:dyDescent="0.25">
      <c r="K3177" s="26" t="s">
        <v>111</v>
      </c>
      <c r="L3177" s="27" t="s">
        <v>115</v>
      </c>
      <c r="M3177" s="10">
        <v>26.803350970017636</v>
      </c>
    </row>
    <row r="3178" spans="11:13" x14ac:dyDescent="0.25">
      <c r="K3178" s="26" t="s">
        <v>111</v>
      </c>
      <c r="L3178" s="27" t="s">
        <v>116</v>
      </c>
      <c r="M3178" s="10">
        <v>211.79709837975219</v>
      </c>
    </row>
    <row r="3179" spans="11:13" x14ac:dyDescent="0.25">
      <c r="K3179" s="26" t="s">
        <v>110</v>
      </c>
      <c r="L3179" s="27" t="s">
        <v>117</v>
      </c>
      <c r="M3179" s="10">
        <v>55.114638447971785</v>
      </c>
    </row>
    <row r="3180" spans="11:13" x14ac:dyDescent="0.25">
      <c r="K3180" s="26" t="s">
        <v>110</v>
      </c>
      <c r="L3180" s="27" t="s">
        <v>118</v>
      </c>
      <c r="M3180" s="10">
        <v>55.114638447971785</v>
      </c>
    </row>
    <row r="3181" spans="11:13" x14ac:dyDescent="0.25">
      <c r="K3181" s="26" t="s">
        <v>109</v>
      </c>
      <c r="L3181" s="27" t="s">
        <v>119</v>
      </c>
      <c r="M3181" s="10">
        <v>55.114638447971785</v>
      </c>
    </row>
    <row r="3182" spans="11:13" x14ac:dyDescent="0.25">
      <c r="K3182" s="26" t="s">
        <v>109</v>
      </c>
      <c r="L3182" s="27" t="s">
        <v>115</v>
      </c>
      <c r="M3182" s="10">
        <v>55.114638447971785</v>
      </c>
    </row>
    <row r="3183" spans="11:13" x14ac:dyDescent="0.25">
      <c r="K3183" s="26" t="s">
        <v>113</v>
      </c>
      <c r="L3183" s="27" t="s">
        <v>116</v>
      </c>
      <c r="M3183" s="10">
        <v>814.73032426266911</v>
      </c>
    </row>
    <row r="3184" spans="11:13" x14ac:dyDescent="0.25">
      <c r="K3184" s="26" t="s">
        <v>113</v>
      </c>
      <c r="L3184" s="27" t="s">
        <v>117</v>
      </c>
      <c r="M3184" s="10">
        <v>0.97236852767198778</v>
      </c>
    </row>
    <row r="3185" spans="11:13" x14ac:dyDescent="0.25">
      <c r="K3185" s="26" t="s">
        <v>110</v>
      </c>
      <c r="L3185" s="27" t="s">
        <v>118</v>
      </c>
      <c r="M3185" s="10">
        <v>46.210720887245841</v>
      </c>
    </row>
    <row r="3186" spans="11:13" x14ac:dyDescent="0.25">
      <c r="K3186" s="26" t="s">
        <v>110</v>
      </c>
      <c r="L3186" s="27" t="s">
        <v>119</v>
      </c>
      <c r="M3186" s="10">
        <v>48.883819455760147</v>
      </c>
    </row>
    <row r="3187" spans="11:13" x14ac:dyDescent="0.25">
      <c r="K3187" s="26" t="s">
        <v>112</v>
      </c>
      <c r="L3187" s="27" t="s">
        <v>115</v>
      </c>
      <c r="M3187" s="10">
        <v>48.883819455760147</v>
      </c>
    </row>
    <row r="3188" spans="11:13" x14ac:dyDescent="0.25">
      <c r="K3188" s="26" t="s">
        <v>112</v>
      </c>
      <c r="L3188" s="27" t="s">
        <v>116</v>
      </c>
      <c r="M3188" s="10">
        <v>184.78083754277333</v>
      </c>
    </row>
    <row r="3189" spans="11:13" x14ac:dyDescent="0.25">
      <c r="K3189" s="26" t="s">
        <v>112</v>
      </c>
      <c r="L3189" s="27" t="s">
        <v>117</v>
      </c>
      <c r="M3189" s="10">
        <v>308.07147258163894</v>
      </c>
    </row>
    <row r="3190" spans="11:13" x14ac:dyDescent="0.25">
      <c r="K3190" s="26" t="s">
        <v>111</v>
      </c>
      <c r="L3190" s="27" t="s">
        <v>118</v>
      </c>
      <c r="M3190" s="10">
        <v>184.84288354898337</v>
      </c>
    </row>
    <row r="3191" spans="11:13" x14ac:dyDescent="0.25">
      <c r="K3191" s="26" t="s">
        <v>111</v>
      </c>
      <c r="L3191" s="27" t="s">
        <v>119</v>
      </c>
      <c r="M3191" s="10">
        <v>7.7017868145409736</v>
      </c>
    </row>
    <row r="3192" spans="11:13" x14ac:dyDescent="0.25">
      <c r="K3192" s="26" t="s">
        <v>111</v>
      </c>
      <c r="L3192" s="27" t="s">
        <v>115</v>
      </c>
      <c r="M3192" s="10">
        <v>7.7017868145409736</v>
      </c>
    </row>
    <row r="3193" spans="11:13" x14ac:dyDescent="0.25">
      <c r="K3193" s="26" t="s">
        <v>110</v>
      </c>
      <c r="L3193" s="27" t="s">
        <v>116</v>
      </c>
      <c r="M3193" s="10">
        <v>123.22858903265558</v>
      </c>
    </row>
    <row r="3194" spans="11:13" x14ac:dyDescent="0.25">
      <c r="K3194" s="26" t="s">
        <v>110</v>
      </c>
      <c r="L3194" s="27" t="s">
        <v>117</v>
      </c>
      <c r="M3194" s="10">
        <v>34.470872113064452</v>
      </c>
    </row>
    <row r="3195" spans="11:13" x14ac:dyDescent="0.25">
      <c r="K3195" s="26" t="s">
        <v>109</v>
      </c>
      <c r="L3195" s="27" t="s">
        <v>118</v>
      </c>
      <c r="M3195" s="10">
        <v>3.4470872113064459</v>
      </c>
    </row>
    <row r="3196" spans="11:13" x14ac:dyDescent="0.25">
      <c r="K3196" s="26" t="s">
        <v>109</v>
      </c>
      <c r="L3196" s="27" t="s">
        <v>119</v>
      </c>
      <c r="M3196" s="10">
        <v>183.17198933939025</v>
      </c>
    </row>
    <row r="3197" spans="11:13" x14ac:dyDescent="0.25">
      <c r="K3197" s="26" t="s">
        <v>109</v>
      </c>
      <c r="L3197" s="27" t="s">
        <v>115</v>
      </c>
      <c r="M3197" s="10">
        <v>457.92997334847558</v>
      </c>
    </row>
    <row r="3198" spans="11:13" x14ac:dyDescent="0.25">
      <c r="K3198" s="26" t="s">
        <v>110</v>
      </c>
      <c r="L3198" s="27" t="s">
        <v>116</v>
      </c>
      <c r="M3198" s="10">
        <v>45.792997334847563</v>
      </c>
    </row>
    <row r="3199" spans="11:13" x14ac:dyDescent="0.25">
      <c r="K3199" s="26" t="s">
        <v>110</v>
      </c>
      <c r="L3199" s="27" t="s">
        <v>117</v>
      </c>
      <c r="M3199" s="10">
        <v>274.75798400908536</v>
      </c>
    </row>
    <row r="3200" spans="11:13" x14ac:dyDescent="0.25">
      <c r="K3200" s="26" t="s">
        <v>109</v>
      </c>
      <c r="L3200" s="27" t="s">
        <v>118</v>
      </c>
      <c r="M3200" s="10">
        <v>52.949274594938046</v>
      </c>
    </row>
    <row r="3201" spans="11:13" x14ac:dyDescent="0.25">
      <c r="K3201" s="26" t="s">
        <v>109</v>
      </c>
      <c r="L3201" s="27" t="s">
        <v>119</v>
      </c>
      <c r="M3201" s="10">
        <v>105.89854918987609</v>
      </c>
    </row>
    <row r="3202" spans="11:13" x14ac:dyDescent="0.25">
      <c r="K3202" s="26" t="s">
        <v>109</v>
      </c>
      <c r="L3202" s="27" t="s">
        <v>115</v>
      </c>
      <c r="M3202" s="10">
        <v>105.89854918987609</v>
      </c>
    </row>
    <row r="3203" spans="11:13" x14ac:dyDescent="0.25">
      <c r="K3203" s="26" t="s">
        <v>110</v>
      </c>
      <c r="L3203" s="27" t="s">
        <v>116</v>
      </c>
      <c r="M3203" s="10">
        <v>25.696041524803107</v>
      </c>
    </row>
    <row r="3204" spans="11:13" x14ac:dyDescent="0.25">
      <c r="K3204" s="26" t="s">
        <v>111</v>
      </c>
      <c r="L3204" s="27" t="s">
        <v>117</v>
      </c>
      <c r="M3204" s="10">
        <v>30.807147258163894</v>
      </c>
    </row>
    <row r="3205" spans="11:13" x14ac:dyDescent="0.25">
      <c r="K3205" s="26" t="s">
        <v>111</v>
      </c>
      <c r="L3205" s="27" t="s">
        <v>118</v>
      </c>
      <c r="M3205" s="10">
        <v>18.484288354898336</v>
      </c>
    </row>
    <row r="3206" spans="11:13" x14ac:dyDescent="0.25">
      <c r="K3206" s="26" t="s">
        <v>110</v>
      </c>
      <c r="L3206" s="27" t="s">
        <v>119</v>
      </c>
      <c r="M3206" s="10">
        <v>77.017868145409736</v>
      </c>
    </row>
    <row r="3207" spans="11:13" x14ac:dyDescent="0.25">
      <c r="K3207" s="26" t="s">
        <v>111</v>
      </c>
      <c r="L3207" s="27" t="s">
        <v>115</v>
      </c>
      <c r="M3207" s="10">
        <v>77.017868145409736</v>
      </c>
    </row>
    <row r="3208" spans="11:13" x14ac:dyDescent="0.25">
      <c r="K3208" s="26" t="s">
        <v>111</v>
      </c>
      <c r="L3208" s="27" t="s">
        <v>116</v>
      </c>
      <c r="M3208" s="10">
        <v>308.07147258163894</v>
      </c>
    </row>
    <row r="3209" spans="11:13" x14ac:dyDescent="0.25">
      <c r="K3209" s="26" t="s">
        <v>109</v>
      </c>
      <c r="L3209" s="27" t="s">
        <v>117</v>
      </c>
      <c r="M3209" s="10">
        <v>132.27513227513228</v>
      </c>
    </row>
    <row r="3210" spans="11:13" x14ac:dyDescent="0.25">
      <c r="K3210" s="26" t="s">
        <v>113</v>
      </c>
      <c r="L3210" s="27" t="s">
        <v>118</v>
      </c>
      <c r="M3210" s="10">
        <v>18.317198933939025</v>
      </c>
    </row>
    <row r="3211" spans="11:13" x14ac:dyDescent="0.25">
      <c r="K3211" s="26" t="s">
        <v>110</v>
      </c>
      <c r="L3211" s="27" t="s">
        <v>119</v>
      </c>
      <c r="M3211" s="10">
        <v>18.317198933939025</v>
      </c>
    </row>
    <row r="3212" spans="11:13" x14ac:dyDescent="0.25">
      <c r="K3212" s="26" t="s">
        <v>110</v>
      </c>
      <c r="L3212" s="27" t="s">
        <v>115</v>
      </c>
      <c r="M3212" s="10">
        <v>549.51596801817072</v>
      </c>
    </row>
    <row r="3213" spans="11:13" x14ac:dyDescent="0.25">
      <c r="K3213" s="26" t="s">
        <v>110</v>
      </c>
      <c r="L3213" s="27" t="s">
        <v>116</v>
      </c>
      <c r="M3213" s="10">
        <v>54.951596801817075</v>
      </c>
    </row>
    <row r="3214" spans="11:13" x14ac:dyDescent="0.25">
      <c r="K3214" s="26" t="s">
        <v>112</v>
      </c>
      <c r="L3214" s="27" t="s">
        <v>117</v>
      </c>
      <c r="M3214" s="10">
        <v>61.614294516327789</v>
      </c>
    </row>
    <row r="3215" spans="11:13" x14ac:dyDescent="0.25">
      <c r="K3215" s="26" t="s">
        <v>110</v>
      </c>
      <c r="L3215" s="27" t="s">
        <v>118</v>
      </c>
      <c r="M3215" s="10">
        <v>18.317198933939025</v>
      </c>
    </row>
    <row r="3216" spans="11:13" x14ac:dyDescent="0.25">
      <c r="K3216" s="26" t="s">
        <v>110</v>
      </c>
      <c r="L3216" s="27" t="s">
        <v>119</v>
      </c>
      <c r="M3216" s="10">
        <v>36.63439786787805</v>
      </c>
    </row>
    <row r="3217" spans="11:13" x14ac:dyDescent="0.25">
      <c r="K3217" s="26" t="s">
        <v>109</v>
      </c>
      <c r="L3217" s="27" t="s">
        <v>115</v>
      </c>
      <c r="M3217" s="10">
        <v>366.3439786787805</v>
      </c>
    </row>
    <row r="3218" spans="11:13" x14ac:dyDescent="0.25">
      <c r="K3218" s="26" t="s">
        <v>109</v>
      </c>
      <c r="L3218" s="27" t="s">
        <v>116</v>
      </c>
      <c r="M3218" s="10">
        <v>45.792997334847563</v>
      </c>
    </row>
    <row r="3219" spans="11:13" x14ac:dyDescent="0.25">
      <c r="K3219" s="26" t="s">
        <v>109</v>
      </c>
      <c r="L3219" s="27" t="s">
        <v>117</v>
      </c>
      <c r="M3219" s="10">
        <v>73.2687957357561</v>
      </c>
    </row>
    <row r="3220" spans="11:13" x14ac:dyDescent="0.25">
      <c r="K3220" s="26" t="s">
        <v>109</v>
      </c>
      <c r="L3220" s="27" t="s">
        <v>118</v>
      </c>
      <c r="M3220" s="10">
        <v>91.585994669695125</v>
      </c>
    </row>
    <row r="3221" spans="11:13" x14ac:dyDescent="0.25">
      <c r="K3221" s="26" t="s">
        <v>110</v>
      </c>
      <c r="L3221" s="27" t="s">
        <v>119</v>
      </c>
      <c r="M3221" s="10">
        <v>231.05360443622922</v>
      </c>
    </row>
    <row r="3222" spans="11:13" x14ac:dyDescent="0.25">
      <c r="K3222" s="26" t="s">
        <v>111</v>
      </c>
      <c r="L3222" s="27" t="s">
        <v>115</v>
      </c>
      <c r="M3222" s="10">
        <v>47.8331569664903</v>
      </c>
    </row>
    <row r="3223" spans="11:13" x14ac:dyDescent="0.25">
      <c r="K3223" s="26" t="s">
        <v>110</v>
      </c>
      <c r="L3223" s="27" t="s">
        <v>116</v>
      </c>
      <c r="M3223" s="10">
        <v>44.091710758377424</v>
      </c>
    </row>
    <row r="3224" spans="11:13" x14ac:dyDescent="0.25">
      <c r="K3224" s="26" t="s">
        <v>110</v>
      </c>
      <c r="L3224" s="27" t="s">
        <v>117</v>
      </c>
      <c r="M3224" s="10">
        <v>55.114638447971785</v>
      </c>
    </row>
    <row r="3225" spans="11:13" x14ac:dyDescent="0.25">
      <c r="K3225" s="26" t="s">
        <v>109</v>
      </c>
      <c r="L3225" s="27" t="s">
        <v>118</v>
      </c>
      <c r="M3225" s="10">
        <v>44.091710758377424</v>
      </c>
    </row>
    <row r="3226" spans="11:13" x14ac:dyDescent="0.25">
      <c r="K3226" s="26" t="s">
        <v>109</v>
      </c>
      <c r="L3226" s="27" t="s">
        <v>119</v>
      </c>
      <c r="M3226" s="10">
        <v>53.912507701786815</v>
      </c>
    </row>
    <row r="3227" spans="11:13" x14ac:dyDescent="0.25">
      <c r="K3227" s="26" t="s">
        <v>111</v>
      </c>
      <c r="L3227" s="27" t="s">
        <v>115</v>
      </c>
      <c r="M3227" s="10">
        <v>154.03573629081947</v>
      </c>
    </row>
    <row r="3228" spans="11:13" x14ac:dyDescent="0.25">
      <c r="K3228" s="26" t="s">
        <v>111</v>
      </c>
      <c r="L3228" s="27" t="s">
        <v>116</v>
      </c>
      <c r="M3228" s="10">
        <v>308.07147258163894</v>
      </c>
    </row>
    <row r="3229" spans="11:13" x14ac:dyDescent="0.25">
      <c r="K3229" s="26" t="s">
        <v>112</v>
      </c>
      <c r="L3229" s="27" t="s">
        <v>117</v>
      </c>
      <c r="M3229" s="10">
        <v>154.03573629081947</v>
      </c>
    </row>
    <row r="3230" spans="11:13" x14ac:dyDescent="0.25">
      <c r="K3230" s="26" t="s">
        <v>112</v>
      </c>
      <c r="L3230" s="27" t="s">
        <v>118</v>
      </c>
      <c r="M3230" s="10">
        <v>154.03573629081947</v>
      </c>
    </row>
    <row r="3231" spans="11:13" x14ac:dyDescent="0.25">
      <c r="K3231" s="26" t="s">
        <v>110</v>
      </c>
      <c r="L3231" s="27" t="s">
        <v>119</v>
      </c>
      <c r="M3231" s="10">
        <v>7.7017868145409736</v>
      </c>
    </row>
    <row r="3232" spans="11:13" x14ac:dyDescent="0.25">
      <c r="K3232" s="26" t="s">
        <v>110</v>
      </c>
      <c r="L3232" s="27" t="s">
        <v>115</v>
      </c>
      <c r="M3232" s="10">
        <v>55.114638447971785</v>
      </c>
    </row>
    <row r="3233" spans="11:13" x14ac:dyDescent="0.25">
      <c r="K3233" s="26" t="s">
        <v>109</v>
      </c>
      <c r="L3233" s="27" t="s">
        <v>116</v>
      </c>
      <c r="M3233" s="10">
        <v>39.107055564608117</v>
      </c>
    </row>
    <row r="3234" spans="11:13" x14ac:dyDescent="0.25">
      <c r="K3234" s="26" t="s">
        <v>109</v>
      </c>
      <c r="L3234" s="27" t="s">
        <v>117</v>
      </c>
      <c r="M3234" s="10">
        <v>44.091710758377424</v>
      </c>
    </row>
    <row r="3235" spans="11:13" x14ac:dyDescent="0.25">
      <c r="K3235" s="26" t="s">
        <v>110</v>
      </c>
      <c r="L3235" s="27" t="s">
        <v>118</v>
      </c>
      <c r="M3235" s="10">
        <v>55.114638447971785</v>
      </c>
    </row>
    <row r="3236" spans="11:13" x14ac:dyDescent="0.25">
      <c r="K3236" s="26" t="s">
        <v>110</v>
      </c>
      <c r="L3236" s="27" t="s">
        <v>119</v>
      </c>
      <c r="M3236" s="10">
        <v>8.4796937031850241</v>
      </c>
    </row>
    <row r="3237" spans="11:13" x14ac:dyDescent="0.25">
      <c r="K3237" s="26" t="s">
        <v>109</v>
      </c>
      <c r="L3237" s="27" t="s">
        <v>115</v>
      </c>
      <c r="M3237" s="10">
        <v>84.719654959950716</v>
      </c>
    </row>
    <row r="3238" spans="11:13" x14ac:dyDescent="0.25">
      <c r="K3238" s="26" t="s">
        <v>109</v>
      </c>
      <c r="L3238" s="27" t="s">
        <v>116</v>
      </c>
      <c r="M3238" s="10">
        <v>70</v>
      </c>
    </row>
    <row r="3239" spans="11:13" x14ac:dyDescent="0.25">
      <c r="K3239" s="26" t="s">
        <v>109</v>
      </c>
      <c r="L3239" s="27" t="s">
        <v>117</v>
      </c>
      <c r="M3239" s="10">
        <v>154.03573629081947</v>
      </c>
    </row>
    <row r="3240" spans="11:13" x14ac:dyDescent="0.25">
      <c r="K3240" s="26" t="s">
        <v>109</v>
      </c>
      <c r="L3240" s="27" t="s">
        <v>118</v>
      </c>
      <c r="M3240" s="10">
        <v>20.332717190388173</v>
      </c>
    </row>
    <row r="3241" spans="11:13" x14ac:dyDescent="0.25">
      <c r="K3241" s="26" t="s">
        <v>109</v>
      </c>
      <c r="L3241" s="27" t="s">
        <v>119</v>
      </c>
      <c r="M3241" s="10">
        <v>17.235436056532226</v>
      </c>
    </row>
    <row r="3242" spans="11:13" x14ac:dyDescent="0.25">
      <c r="K3242" s="26" t="s">
        <v>109</v>
      </c>
      <c r="L3242" s="27" t="s">
        <v>115</v>
      </c>
      <c r="M3242" s="10">
        <v>41.365046535677351</v>
      </c>
    </row>
    <row r="3243" spans="11:13" x14ac:dyDescent="0.25">
      <c r="K3243" s="26" t="s">
        <v>109</v>
      </c>
      <c r="L3243" s="27" t="s">
        <v>116</v>
      </c>
      <c r="M3243" s="10">
        <v>32.12005190600388</v>
      </c>
    </row>
    <row r="3244" spans="11:13" x14ac:dyDescent="0.25">
      <c r="K3244" s="26" t="s">
        <v>110</v>
      </c>
      <c r="L3244" s="27" t="s">
        <v>117</v>
      </c>
      <c r="M3244" s="10">
        <v>154.17624914881864</v>
      </c>
    </row>
    <row r="3245" spans="11:13" x14ac:dyDescent="0.25">
      <c r="K3245" s="26" t="s">
        <v>110</v>
      </c>
      <c r="L3245" s="27" t="s">
        <v>118</v>
      </c>
      <c r="M3245" s="10">
        <v>16.20614212786646</v>
      </c>
    </row>
    <row r="3246" spans="11:13" x14ac:dyDescent="0.25">
      <c r="K3246" s="26" t="s">
        <v>111</v>
      </c>
      <c r="L3246" s="27" t="s">
        <v>119</v>
      </c>
      <c r="M3246" s="10">
        <v>40.515355319666149</v>
      </c>
    </row>
    <row r="3247" spans="11:13" x14ac:dyDescent="0.25">
      <c r="K3247" s="26" t="s">
        <v>111</v>
      </c>
      <c r="L3247" s="27" t="s">
        <v>115</v>
      </c>
      <c r="M3247" s="10">
        <v>52.949274594938046</v>
      </c>
    </row>
    <row r="3248" spans="11:13" x14ac:dyDescent="0.25">
      <c r="K3248" s="26" t="s">
        <v>111</v>
      </c>
      <c r="L3248" s="27" t="s">
        <v>116</v>
      </c>
      <c r="M3248" s="10">
        <v>52.949274594938046</v>
      </c>
    </row>
    <row r="3249" spans="11:13" x14ac:dyDescent="0.25">
      <c r="K3249" s="26" t="s">
        <v>111</v>
      </c>
      <c r="L3249" s="27" t="s">
        <v>117</v>
      </c>
      <c r="M3249" s="10">
        <v>77.017868145409736</v>
      </c>
    </row>
    <row r="3250" spans="11:13" x14ac:dyDescent="0.25">
      <c r="K3250" s="26" t="s">
        <v>111</v>
      </c>
      <c r="L3250" s="27" t="s">
        <v>118</v>
      </c>
      <c r="M3250" s="10">
        <v>110.22927689594357</v>
      </c>
    </row>
    <row r="3251" spans="11:13" x14ac:dyDescent="0.25">
      <c r="K3251" s="26" t="s">
        <v>110</v>
      </c>
      <c r="L3251" s="27" t="s">
        <v>119</v>
      </c>
      <c r="M3251" s="10">
        <v>79.532367709286177</v>
      </c>
    </row>
    <row r="3252" spans="11:13" x14ac:dyDescent="0.25">
      <c r="K3252" s="26" t="s">
        <v>110</v>
      </c>
      <c r="L3252" s="27" t="s">
        <v>115</v>
      </c>
      <c r="M3252" s="10">
        <v>94.797178130511469</v>
      </c>
    </row>
    <row r="3253" spans="11:13" x14ac:dyDescent="0.25">
      <c r="K3253" s="26" t="s">
        <v>111</v>
      </c>
      <c r="L3253" s="27" t="s">
        <v>116</v>
      </c>
      <c r="M3253" s="10">
        <v>8.617718028266113</v>
      </c>
    </row>
    <row r="3254" spans="11:13" x14ac:dyDescent="0.25">
      <c r="K3254" s="26" t="s">
        <v>111</v>
      </c>
      <c r="L3254" s="27" t="s">
        <v>117</v>
      </c>
      <c r="M3254" s="10">
        <v>8.617718028266113</v>
      </c>
    </row>
    <row r="3255" spans="11:13" x14ac:dyDescent="0.25">
      <c r="K3255" s="26" t="s">
        <v>109</v>
      </c>
      <c r="L3255" s="27" t="s">
        <v>118</v>
      </c>
      <c r="M3255" s="10">
        <v>8.617718028266113</v>
      </c>
    </row>
    <row r="3256" spans="11:13" x14ac:dyDescent="0.25">
      <c r="K3256" s="26" t="s">
        <v>109</v>
      </c>
      <c r="L3256" s="27" t="s">
        <v>119</v>
      </c>
      <c r="M3256" s="10">
        <v>8.617718028266113</v>
      </c>
    </row>
    <row r="3257" spans="11:13" x14ac:dyDescent="0.25">
      <c r="K3257" s="26" t="s">
        <v>109</v>
      </c>
      <c r="L3257" s="27" t="s">
        <v>115</v>
      </c>
      <c r="M3257" s="10">
        <v>8.617718028266113</v>
      </c>
    </row>
    <row r="3258" spans="11:13" x14ac:dyDescent="0.25">
      <c r="K3258" s="26" t="s">
        <v>109</v>
      </c>
      <c r="L3258" s="27" t="s">
        <v>116</v>
      </c>
      <c r="M3258" s="10">
        <v>8.617718028266113</v>
      </c>
    </row>
    <row r="3259" spans="11:13" x14ac:dyDescent="0.25">
      <c r="K3259" s="26" t="s">
        <v>112</v>
      </c>
      <c r="L3259" s="27" t="s">
        <v>117</v>
      </c>
      <c r="M3259" s="10">
        <v>84.719654959950716</v>
      </c>
    </row>
    <row r="3260" spans="11:13" x14ac:dyDescent="0.25">
      <c r="K3260" s="26" t="s">
        <v>112</v>
      </c>
      <c r="L3260" s="27" t="s">
        <v>118</v>
      </c>
      <c r="M3260" s="10">
        <v>61.614294516327789</v>
      </c>
    </row>
    <row r="3261" spans="11:13" x14ac:dyDescent="0.25">
      <c r="K3261" s="26" t="s">
        <v>109</v>
      </c>
      <c r="L3261" s="27" t="s">
        <v>119</v>
      </c>
      <c r="M3261" s="10">
        <v>61.614294516327789</v>
      </c>
    </row>
    <row r="3262" spans="11:13" x14ac:dyDescent="0.25">
      <c r="K3262" s="26" t="s">
        <v>109</v>
      </c>
      <c r="L3262" s="27" t="s">
        <v>115</v>
      </c>
      <c r="M3262" s="10">
        <v>69.316081330868769</v>
      </c>
    </row>
    <row r="3263" spans="11:13" x14ac:dyDescent="0.25">
      <c r="K3263" s="26" t="s">
        <v>110</v>
      </c>
      <c r="L3263" s="27" t="s">
        <v>116</v>
      </c>
      <c r="M3263" s="10">
        <v>69.316081330868769</v>
      </c>
    </row>
    <row r="3264" spans="11:13" x14ac:dyDescent="0.25">
      <c r="K3264" s="26" t="s">
        <v>110</v>
      </c>
      <c r="L3264" s="27" t="s">
        <v>117</v>
      </c>
      <c r="M3264" s="10">
        <v>52.757239679605668</v>
      </c>
    </row>
    <row r="3265" spans="11:13" x14ac:dyDescent="0.25">
      <c r="K3265" s="26" t="s">
        <v>109</v>
      </c>
      <c r="L3265" s="27" t="s">
        <v>118</v>
      </c>
      <c r="M3265" s="10">
        <v>274.75798400908536</v>
      </c>
    </row>
    <row r="3266" spans="11:13" x14ac:dyDescent="0.25">
      <c r="K3266" s="26" t="s">
        <v>109</v>
      </c>
      <c r="L3266" s="27" t="s">
        <v>119</v>
      </c>
      <c r="M3266" s="10">
        <v>44.091710758377424</v>
      </c>
    </row>
    <row r="3267" spans="11:13" x14ac:dyDescent="0.25">
      <c r="K3267" s="26" t="s">
        <v>109</v>
      </c>
      <c r="L3267" s="27" t="s">
        <v>115</v>
      </c>
      <c r="M3267" s="10">
        <v>231.05360443622922</v>
      </c>
    </row>
    <row r="3268" spans="11:13" x14ac:dyDescent="0.25">
      <c r="K3268" s="26" t="s">
        <v>109</v>
      </c>
      <c r="L3268" s="27" t="s">
        <v>116</v>
      </c>
      <c r="M3268" s="10">
        <v>231.05360443622922</v>
      </c>
    </row>
    <row r="3269" spans="11:13" x14ac:dyDescent="0.25">
      <c r="K3269" s="26" t="s">
        <v>109</v>
      </c>
      <c r="L3269" s="27" t="s">
        <v>117</v>
      </c>
      <c r="M3269" s="10">
        <v>36.21457178065311</v>
      </c>
    </row>
    <row r="3270" spans="11:13" x14ac:dyDescent="0.25">
      <c r="K3270" s="26" t="s">
        <v>109</v>
      </c>
      <c r="L3270" s="27" t="s">
        <v>118</v>
      </c>
      <c r="M3270" s="10">
        <v>734.50661375661377</v>
      </c>
    </row>
    <row r="3271" spans="11:13" x14ac:dyDescent="0.25">
      <c r="K3271" s="26" t="s">
        <v>109</v>
      </c>
      <c r="L3271" s="27" t="s">
        <v>119</v>
      </c>
      <c r="M3271" s="10">
        <v>11.720096518441917</v>
      </c>
    </row>
    <row r="3272" spans="11:13" x14ac:dyDescent="0.25">
      <c r="K3272" s="26" t="s">
        <v>109</v>
      </c>
      <c r="L3272" s="27" t="s">
        <v>115</v>
      </c>
      <c r="M3272" s="10">
        <v>231.05360443622922</v>
      </c>
    </row>
    <row r="3273" spans="11:13" x14ac:dyDescent="0.25">
      <c r="K3273" s="26" t="s">
        <v>110</v>
      </c>
      <c r="L3273" s="27" t="s">
        <v>116</v>
      </c>
      <c r="M3273" s="10">
        <v>68.941744226128904</v>
      </c>
    </row>
    <row r="3274" spans="11:13" x14ac:dyDescent="0.25">
      <c r="K3274" s="26" t="s">
        <v>110</v>
      </c>
      <c r="L3274" s="27" t="s">
        <v>117</v>
      </c>
      <c r="M3274" s="10">
        <v>539.12507701786819</v>
      </c>
    </row>
    <row r="3275" spans="11:13" x14ac:dyDescent="0.25">
      <c r="K3275" s="26" t="s">
        <v>111</v>
      </c>
      <c r="L3275" s="27" t="s">
        <v>118</v>
      </c>
      <c r="M3275" s="10">
        <v>15.403573629081947</v>
      </c>
    </row>
    <row r="3276" spans="11:13" x14ac:dyDescent="0.25">
      <c r="K3276" s="26" t="s">
        <v>111</v>
      </c>
      <c r="L3276" s="27" t="s">
        <v>119</v>
      </c>
      <c r="M3276" s="10">
        <v>15.403573629081947</v>
      </c>
    </row>
    <row r="3277" spans="11:13" x14ac:dyDescent="0.25">
      <c r="K3277" s="26" t="s">
        <v>111</v>
      </c>
      <c r="L3277" s="27" t="s">
        <v>115</v>
      </c>
      <c r="M3277" s="10">
        <v>40</v>
      </c>
    </row>
    <row r="3278" spans="11:13" x14ac:dyDescent="0.25">
      <c r="K3278" s="26" t="s">
        <v>109</v>
      </c>
      <c r="L3278" s="27" t="s">
        <v>116</v>
      </c>
      <c r="M3278" s="10">
        <v>202.57677659833075</v>
      </c>
    </row>
    <row r="3279" spans="11:13" x14ac:dyDescent="0.25">
      <c r="K3279" s="26" t="s">
        <v>109</v>
      </c>
      <c r="L3279" s="27" t="s">
        <v>117</v>
      </c>
      <c r="M3279" s="10">
        <v>21.179709837975221</v>
      </c>
    </row>
    <row r="3280" spans="11:13" x14ac:dyDescent="0.25">
      <c r="K3280" s="26" t="s">
        <v>109</v>
      </c>
      <c r="L3280" s="27" t="s">
        <v>118</v>
      </c>
      <c r="M3280" s="10">
        <v>222.34826999432786</v>
      </c>
    </row>
    <row r="3281" spans="11:13" x14ac:dyDescent="0.25">
      <c r="K3281" s="26" t="s">
        <v>113</v>
      </c>
      <c r="L3281" s="27" t="s">
        <v>119</v>
      </c>
      <c r="M3281" s="10">
        <v>30.742487119859188</v>
      </c>
    </row>
    <row r="3282" spans="11:13" x14ac:dyDescent="0.25">
      <c r="K3282" s="26" t="s">
        <v>109</v>
      </c>
      <c r="L3282" s="27" t="s">
        <v>115</v>
      </c>
      <c r="M3282" s="10">
        <v>77.160493827160494</v>
      </c>
    </row>
    <row r="3283" spans="11:13" x14ac:dyDescent="0.25">
      <c r="K3283" s="26" t="s">
        <v>109</v>
      </c>
      <c r="L3283" s="27" t="s">
        <v>116</v>
      </c>
      <c r="M3283" s="10">
        <v>23.105360443622921</v>
      </c>
    </row>
    <row r="3284" spans="11:13" x14ac:dyDescent="0.25">
      <c r="K3284" s="26" t="s">
        <v>110</v>
      </c>
      <c r="L3284" s="27" t="s">
        <v>117</v>
      </c>
      <c r="M3284" s="10">
        <v>462.10720887245844</v>
      </c>
    </row>
    <row r="3285" spans="11:13" x14ac:dyDescent="0.25">
      <c r="K3285" s="26" t="s">
        <v>110</v>
      </c>
      <c r="L3285" s="27" t="s">
        <v>118</v>
      </c>
      <c r="M3285" s="10">
        <v>462.10720887245844</v>
      </c>
    </row>
    <row r="3286" spans="11:13" x14ac:dyDescent="0.25">
      <c r="K3286" s="26" t="s">
        <v>109</v>
      </c>
      <c r="L3286" s="27" t="s">
        <v>119</v>
      </c>
      <c r="M3286" s="10">
        <v>616.14294516327789</v>
      </c>
    </row>
    <row r="3287" spans="11:13" x14ac:dyDescent="0.25">
      <c r="K3287" s="26" t="s">
        <v>109</v>
      </c>
      <c r="L3287" s="27" t="s">
        <v>115</v>
      </c>
      <c r="M3287" s="10">
        <v>616.14294516327789</v>
      </c>
    </row>
    <row r="3288" spans="11:13" x14ac:dyDescent="0.25">
      <c r="K3288" s="26" t="s">
        <v>109</v>
      </c>
      <c r="L3288" s="27" t="s">
        <v>116</v>
      </c>
      <c r="M3288" s="10">
        <v>1062.0955574952911</v>
      </c>
    </row>
    <row r="3289" spans="11:13" x14ac:dyDescent="0.25">
      <c r="K3289" s="26" t="s">
        <v>112</v>
      </c>
      <c r="L3289" s="27" t="s">
        <v>117</v>
      </c>
      <c r="M3289" s="10">
        <v>32.12005190600388</v>
      </c>
    </row>
    <row r="3290" spans="11:13" x14ac:dyDescent="0.25">
      <c r="K3290" s="26" t="s">
        <v>109</v>
      </c>
      <c r="L3290" s="27" t="s">
        <v>118</v>
      </c>
      <c r="M3290" s="10">
        <v>12.839030653185684</v>
      </c>
    </row>
    <row r="3291" spans="11:13" x14ac:dyDescent="0.25">
      <c r="K3291" s="26" t="s">
        <v>112</v>
      </c>
      <c r="L3291" s="27" t="s">
        <v>119</v>
      </c>
      <c r="M3291" s="10">
        <v>220.45855379188714</v>
      </c>
    </row>
    <row r="3292" spans="11:13" x14ac:dyDescent="0.25">
      <c r="K3292" s="26" t="s">
        <v>111</v>
      </c>
      <c r="L3292" s="27" t="s">
        <v>115</v>
      </c>
      <c r="M3292" s="10">
        <v>22.045855379188712</v>
      </c>
    </row>
    <row r="3293" spans="11:13" x14ac:dyDescent="0.25">
      <c r="K3293" s="26" t="s">
        <v>111</v>
      </c>
      <c r="L3293" s="27" t="s">
        <v>116</v>
      </c>
      <c r="M3293" s="10">
        <v>21.179709837975221</v>
      </c>
    </row>
    <row r="3294" spans="11:13" x14ac:dyDescent="0.25">
      <c r="K3294" s="26" t="s">
        <v>111</v>
      </c>
      <c r="L3294" s="27" t="s">
        <v>117</v>
      </c>
      <c r="M3294" s="10">
        <v>154.03573629081947</v>
      </c>
    </row>
    <row r="3295" spans="11:13" x14ac:dyDescent="0.25">
      <c r="K3295" s="26" t="s">
        <v>109</v>
      </c>
      <c r="L3295" s="27" t="s">
        <v>118</v>
      </c>
      <c r="M3295" s="10">
        <v>123.22858903265558</v>
      </c>
    </row>
    <row r="3296" spans="11:13" x14ac:dyDescent="0.25">
      <c r="K3296" s="26" t="s">
        <v>109</v>
      </c>
      <c r="L3296" s="27" t="s">
        <v>119</v>
      </c>
      <c r="M3296" s="10">
        <v>123.22858903265558</v>
      </c>
    </row>
    <row r="3297" spans="11:13" x14ac:dyDescent="0.25">
      <c r="K3297" s="26" t="s">
        <v>110</v>
      </c>
      <c r="L3297" s="27" t="s">
        <v>115</v>
      </c>
      <c r="M3297" s="10">
        <v>114.85275876326548</v>
      </c>
    </row>
    <row r="3298" spans="11:13" x14ac:dyDescent="0.25">
      <c r="K3298" s="26" t="s">
        <v>110</v>
      </c>
      <c r="L3298" s="27" t="s">
        <v>116</v>
      </c>
      <c r="M3298" s="10">
        <v>12.848020762401553</v>
      </c>
    </row>
    <row r="3299" spans="11:13" x14ac:dyDescent="0.25">
      <c r="K3299" s="26" t="s">
        <v>109</v>
      </c>
      <c r="L3299" s="27" t="s">
        <v>117</v>
      </c>
      <c r="M3299" s="10">
        <v>25.696041524803107</v>
      </c>
    </row>
    <row r="3300" spans="11:13" x14ac:dyDescent="0.25">
      <c r="K3300" s="26" t="s">
        <v>109</v>
      </c>
      <c r="L3300" s="27" t="s">
        <v>118</v>
      </c>
      <c r="M3300" s="10">
        <v>587.60529100529106</v>
      </c>
    </row>
    <row r="3301" spans="11:13" x14ac:dyDescent="0.25">
      <c r="K3301" s="26" t="s">
        <v>109</v>
      </c>
      <c r="L3301" s="27" t="s">
        <v>119</v>
      </c>
      <c r="M3301" s="10">
        <v>4.3267533301235757</v>
      </c>
    </row>
    <row r="3302" spans="11:13" x14ac:dyDescent="0.25">
      <c r="K3302" s="26" t="s">
        <v>109</v>
      </c>
      <c r="L3302" s="27" t="s">
        <v>115</v>
      </c>
      <c r="M3302" s="10">
        <v>2.1633766650617878</v>
      </c>
    </row>
    <row r="3303" spans="11:13" x14ac:dyDescent="0.25">
      <c r="K3303" s="26" t="s">
        <v>110</v>
      </c>
      <c r="L3303" s="27" t="s">
        <v>116</v>
      </c>
      <c r="M3303" s="10">
        <v>63.657407407407412</v>
      </c>
    </row>
    <row r="3304" spans="11:13" x14ac:dyDescent="0.25">
      <c r="K3304" s="26" t="s">
        <v>110</v>
      </c>
      <c r="L3304" s="27" t="s">
        <v>117</v>
      </c>
      <c r="M3304" s="10">
        <v>308.07147258163894</v>
      </c>
    </row>
    <row r="3305" spans="11:13" x14ac:dyDescent="0.25">
      <c r="K3305" s="26" t="s">
        <v>111</v>
      </c>
      <c r="L3305" s="27" t="s">
        <v>118</v>
      </c>
      <c r="M3305" s="10">
        <v>385.44062287204662</v>
      </c>
    </row>
    <row r="3306" spans="11:13" x14ac:dyDescent="0.25">
      <c r="K3306" s="26" t="s">
        <v>111</v>
      </c>
      <c r="L3306" s="27" t="s">
        <v>119</v>
      </c>
      <c r="M3306" s="10">
        <v>321.2005190600388</v>
      </c>
    </row>
    <row r="3307" spans="11:13" x14ac:dyDescent="0.25">
      <c r="K3307" s="26" t="s">
        <v>110</v>
      </c>
      <c r="L3307" s="27" t="s">
        <v>115</v>
      </c>
      <c r="M3307" s="10">
        <v>165.34391534391534</v>
      </c>
    </row>
    <row r="3308" spans="11:13" x14ac:dyDescent="0.25">
      <c r="K3308" s="26" t="s">
        <v>110</v>
      </c>
      <c r="L3308" s="27" t="s">
        <v>116</v>
      </c>
      <c r="M3308" s="10">
        <v>40</v>
      </c>
    </row>
    <row r="3309" spans="11:13" x14ac:dyDescent="0.25">
      <c r="K3309" s="26" t="s">
        <v>113</v>
      </c>
      <c r="L3309" s="27" t="s">
        <v>117</v>
      </c>
      <c r="M3309" s="10">
        <v>423.59419675950437</v>
      </c>
    </row>
    <row r="3310" spans="11:13" x14ac:dyDescent="0.25">
      <c r="K3310" s="26" t="s">
        <v>113</v>
      </c>
      <c r="L3310" s="27" t="s">
        <v>118</v>
      </c>
      <c r="M3310" s="10">
        <v>55.114638447971785</v>
      </c>
    </row>
    <row r="3311" spans="11:13" x14ac:dyDescent="0.25">
      <c r="K3311" s="26" t="s">
        <v>113</v>
      </c>
      <c r="L3311" s="27" t="s">
        <v>119</v>
      </c>
      <c r="M3311" s="10">
        <v>44.091710758377424</v>
      </c>
    </row>
    <row r="3312" spans="11:13" x14ac:dyDescent="0.25">
      <c r="K3312" s="26" t="s">
        <v>113</v>
      </c>
      <c r="L3312" s="27" t="s">
        <v>115</v>
      </c>
      <c r="M3312" s="10">
        <v>380</v>
      </c>
    </row>
    <row r="3313" spans="11:13" x14ac:dyDescent="0.25">
      <c r="K3313" s="26" t="s">
        <v>112</v>
      </c>
      <c r="L3313" s="27" t="s">
        <v>116</v>
      </c>
      <c r="M3313" s="10">
        <v>2569.6041524803104</v>
      </c>
    </row>
    <row r="3314" spans="11:13" x14ac:dyDescent="0.25">
      <c r="K3314" s="26" t="s">
        <v>112</v>
      </c>
      <c r="L3314" s="27" t="s">
        <v>117</v>
      </c>
      <c r="M3314" s="10">
        <v>215.87356949663393</v>
      </c>
    </row>
    <row r="3315" spans="11:13" x14ac:dyDescent="0.25">
      <c r="K3315" s="26" t="s">
        <v>109</v>
      </c>
      <c r="L3315" s="27" t="s">
        <v>118</v>
      </c>
      <c r="M3315" s="10">
        <v>33.06878306878307</v>
      </c>
    </row>
    <row r="3316" spans="11:13" x14ac:dyDescent="0.25">
      <c r="K3316" s="26" t="s">
        <v>109</v>
      </c>
      <c r="L3316" s="27" t="s">
        <v>119</v>
      </c>
      <c r="M3316" s="10">
        <v>342.76967592592598</v>
      </c>
    </row>
    <row r="3317" spans="11:13" x14ac:dyDescent="0.25">
      <c r="K3317" s="26" t="s">
        <v>111</v>
      </c>
      <c r="L3317" s="27" t="s">
        <v>115</v>
      </c>
      <c r="M3317" s="10">
        <v>970.42513863216266</v>
      </c>
    </row>
    <row r="3318" spans="11:13" x14ac:dyDescent="0.25">
      <c r="K3318" s="26" t="s">
        <v>112</v>
      </c>
      <c r="L3318" s="27" t="s">
        <v>116</v>
      </c>
      <c r="M3318" s="10">
        <v>38.607376766632193</v>
      </c>
    </row>
    <row r="3319" spans="11:13" x14ac:dyDescent="0.25">
      <c r="K3319" s="26" t="s">
        <v>112</v>
      </c>
      <c r="L3319" s="27" t="s">
        <v>117</v>
      </c>
      <c r="M3319" s="10">
        <v>15.246348900658001</v>
      </c>
    </row>
    <row r="3320" spans="11:13" x14ac:dyDescent="0.25">
      <c r="K3320" s="26" t="s">
        <v>109</v>
      </c>
      <c r="L3320" s="27" t="s">
        <v>118</v>
      </c>
      <c r="M3320" s="10">
        <v>0.55114638447971775</v>
      </c>
    </row>
    <row r="3321" spans="11:13" x14ac:dyDescent="0.25">
      <c r="K3321" s="26" t="s">
        <v>111</v>
      </c>
      <c r="L3321" s="27" t="s">
        <v>119</v>
      </c>
      <c r="M3321" s="10">
        <v>1.9841269841269842</v>
      </c>
    </row>
    <row r="3322" spans="11:13" x14ac:dyDescent="0.25">
      <c r="K3322" s="26" t="s">
        <v>109</v>
      </c>
      <c r="L3322" s="27" t="s">
        <v>115</v>
      </c>
      <c r="M3322" s="10">
        <v>0.55114638447971775</v>
      </c>
    </row>
    <row r="3323" spans="11:13" x14ac:dyDescent="0.25">
      <c r="K3323" s="26" t="s">
        <v>109</v>
      </c>
      <c r="L3323" s="27" t="s">
        <v>116</v>
      </c>
      <c r="M3323" s="10">
        <v>0.88183421516754856</v>
      </c>
    </row>
    <row r="3324" spans="11:13" x14ac:dyDescent="0.25">
      <c r="K3324" s="26" t="s">
        <v>109</v>
      </c>
      <c r="L3324" s="27" t="s">
        <v>117</v>
      </c>
      <c r="M3324" s="10">
        <v>109.90319360363415</v>
      </c>
    </row>
    <row r="3325" spans="11:13" x14ac:dyDescent="0.25">
      <c r="K3325" s="26" t="s">
        <v>109</v>
      </c>
      <c r="L3325" s="27" t="s">
        <v>118</v>
      </c>
      <c r="M3325" s="10">
        <v>60</v>
      </c>
    </row>
    <row r="3326" spans="11:13" x14ac:dyDescent="0.25">
      <c r="K3326" s="26" t="s">
        <v>109</v>
      </c>
      <c r="L3326" s="27" t="s">
        <v>119</v>
      </c>
      <c r="M3326" s="10">
        <v>22.045855379188712</v>
      </c>
    </row>
    <row r="3327" spans="11:13" x14ac:dyDescent="0.25">
      <c r="K3327" s="26" t="s">
        <v>109</v>
      </c>
      <c r="L3327" s="27" t="s">
        <v>115</v>
      </c>
      <c r="M3327" s="10">
        <v>314.42041446208117</v>
      </c>
    </row>
    <row r="3328" spans="11:13" x14ac:dyDescent="0.25">
      <c r="K3328" s="26" t="s">
        <v>109</v>
      </c>
      <c r="L3328" s="27" t="s">
        <v>116</v>
      </c>
      <c r="M3328" s="10">
        <v>22.045855379188712</v>
      </c>
    </row>
    <row r="3329" spans="11:13" x14ac:dyDescent="0.25">
      <c r="K3329" s="26" t="s">
        <v>110</v>
      </c>
      <c r="L3329" s="27" t="s">
        <v>117</v>
      </c>
      <c r="M3329" s="10">
        <v>110.22927689594357</v>
      </c>
    </row>
    <row r="3330" spans="11:13" x14ac:dyDescent="0.25">
      <c r="K3330" s="26" t="s">
        <v>110</v>
      </c>
      <c r="L3330" s="27" t="s">
        <v>118</v>
      </c>
      <c r="M3330" s="10">
        <v>66.137566137566139</v>
      </c>
    </row>
    <row r="3331" spans="11:13" x14ac:dyDescent="0.25">
      <c r="K3331" s="26" t="s">
        <v>109</v>
      </c>
      <c r="L3331" s="27" t="s">
        <v>119</v>
      </c>
      <c r="M3331" s="10">
        <v>0.88183421516754856</v>
      </c>
    </row>
    <row r="3332" spans="11:13" x14ac:dyDescent="0.25">
      <c r="K3332" s="26" t="s">
        <v>109</v>
      </c>
      <c r="L3332" s="27" t="s">
        <v>115</v>
      </c>
      <c r="M3332" s="10">
        <v>0.88183421516754856</v>
      </c>
    </row>
    <row r="3333" spans="11:13" x14ac:dyDescent="0.25">
      <c r="K3333" s="26" t="s">
        <v>109</v>
      </c>
      <c r="L3333" s="27" t="s">
        <v>116</v>
      </c>
      <c r="M3333" s="10">
        <v>0.55114638447971775</v>
      </c>
    </row>
    <row r="3334" spans="11:13" x14ac:dyDescent="0.25">
      <c r="K3334" s="26" t="s">
        <v>110</v>
      </c>
      <c r="L3334" s="27" t="s">
        <v>117</v>
      </c>
      <c r="M3334" s="10">
        <v>1.6534391534391535</v>
      </c>
    </row>
    <row r="3335" spans="11:13" x14ac:dyDescent="0.25">
      <c r="K3335" s="26" t="s">
        <v>110</v>
      </c>
      <c r="L3335" s="27" t="s">
        <v>118</v>
      </c>
      <c r="M3335" s="10">
        <v>105.89854918987609</v>
      </c>
    </row>
    <row r="3336" spans="11:13" x14ac:dyDescent="0.25">
      <c r="K3336" s="26" t="s">
        <v>110</v>
      </c>
      <c r="L3336" s="27" t="s">
        <v>119</v>
      </c>
      <c r="M3336" s="10">
        <v>77.017868145409736</v>
      </c>
    </row>
    <row r="3337" spans="11:13" x14ac:dyDescent="0.25">
      <c r="K3337" s="26" t="s">
        <v>110</v>
      </c>
      <c r="L3337" s="27" t="s">
        <v>115</v>
      </c>
      <c r="M3337" s="10">
        <v>350</v>
      </c>
    </row>
    <row r="3338" spans="11:13" x14ac:dyDescent="0.25">
      <c r="K3338" s="26" t="s">
        <v>113</v>
      </c>
      <c r="L3338" s="27" t="s">
        <v>116</v>
      </c>
      <c r="M3338" s="10">
        <v>100</v>
      </c>
    </row>
    <row r="3339" spans="11:13" x14ac:dyDescent="0.25">
      <c r="K3339" s="26" t="s">
        <v>113</v>
      </c>
      <c r="L3339" s="27" t="s">
        <v>117</v>
      </c>
      <c r="M3339" s="10">
        <v>105.89854918987609</v>
      </c>
    </row>
    <row r="3340" spans="11:13" x14ac:dyDescent="0.25">
      <c r="K3340" s="26" t="s">
        <v>113</v>
      </c>
      <c r="L3340" s="27" t="s">
        <v>118</v>
      </c>
      <c r="M3340" s="10">
        <v>105.89854918987609</v>
      </c>
    </row>
    <row r="3341" spans="11:13" x14ac:dyDescent="0.25">
      <c r="K3341" s="26" t="s">
        <v>113</v>
      </c>
      <c r="L3341" s="27" t="s">
        <v>119</v>
      </c>
      <c r="M3341" s="10">
        <v>317.69564756962825</v>
      </c>
    </row>
    <row r="3342" spans="11:13" x14ac:dyDescent="0.25">
      <c r="K3342" s="26" t="s">
        <v>110</v>
      </c>
      <c r="L3342" s="27" t="s">
        <v>115</v>
      </c>
      <c r="M3342" s="10">
        <v>1322.7513227513227</v>
      </c>
    </row>
    <row r="3343" spans="11:13" x14ac:dyDescent="0.25">
      <c r="K3343" s="26" t="s">
        <v>109</v>
      </c>
      <c r="L3343" s="27" t="s">
        <v>116</v>
      </c>
      <c r="M3343" s="10">
        <v>154.32098765432099</v>
      </c>
    </row>
    <row r="3344" spans="11:13" x14ac:dyDescent="0.25">
      <c r="K3344" s="26" t="s">
        <v>112</v>
      </c>
      <c r="L3344" s="27" t="s">
        <v>117</v>
      </c>
      <c r="M3344" s="10">
        <v>46.210720887245841</v>
      </c>
    </row>
    <row r="3345" spans="11:13" x14ac:dyDescent="0.25">
      <c r="K3345" s="26" t="s">
        <v>112</v>
      </c>
      <c r="L3345" s="27" t="s">
        <v>118</v>
      </c>
      <c r="M3345" s="10">
        <v>46.210720887245841</v>
      </c>
    </row>
    <row r="3346" spans="11:13" x14ac:dyDescent="0.25">
      <c r="K3346" s="26" t="s">
        <v>111</v>
      </c>
      <c r="L3346" s="27" t="s">
        <v>119</v>
      </c>
      <c r="M3346" s="10">
        <v>46.210720887245841</v>
      </c>
    </row>
    <row r="3347" spans="11:13" x14ac:dyDescent="0.25">
      <c r="K3347" s="26" t="s">
        <v>111</v>
      </c>
      <c r="L3347" s="27" t="s">
        <v>115</v>
      </c>
      <c r="M3347" s="10">
        <v>46.210720887245841</v>
      </c>
    </row>
    <row r="3348" spans="11:13" x14ac:dyDescent="0.25">
      <c r="K3348" s="26" t="s">
        <v>109</v>
      </c>
      <c r="L3348" s="27" t="s">
        <v>116</v>
      </c>
      <c r="M3348" s="10">
        <v>200.60985395602631</v>
      </c>
    </row>
    <row r="3349" spans="11:13" x14ac:dyDescent="0.25">
      <c r="K3349" s="26" t="s">
        <v>109</v>
      </c>
      <c r="L3349" s="27" t="s">
        <v>117</v>
      </c>
      <c r="M3349" s="10">
        <v>154.03573629081947</v>
      </c>
    </row>
    <row r="3350" spans="11:13" x14ac:dyDescent="0.25">
      <c r="K3350" s="26" t="s">
        <v>109</v>
      </c>
      <c r="L3350" s="27" t="s">
        <v>118</v>
      </c>
      <c r="M3350" s="10">
        <v>88.183421516754848</v>
      </c>
    </row>
    <row r="3351" spans="11:13" x14ac:dyDescent="0.25">
      <c r="K3351" s="26" t="s">
        <v>109</v>
      </c>
      <c r="L3351" s="27" t="s">
        <v>119</v>
      </c>
      <c r="M3351" s="10">
        <v>25.696041524803107</v>
      </c>
    </row>
    <row r="3352" spans="11:13" x14ac:dyDescent="0.25">
      <c r="K3352" s="26" t="s">
        <v>109</v>
      </c>
      <c r="L3352" s="27" t="s">
        <v>115</v>
      </c>
      <c r="M3352" s="10">
        <v>66.137566137566139</v>
      </c>
    </row>
    <row r="3353" spans="11:13" x14ac:dyDescent="0.25">
      <c r="K3353" s="26" t="s">
        <v>109</v>
      </c>
      <c r="L3353" s="27" t="s">
        <v>116</v>
      </c>
      <c r="M3353" s="10">
        <v>55.114638447971785</v>
      </c>
    </row>
    <row r="3354" spans="11:13" x14ac:dyDescent="0.25">
      <c r="K3354" s="26" t="s">
        <v>109</v>
      </c>
      <c r="L3354" s="27" t="s">
        <v>117</v>
      </c>
      <c r="M3354" s="10">
        <v>55.114638447971785</v>
      </c>
    </row>
    <row r="3355" spans="11:13" x14ac:dyDescent="0.25">
      <c r="K3355" s="26" t="s">
        <v>109</v>
      </c>
      <c r="L3355" s="27" t="s">
        <v>118</v>
      </c>
      <c r="M3355" s="10">
        <v>55.114638447971785</v>
      </c>
    </row>
    <row r="3356" spans="11:13" x14ac:dyDescent="0.25">
      <c r="K3356" s="26" t="s">
        <v>109</v>
      </c>
      <c r="L3356" s="27" t="s">
        <v>119</v>
      </c>
      <c r="M3356" s="10">
        <v>55.114638447971785</v>
      </c>
    </row>
    <row r="3357" spans="11:13" x14ac:dyDescent="0.25">
      <c r="K3357" s="26" t="s">
        <v>109</v>
      </c>
      <c r="L3357" s="27" t="s">
        <v>115</v>
      </c>
      <c r="M3357" s="10">
        <v>55.114638447971785</v>
      </c>
    </row>
    <row r="3358" spans="11:13" x14ac:dyDescent="0.25">
      <c r="K3358" s="26" t="s">
        <v>109</v>
      </c>
      <c r="L3358" s="27" t="s">
        <v>116</v>
      </c>
      <c r="M3358" s="10">
        <v>66.137566137566139</v>
      </c>
    </row>
    <row r="3359" spans="11:13" x14ac:dyDescent="0.25">
      <c r="K3359" s="26" t="s">
        <v>109</v>
      </c>
      <c r="L3359" s="27" t="s">
        <v>117</v>
      </c>
      <c r="M3359" s="10">
        <v>66.137566137566139</v>
      </c>
    </row>
    <row r="3360" spans="11:13" x14ac:dyDescent="0.25">
      <c r="K3360" s="26" t="s">
        <v>109</v>
      </c>
      <c r="L3360" s="27" t="s">
        <v>118</v>
      </c>
      <c r="M3360" s="10">
        <v>77.017868145409736</v>
      </c>
    </row>
    <row r="3361" spans="11:13" x14ac:dyDescent="0.25">
      <c r="K3361" s="26" t="s">
        <v>110</v>
      </c>
      <c r="L3361" s="27" t="s">
        <v>119</v>
      </c>
      <c r="M3361" s="10">
        <v>100</v>
      </c>
    </row>
    <row r="3362" spans="11:13" x14ac:dyDescent="0.25">
      <c r="K3362" s="26" t="s">
        <v>110</v>
      </c>
      <c r="L3362" s="27" t="s">
        <v>115</v>
      </c>
      <c r="M3362" s="10">
        <v>91.585994669695125</v>
      </c>
    </row>
    <row r="3363" spans="11:13" x14ac:dyDescent="0.25">
      <c r="K3363" s="26" t="s">
        <v>111</v>
      </c>
      <c r="L3363" s="27" t="s">
        <v>116</v>
      </c>
      <c r="M3363" s="10">
        <v>137.37899200454268</v>
      </c>
    </row>
    <row r="3364" spans="11:13" x14ac:dyDescent="0.25">
      <c r="K3364" s="26" t="s">
        <v>111</v>
      </c>
      <c r="L3364" s="27" t="s">
        <v>117</v>
      </c>
      <c r="M3364" s="10">
        <v>18.317198933939025</v>
      </c>
    </row>
    <row r="3365" spans="11:13" x14ac:dyDescent="0.25">
      <c r="K3365" s="26" t="s">
        <v>110</v>
      </c>
      <c r="L3365" s="27" t="s">
        <v>118</v>
      </c>
      <c r="M3365" s="10">
        <v>18.317198933939025</v>
      </c>
    </row>
    <row r="3366" spans="11:13" x14ac:dyDescent="0.25">
      <c r="K3366" s="26" t="s">
        <v>110</v>
      </c>
      <c r="L3366" s="27" t="s">
        <v>119</v>
      </c>
      <c r="M3366" s="10">
        <v>0</v>
      </c>
    </row>
    <row r="3367" spans="11:13" x14ac:dyDescent="0.25">
      <c r="K3367" s="26" t="s">
        <v>110</v>
      </c>
      <c r="L3367" s="27" t="s">
        <v>115</v>
      </c>
      <c r="M3367" s="10">
        <v>46.210720887245841</v>
      </c>
    </row>
    <row r="3368" spans="11:13" x14ac:dyDescent="0.25">
      <c r="K3368" s="26" t="s">
        <v>110</v>
      </c>
      <c r="L3368" s="27" t="s">
        <v>116</v>
      </c>
      <c r="M3368" s="10">
        <v>77.017868145409736</v>
      </c>
    </row>
    <row r="3369" spans="11:13" x14ac:dyDescent="0.25">
      <c r="K3369" s="26" t="s">
        <v>113</v>
      </c>
      <c r="L3369" s="27" t="s">
        <v>117</v>
      </c>
      <c r="M3369" s="10">
        <v>77.017868145409736</v>
      </c>
    </row>
    <row r="3370" spans="11:13" x14ac:dyDescent="0.25">
      <c r="K3370" s="26" t="s">
        <v>110</v>
      </c>
      <c r="L3370" s="27" t="s">
        <v>118</v>
      </c>
      <c r="M3370" s="10">
        <v>114</v>
      </c>
    </row>
    <row r="3371" spans="11:13" x14ac:dyDescent="0.25">
      <c r="K3371" s="26" t="s">
        <v>110</v>
      </c>
      <c r="L3371" s="27" t="s">
        <v>119</v>
      </c>
      <c r="M3371" s="10">
        <v>12.848020762401553</v>
      </c>
    </row>
    <row r="3372" spans="11:13" x14ac:dyDescent="0.25">
      <c r="K3372" s="26" t="s">
        <v>113</v>
      </c>
      <c r="L3372" s="27" t="s">
        <v>115</v>
      </c>
      <c r="M3372" s="10">
        <v>37.107208994708991</v>
      </c>
    </row>
    <row r="3373" spans="11:13" x14ac:dyDescent="0.25">
      <c r="K3373" s="26" t="s">
        <v>110</v>
      </c>
      <c r="L3373" s="27" t="s">
        <v>116</v>
      </c>
      <c r="M3373" s="10">
        <v>37.107208994708991</v>
      </c>
    </row>
    <row r="3374" spans="11:13" x14ac:dyDescent="0.25">
      <c r="K3374" s="26" t="s">
        <v>110</v>
      </c>
      <c r="L3374" s="27" t="s">
        <v>117</v>
      </c>
      <c r="M3374" s="10">
        <v>37.107208994708991</v>
      </c>
    </row>
    <row r="3375" spans="11:13" x14ac:dyDescent="0.25">
      <c r="K3375" s="26" t="s">
        <v>110</v>
      </c>
      <c r="L3375" s="27" t="s">
        <v>118</v>
      </c>
      <c r="M3375" s="10">
        <v>32.097576632964213</v>
      </c>
    </row>
    <row r="3376" spans="11:13" x14ac:dyDescent="0.25">
      <c r="K3376" s="26" t="s">
        <v>109</v>
      </c>
      <c r="L3376" s="27" t="s">
        <v>119</v>
      </c>
      <c r="M3376" s="10">
        <v>66.137566137566139</v>
      </c>
    </row>
    <row r="3377" spans="11:13" x14ac:dyDescent="0.25">
      <c r="K3377" s="26" t="s">
        <v>111</v>
      </c>
      <c r="L3377" s="27" t="s">
        <v>115</v>
      </c>
      <c r="M3377" s="10">
        <v>66.137566137566139</v>
      </c>
    </row>
    <row r="3378" spans="11:13" x14ac:dyDescent="0.25">
      <c r="K3378" s="26" t="s">
        <v>111</v>
      </c>
      <c r="L3378" s="27" t="s">
        <v>116</v>
      </c>
      <c r="M3378" s="10">
        <v>66.137566137566139</v>
      </c>
    </row>
    <row r="3379" spans="11:13" x14ac:dyDescent="0.25">
      <c r="K3379" s="26" t="s">
        <v>109</v>
      </c>
      <c r="L3379" s="27" t="s">
        <v>117</v>
      </c>
      <c r="M3379" s="10">
        <v>102.78416609921243</v>
      </c>
    </row>
    <row r="3380" spans="11:13" x14ac:dyDescent="0.25">
      <c r="K3380" s="26" t="s">
        <v>111</v>
      </c>
      <c r="L3380" s="27" t="s">
        <v>118</v>
      </c>
      <c r="M3380" s="10">
        <v>200</v>
      </c>
    </row>
    <row r="3381" spans="11:13" x14ac:dyDescent="0.25">
      <c r="K3381" s="26" t="s">
        <v>109</v>
      </c>
      <c r="L3381" s="27" t="s">
        <v>119</v>
      </c>
      <c r="M3381" s="10">
        <v>15.85660117200965</v>
      </c>
    </row>
    <row r="3382" spans="11:13" x14ac:dyDescent="0.25">
      <c r="K3382" s="26" t="s">
        <v>109</v>
      </c>
      <c r="L3382" s="27" t="s">
        <v>115</v>
      </c>
      <c r="M3382" s="10">
        <v>128.48020762401552</v>
      </c>
    </row>
    <row r="3383" spans="11:13" x14ac:dyDescent="0.25">
      <c r="K3383" s="26" t="s">
        <v>111</v>
      </c>
      <c r="L3383" s="27" t="s">
        <v>116</v>
      </c>
      <c r="M3383" s="10">
        <v>256.96041524803104</v>
      </c>
    </row>
    <row r="3384" spans="11:13" x14ac:dyDescent="0.25">
      <c r="K3384" s="26" t="s">
        <v>109</v>
      </c>
      <c r="L3384" s="27" t="s">
        <v>117</v>
      </c>
      <c r="M3384" s="10">
        <v>256.96041524803104</v>
      </c>
    </row>
    <row r="3385" spans="11:13" x14ac:dyDescent="0.25">
      <c r="K3385" s="26" t="s">
        <v>109</v>
      </c>
      <c r="L3385" s="27" t="s">
        <v>118</v>
      </c>
      <c r="M3385" s="10">
        <v>18.317198933939025</v>
      </c>
    </row>
    <row r="3386" spans="11:13" x14ac:dyDescent="0.25">
      <c r="K3386" s="26" t="s">
        <v>110</v>
      </c>
      <c r="L3386" s="27" t="s">
        <v>119</v>
      </c>
      <c r="M3386" s="10">
        <v>50</v>
      </c>
    </row>
    <row r="3387" spans="11:13" x14ac:dyDescent="0.25">
      <c r="K3387" s="26" t="s">
        <v>110</v>
      </c>
      <c r="L3387" s="27" t="s">
        <v>115</v>
      </c>
      <c r="M3387" s="10">
        <v>127.31481481481482</v>
      </c>
    </row>
    <row r="3388" spans="11:13" x14ac:dyDescent="0.25">
      <c r="K3388" s="26" t="s">
        <v>109</v>
      </c>
      <c r="L3388" s="27" t="s">
        <v>116</v>
      </c>
      <c r="M3388" s="10">
        <v>41.887125220458557</v>
      </c>
    </row>
    <row r="3389" spans="11:13" x14ac:dyDescent="0.25">
      <c r="K3389" s="26" t="s">
        <v>109</v>
      </c>
      <c r="L3389" s="27" t="s">
        <v>117</v>
      </c>
      <c r="M3389" s="10">
        <v>128.48020762401552</v>
      </c>
    </row>
    <row r="3390" spans="11:13" x14ac:dyDescent="0.25">
      <c r="K3390" s="26" t="s">
        <v>109</v>
      </c>
      <c r="L3390" s="27" t="s">
        <v>118</v>
      </c>
      <c r="M3390" s="10">
        <v>88.183421516754848</v>
      </c>
    </row>
    <row r="3391" spans="11:13" x14ac:dyDescent="0.25">
      <c r="K3391" s="26" t="s">
        <v>109</v>
      </c>
      <c r="L3391" s="27" t="s">
        <v>119</v>
      </c>
      <c r="M3391" s="10">
        <v>66.137566137566139</v>
      </c>
    </row>
    <row r="3392" spans="11:13" x14ac:dyDescent="0.25">
      <c r="K3392" s="26" t="s">
        <v>109</v>
      </c>
      <c r="L3392" s="27" t="s">
        <v>115</v>
      </c>
      <c r="M3392" s="10">
        <v>66.137566137566139</v>
      </c>
    </row>
    <row r="3393" spans="11:13" x14ac:dyDescent="0.25">
      <c r="K3393" s="26" t="s">
        <v>111</v>
      </c>
      <c r="L3393" s="27" t="s">
        <v>116</v>
      </c>
      <c r="M3393" s="10">
        <v>66.137566137566139</v>
      </c>
    </row>
    <row r="3394" spans="11:13" x14ac:dyDescent="0.25">
      <c r="K3394" s="26" t="s">
        <v>110</v>
      </c>
      <c r="L3394" s="27" t="s">
        <v>117</v>
      </c>
      <c r="M3394" s="10">
        <v>66.137566137566139</v>
      </c>
    </row>
    <row r="3395" spans="11:13" x14ac:dyDescent="0.25">
      <c r="K3395" s="26" t="s">
        <v>111</v>
      </c>
      <c r="L3395" s="27" t="s">
        <v>118</v>
      </c>
      <c r="M3395" s="10">
        <v>66.137566137566139</v>
      </c>
    </row>
    <row r="3396" spans="11:13" x14ac:dyDescent="0.25">
      <c r="K3396" s="26" t="s">
        <v>111</v>
      </c>
      <c r="L3396" s="27" t="s">
        <v>119</v>
      </c>
      <c r="M3396" s="10">
        <v>66.137566137566139</v>
      </c>
    </row>
    <row r="3397" spans="11:13" x14ac:dyDescent="0.25">
      <c r="K3397" s="26" t="s">
        <v>110</v>
      </c>
      <c r="L3397" s="27" t="s">
        <v>115</v>
      </c>
      <c r="M3397" s="10">
        <v>34.561175850860181</v>
      </c>
    </row>
    <row r="3398" spans="11:13" x14ac:dyDescent="0.25">
      <c r="K3398" s="26" t="s">
        <v>112</v>
      </c>
      <c r="L3398" s="27" t="s">
        <v>116</v>
      </c>
      <c r="M3398" s="10">
        <v>89.936145336810867</v>
      </c>
    </row>
    <row r="3399" spans="11:13" x14ac:dyDescent="0.25">
      <c r="K3399" s="26" t="s">
        <v>112</v>
      </c>
      <c r="L3399" s="27" t="s">
        <v>117</v>
      </c>
      <c r="M3399" s="10">
        <v>0</v>
      </c>
    </row>
    <row r="3400" spans="11:13" x14ac:dyDescent="0.25">
      <c r="K3400" s="26" t="s">
        <v>113</v>
      </c>
      <c r="L3400" s="27" t="s">
        <v>118</v>
      </c>
      <c r="M3400" s="10">
        <v>146.5375914715122</v>
      </c>
    </row>
    <row r="3401" spans="11:13" x14ac:dyDescent="0.25">
      <c r="K3401" s="26" t="s">
        <v>110</v>
      </c>
      <c r="L3401" s="27" t="s">
        <v>119</v>
      </c>
      <c r="M3401" s="10">
        <v>183.17198933939025</v>
      </c>
    </row>
    <row r="3402" spans="11:13" x14ac:dyDescent="0.25">
      <c r="K3402" s="26" t="s">
        <v>110</v>
      </c>
      <c r="L3402" s="27" t="s">
        <v>115</v>
      </c>
      <c r="M3402" s="10">
        <v>159.34411583487369</v>
      </c>
    </row>
    <row r="3403" spans="11:13" x14ac:dyDescent="0.25">
      <c r="K3403" s="26" t="s">
        <v>113</v>
      </c>
      <c r="L3403" s="27" t="s">
        <v>116</v>
      </c>
      <c r="M3403" s="10">
        <v>154.43484288354898</v>
      </c>
    </row>
    <row r="3404" spans="11:13" x14ac:dyDescent="0.25">
      <c r="K3404" s="26" t="s">
        <v>110</v>
      </c>
      <c r="L3404" s="27" t="s">
        <v>117</v>
      </c>
      <c r="M3404" s="10">
        <v>159.34411583487369</v>
      </c>
    </row>
    <row r="3405" spans="11:13" x14ac:dyDescent="0.25">
      <c r="K3405" s="26" t="s">
        <v>110</v>
      </c>
      <c r="L3405" s="27" t="s">
        <v>118</v>
      </c>
      <c r="M3405" s="10">
        <v>174.95378927911275</v>
      </c>
    </row>
    <row r="3406" spans="11:13" x14ac:dyDescent="0.25">
      <c r="K3406" s="26" t="s">
        <v>110</v>
      </c>
      <c r="L3406" s="27" t="s">
        <v>119</v>
      </c>
      <c r="M3406" s="10">
        <v>21.010474430067774</v>
      </c>
    </row>
    <row r="3407" spans="11:13" x14ac:dyDescent="0.25">
      <c r="K3407" s="26" t="s">
        <v>109</v>
      </c>
      <c r="L3407" s="27" t="s">
        <v>115</v>
      </c>
      <c r="M3407" s="10">
        <v>158.27171903881703</v>
      </c>
    </row>
    <row r="3408" spans="11:13" x14ac:dyDescent="0.25">
      <c r="K3408" s="26" t="s">
        <v>111</v>
      </c>
      <c r="L3408" s="27" t="s">
        <v>116</v>
      </c>
      <c r="M3408" s="10">
        <v>308.07147258163894</v>
      </c>
    </row>
    <row r="3409" spans="11:13" x14ac:dyDescent="0.25">
      <c r="K3409" s="26" t="s">
        <v>109</v>
      </c>
      <c r="L3409" s="27" t="s">
        <v>117</v>
      </c>
      <c r="M3409" s="10">
        <v>308.07147258163894</v>
      </c>
    </row>
    <row r="3410" spans="11:13" x14ac:dyDescent="0.25">
      <c r="K3410" s="26" t="s">
        <v>109</v>
      </c>
      <c r="L3410" s="27" t="s">
        <v>118</v>
      </c>
      <c r="M3410" s="10">
        <v>462.10720887245844</v>
      </c>
    </row>
    <row r="3411" spans="11:13" x14ac:dyDescent="0.25">
      <c r="K3411" s="26" t="s">
        <v>110</v>
      </c>
      <c r="L3411" s="27" t="s">
        <v>119</v>
      </c>
      <c r="M3411" s="10">
        <v>462.10720887245844</v>
      </c>
    </row>
    <row r="3412" spans="11:13" x14ac:dyDescent="0.25">
      <c r="K3412" s="26" t="s">
        <v>109</v>
      </c>
      <c r="L3412" s="27" t="s">
        <v>115</v>
      </c>
      <c r="M3412" s="10">
        <v>27.475798400908538</v>
      </c>
    </row>
    <row r="3413" spans="11:13" x14ac:dyDescent="0.25">
      <c r="K3413" s="26" t="s">
        <v>109</v>
      </c>
      <c r="L3413" s="27" t="s">
        <v>116</v>
      </c>
      <c r="M3413" s="10">
        <v>61.614294516327789</v>
      </c>
    </row>
    <row r="3414" spans="11:13" x14ac:dyDescent="0.25">
      <c r="K3414" s="26" t="s">
        <v>109</v>
      </c>
      <c r="L3414" s="27" t="s">
        <v>117</v>
      </c>
      <c r="M3414" s="10">
        <v>0</v>
      </c>
    </row>
    <row r="3415" spans="11:13" x14ac:dyDescent="0.25">
      <c r="K3415" s="26" t="s">
        <v>109</v>
      </c>
      <c r="L3415" s="27" t="s">
        <v>118</v>
      </c>
      <c r="M3415" s="10">
        <v>137.37899200454268</v>
      </c>
    </row>
    <row r="3416" spans="11:13" x14ac:dyDescent="0.25">
      <c r="K3416" s="26" t="s">
        <v>111</v>
      </c>
      <c r="L3416" s="27" t="s">
        <v>119</v>
      </c>
      <c r="M3416" s="10">
        <v>164.85479040545121</v>
      </c>
    </row>
    <row r="3417" spans="11:13" x14ac:dyDescent="0.25">
      <c r="K3417" s="26" t="s">
        <v>110</v>
      </c>
      <c r="L3417" s="27" t="s">
        <v>115</v>
      </c>
      <c r="M3417" s="10">
        <v>54.951596801817075</v>
      </c>
    </row>
    <row r="3418" spans="11:13" x14ac:dyDescent="0.25">
      <c r="K3418" s="26" t="s">
        <v>111</v>
      </c>
      <c r="L3418" s="27" t="s">
        <v>116</v>
      </c>
      <c r="M3418" s="10">
        <v>8.2427395202725595</v>
      </c>
    </row>
    <row r="3419" spans="11:13" x14ac:dyDescent="0.25">
      <c r="K3419" s="26" t="s">
        <v>111</v>
      </c>
      <c r="L3419" s="27" t="s">
        <v>117</v>
      </c>
      <c r="M3419" s="10">
        <v>103.41261633919338</v>
      </c>
    </row>
    <row r="3420" spans="11:13" x14ac:dyDescent="0.25">
      <c r="K3420" s="26" t="s">
        <v>112</v>
      </c>
      <c r="L3420" s="27" t="s">
        <v>118</v>
      </c>
      <c r="M3420" s="10">
        <v>3.2747328507411235</v>
      </c>
    </row>
    <row r="3421" spans="11:13" x14ac:dyDescent="0.25">
      <c r="K3421" s="26" t="s">
        <v>112</v>
      </c>
      <c r="L3421" s="27" t="s">
        <v>119</v>
      </c>
      <c r="M3421" s="10">
        <v>330.68783068783068</v>
      </c>
    </row>
    <row r="3422" spans="11:13" x14ac:dyDescent="0.25">
      <c r="K3422" s="26" t="s">
        <v>110</v>
      </c>
      <c r="L3422" s="27" t="s">
        <v>115</v>
      </c>
      <c r="M3422" s="10">
        <v>70.546737213403873</v>
      </c>
    </row>
    <row r="3423" spans="11:13" x14ac:dyDescent="0.25">
      <c r="K3423" s="26" t="s">
        <v>110</v>
      </c>
      <c r="L3423" s="27" t="s">
        <v>116</v>
      </c>
      <c r="M3423" s="10">
        <v>81.69</v>
      </c>
    </row>
    <row r="3424" spans="11:13" x14ac:dyDescent="0.25">
      <c r="K3424" s="26" t="s">
        <v>113</v>
      </c>
      <c r="L3424" s="27" t="s">
        <v>117</v>
      </c>
      <c r="M3424" s="10">
        <v>15.28896136989094</v>
      </c>
    </row>
    <row r="3425" spans="11:13" x14ac:dyDescent="0.25">
      <c r="K3425" s="26" t="s">
        <v>111</v>
      </c>
      <c r="L3425" s="27" t="s">
        <v>118</v>
      </c>
      <c r="M3425" s="10">
        <v>61.484974239718376</v>
      </c>
    </row>
    <row r="3426" spans="11:13" x14ac:dyDescent="0.25">
      <c r="K3426" s="26" t="s">
        <v>110</v>
      </c>
      <c r="L3426" s="27" t="s">
        <v>119</v>
      </c>
      <c r="M3426" s="10">
        <v>105.89854918987609</v>
      </c>
    </row>
    <row r="3427" spans="11:13" x14ac:dyDescent="0.25">
      <c r="K3427" s="26" t="s">
        <v>110</v>
      </c>
      <c r="L3427" s="27" t="s">
        <v>115</v>
      </c>
      <c r="M3427" s="10">
        <v>110.22927689594357</v>
      </c>
    </row>
    <row r="3428" spans="11:13" x14ac:dyDescent="0.25">
      <c r="K3428" s="26" t="s">
        <v>111</v>
      </c>
      <c r="L3428" s="27" t="s">
        <v>116</v>
      </c>
      <c r="M3428" s="10">
        <v>66.137566137566139</v>
      </c>
    </row>
    <row r="3429" spans="11:13" x14ac:dyDescent="0.25">
      <c r="K3429" s="26" t="s">
        <v>109</v>
      </c>
      <c r="L3429" s="27" t="s">
        <v>117</v>
      </c>
      <c r="M3429" s="10">
        <v>44.091710758377424</v>
      </c>
    </row>
    <row r="3430" spans="11:13" x14ac:dyDescent="0.25">
      <c r="K3430" s="26" t="s">
        <v>109</v>
      </c>
      <c r="L3430" s="27" t="s">
        <v>118</v>
      </c>
      <c r="M3430" s="10">
        <v>44.091710758377424</v>
      </c>
    </row>
    <row r="3431" spans="11:13" x14ac:dyDescent="0.25">
      <c r="K3431" s="26" t="s">
        <v>109</v>
      </c>
      <c r="L3431" s="27" t="s">
        <v>119</v>
      </c>
      <c r="M3431" s="10">
        <v>11022.927689594357</v>
      </c>
    </row>
    <row r="3432" spans="11:13" x14ac:dyDescent="0.25">
      <c r="K3432" s="26" t="s">
        <v>109</v>
      </c>
      <c r="L3432" s="27" t="s">
        <v>115</v>
      </c>
      <c r="M3432" s="10">
        <v>55.114638447971785</v>
      </c>
    </row>
    <row r="3433" spans="11:13" x14ac:dyDescent="0.25">
      <c r="K3433" s="26" t="s">
        <v>110</v>
      </c>
      <c r="L3433" s="27" t="s">
        <v>116</v>
      </c>
      <c r="M3433" s="10">
        <v>184.84288354898337</v>
      </c>
    </row>
    <row r="3434" spans="11:13" x14ac:dyDescent="0.25">
      <c r="K3434" s="26" t="s">
        <v>110</v>
      </c>
      <c r="L3434" s="27" t="s">
        <v>117</v>
      </c>
      <c r="M3434" s="10">
        <v>184.84288354898337</v>
      </c>
    </row>
    <row r="3435" spans="11:13" x14ac:dyDescent="0.25">
      <c r="K3435" s="26" t="s">
        <v>109</v>
      </c>
      <c r="L3435" s="27" t="s">
        <v>118</v>
      </c>
      <c r="M3435" s="10">
        <v>77.017868145409736</v>
      </c>
    </row>
    <row r="3436" spans="11:13" x14ac:dyDescent="0.25">
      <c r="K3436" s="26" t="s">
        <v>109</v>
      </c>
      <c r="L3436" s="27" t="s">
        <v>119</v>
      </c>
      <c r="M3436" s="10">
        <v>159.34411583487369</v>
      </c>
    </row>
    <row r="3437" spans="11:13" x14ac:dyDescent="0.25">
      <c r="K3437" s="26" t="s">
        <v>109</v>
      </c>
      <c r="L3437" s="27" t="s">
        <v>115</v>
      </c>
      <c r="M3437" s="10">
        <v>169.43930991990143</v>
      </c>
    </row>
    <row r="3438" spans="11:13" x14ac:dyDescent="0.25">
      <c r="K3438" s="26" t="s">
        <v>110</v>
      </c>
      <c r="L3438" s="27" t="s">
        <v>116</v>
      </c>
      <c r="M3438" s="10">
        <v>107.82501540357363</v>
      </c>
    </row>
    <row r="3439" spans="11:13" x14ac:dyDescent="0.25">
      <c r="K3439" s="26" t="s">
        <v>111</v>
      </c>
      <c r="L3439" s="27" t="s">
        <v>117</v>
      </c>
      <c r="M3439" s="10">
        <v>77.017868145409736</v>
      </c>
    </row>
    <row r="3440" spans="11:13" x14ac:dyDescent="0.25">
      <c r="K3440" s="26" t="s">
        <v>111</v>
      </c>
      <c r="L3440" s="27" t="s">
        <v>118</v>
      </c>
      <c r="M3440" s="10">
        <v>123.22858903265558</v>
      </c>
    </row>
    <row r="3441" spans="11:13" x14ac:dyDescent="0.25">
      <c r="K3441" s="26" t="s">
        <v>111</v>
      </c>
      <c r="L3441" s="27" t="s">
        <v>119</v>
      </c>
      <c r="M3441" s="10">
        <v>77.017868145409736</v>
      </c>
    </row>
    <row r="3442" spans="11:13" x14ac:dyDescent="0.25">
      <c r="K3442" s="26" t="s">
        <v>110</v>
      </c>
      <c r="L3442" s="27" t="s">
        <v>115</v>
      </c>
      <c r="M3442" s="10">
        <v>77.017868145409736</v>
      </c>
    </row>
    <row r="3443" spans="11:13" x14ac:dyDescent="0.25">
      <c r="K3443" s="26" t="s">
        <v>112</v>
      </c>
      <c r="L3443" s="27" t="s">
        <v>116</v>
      </c>
      <c r="M3443" s="10">
        <v>77.017868145409736</v>
      </c>
    </row>
    <row r="3444" spans="11:13" x14ac:dyDescent="0.25">
      <c r="K3444" s="26" t="s">
        <v>112</v>
      </c>
      <c r="L3444" s="27" t="s">
        <v>117</v>
      </c>
      <c r="M3444" s="10">
        <v>123.22858903265558</v>
      </c>
    </row>
    <row r="3445" spans="11:13" x14ac:dyDescent="0.25">
      <c r="K3445" s="26" t="s">
        <v>109</v>
      </c>
      <c r="L3445" s="27" t="s">
        <v>118</v>
      </c>
      <c r="M3445" s="10">
        <v>174.01338987242073</v>
      </c>
    </row>
    <row r="3446" spans="11:13" x14ac:dyDescent="0.25">
      <c r="K3446" s="26" t="s">
        <v>110</v>
      </c>
      <c r="L3446" s="27" t="s">
        <v>119</v>
      </c>
      <c r="M3446" s="10">
        <v>55.114638447971785</v>
      </c>
    </row>
    <row r="3447" spans="11:13" x14ac:dyDescent="0.25">
      <c r="K3447" s="26" t="s">
        <v>111</v>
      </c>
      <c r="L3447" s="27" t="s">
        <v>115</v>
      </c>
      <c r="M3447" s="10">
        <v>2350.2645502645505</v>
      </c>
    </row>
    <row r="3448" spans="11:13" x14ac:dyDescent="0.25">
      <c r="K3448" s="26" t="s">
        <v>111</v>
      </c>
      <c r="L3448" s="27" t="s">
        <v>116</v>
      </c>
      <c r="M3448" s="10">
        <v>256.96041524803104</v>
      </c>
    </row>
    <row r="3449" spans="11:13" x14ac:dyDescent="0.25">
      <c r="K3449" s="26" t="s">
        <v>111</v>
      </c>
      <c r="L3449" s="27" t="s">
        <v>117</v>
      </c>
      <c r="M3449" s="10">
        <v>110.22927689594357</v>
      </c>
    </row>
    <row r="3450" spans="11:13" x14ac:dyDescent="0.25">
      <c r="K3450" s="26" t="s">
        <v>109</v>
      </c>
      <c r="L3450" s="27" t="s">
        <v>118</v>
      </c>
      <c r="M3450" s="10">
        <v>66.137566137566139</v>
      </c>
    </row>
    <row r="3451" spans="11:13" x14ac:dyDescent="0.25">
      <c r="K3451" s="26" t="s">
        <v>109</v>
      </c>
      <c r="L3451" s="27" t="s">
        <v>119</v>
      </c>
      <c r="M3451" s="10">
        <v>33.06878306878307</v>
      </c>
    </row>
    <row r="3452" spans="11:13" x14ac:dyDescent="0.25">
      <c r="K3452" s="26" t="s">
        <v>109</v>
      </c>
      <c r="L3452" s="27" t="s">
        <v>115</v>
      </c>
      <c r="M3452" s="10">
        <v>1155.2680221811461</v>
      </c>
    </row>
    <row r="3453" spans="11:13" x14ac:dyDescent="0.25">
      <c r="K3453" s="26" t="s">
        <v>110</v>
      </c>
      <c r="L3453" s="27" t="s">
        <v>116</v>
      </c>
      <c r="M3453" s="10">
        <v>44.091710758377424</v>
      </c>
    </row>
    <row r="3454" spans="11:13" x14ac:dyDescent="0.25">
      <c r="K3454" s="26" t="s">
        <v>110</v>
      </c>
      <c r="L3454" s="27" t="s">
        <v>117</v>
      </c>
      <c r="M3454" s="10">
        <v>44.091710758377424</v>
      </c>
    </row>
    <row r="3455" spans="11:13" x14ac:dyDescent="0.25">
      <c r="K3455" s="26" t="s">
        <v>109</v>
      </c>
      <c r="L3455" s="27" t="s">
        <v>118</v>
      </c>
      <c r="M3455" s="10">
        <v>66.137566137566139</v>
      </c>
    </row>
    <row r="3456" spans="11:13" x14ac:dyDescent="0.25">
      <c r="K3456" s="26" t="s">
        <v>109</v>
      </c>
      <c r="L3456" s="27" t="s">
        <v>119</v>
      </c>
      <c r="M3456" s="10">
        <v>66.137566137566139</v>
      </c>
    </row>
    <row r="3457" spans="11:13" x14ac:dyDescent="0.25">
      <c r="K3457" s="26" t="s">
        <v>109</v>
      </c>
      <c r="L3457" s="27" t="s">
        <v>115</v>
      </c>
      <c r="M3457" s="10">
        <v>66.137566137566139</v>
      </c>
    </row>
    <row r="3458" spans="11:13" x14ac:dyDescent="0.25">
      <c r="K3458" s="26" t="s">
        <v>109</v>
      </c>
      <c r="L3458" s="27" t="s">
        <v>116</v>
      </c>
      <c r="M3458" s="10">
        <v>66.137566137566139</v>
      </c>
    </row>
    <row r="3459" spans="11:13" x14ac:dyDescent="0.25">
      <c r="K3459" s="26" t="s">
        <v>110</v>
      </c>
      <c r="L3459" s="27" t="s">
        <v>117</v>
      </c>
      <c r="M3459" s="10">
        <v>120.3659123736158</v>
      </c>
    </row>
    <row r="3460" spans="11:13" x14ac:dyDescent="0.25">
      <c r="K3460" s="26" t="s">
        <v>110</v>
      </c>
      <c r="L3460" s="27" t="s">
        <v>118</v>
      </c>
      <c r="M3460" s="10">
        <v>80.243941582410528</v>
      </c>
    </row>
    <row r="3461" spans="11:13" x14ac:dyDescent="0.25">
      <c r="K3461" s="26" t="s">
        <v>112</v>
      </c>
      <c r="L3461" s="27" t="s">
        <v>119</v>
      </c>
      <c r="M3461" s="10">
        <v>96.292729898892631</v>
      </c>
    </row>
    <row r="3462" spans="11:13" x14ac:dyDescent="0.25">
      <c r="K3462" s="26" t="s">
        <v>112</v>
      </c>
      <c r="L3462" s="27" t="s">
        <v>115</v>
      </c>
      <c r="M3462" s="10">
        <v>96.292729898892631</v>
      </c>
    </row>
    <row r="3463" spans="11:13" x14ac:dyDescent="0.25">
      <c r="K3463" s="26" t="s">
        <v>110</v>
      </c>
      <c r="L3463" s="27" t="s">
        <v>116</v>
      </c>
      <c r="M3463" s="10">
        <v>44.091710758377424</v>
      </c>
    </row>
    <row r="3464" spans="11:13" x14ac:dyDescent="0.25">
      <c r="K3464" s="26" t="s">
        <v>110</v>
      </c>
      <c r="L3464" s="27" t="s">
        <v>117</v>
      </c>
      <c r="M3464" s="10">
        <v>86.177180282661155</v>
      </c>
    </row>
    <row r="3465" spans="11:13" x14ac:dyDescent="0.25">
      <c r="K3465" s="26" t="s">
        <v>110</v>
      </c>
      <c r="L3465" s="27" t="s">
        <v>118</v>
      </c>
      <c r="M3465" s="10">
        <v>122.05619724281476</v>
      </c>
    </row>
    <row r="3466" spans="11:13" x14ac:dyDescent="0.25">
      <c r="K3466" s="26" t="s">
        <v>109</v>
      </c>
      <c r="L3466" s="27" t="s">
        <v>119</v>
      </c>
      <c r="M3466" s="10">
        <v>310.23784901758017</v>
      </c>
    </row>
    <row r="3467" spans="11:13" x14ac:dyDescent="0.25">
      <c r="K3467" s="26" t="s">
        <v>109</v>
      </c>
      <c r="L3467" s="27" t="s">
        <v>115</v>
      </c>
      <c r="M3467" s="10">
        <v>86.177180282661155</v>
      </c>
    </row>
    <row r="3468" spans="11:13" x14ac:dyDescent="0.25">
      <c r="K3468" s="26" t="s">
        <v>110</v>
      </c>
      <c r="L3468" s="27" t="s">
        <v>116</v>
      </c>
      <c r="M3468" s="10">
        <v>8.0243941582410532</v>
      </c>
    </row>
    <row r="3469" spans="11:13" x14ac:dyDescent="0.25">
      <c r="K3469" s="26" t="s">
        <v>110</v>
      </c>
      <c r="L3469" s="27" t="s">
        <v>117</v>
      </c>
      <c r="M3469" s="10">
        <v>16.048788316482106</v>
      </c>
    </row>
    <row r="3470" spans="11:13" x14ac:dyDescent="0.25">
      <c r="K3470" s="26" t="s">
        <v>111</v>
      </c>
      <c r="L3470" s="27" t="s">
        <v>118</v>
      </c>
      <c r="M3470" s="10">
        <v>423.59419675950437</v>
      </c>
    </row>
    <row r="3471" spans="11:13" x14ac:dyDescent="0.25">
      <c r="K3471" s="26" t="s">
        <v>111</v>
      </c>
      <c r="L3471" s="27" t="s">
        <v>119</v>
      </c>
      <c r="M3471" s="10">
        <v>52.949274594938046</v>
      </c>
    </row>
    <row r="3472" spans="11:13" x14ac:dyDescent="0.25">
      <c r="K3472" s="26" t="s">
        <v>109</v>
      </c>
      <c r="L3472" s="27" t="s">
        <v>115</v>
      </c>
      <c r="M3472" s="10">
        <v>264.74637297469025</v>
      </c>
    </row>
    <row r="3473" spans="11:13" x14ac:dyDescent="0.25">
      <c r="K3473" s="26" t="s">
        <v>109</v>
      </c>
      <c r="L3473" s="27" t="s">
        <v>116</v>
      </c>
      <c r="M3473" s="10">
        <v>30.807147258163894</v>
      </c>
    </row>
    <row r="3474" spans="11:13" x14ac:dyDescent="0.25">
      <c r="K3474" s="26" t="s">
        <v>110</v>
      </c>
      <c r="L3474" s="27" t="s">
        <v>117</v>
      </c>
      <c r="M3474" s="10">
        <v>30.807147258163894</v>
      </c>
    </row>
    <row r="3475" spans="11:13" x14ac:dyDescent="0.25">
      <c r="K3475" s="26" t="s">
        <v>109</v>
      </c>
      <c r="L3475" s="27" t="s">
        <v>118</v>
      </c>
      <c r="M3475" s="10">
        <v>15.403573629081947</v>
      </c>
    </row>
    <row r="3476" spans="11:13" x14ac:dyDescent="0.25">
      <c r="K3476" s="26" t="s">
        <v>110</v>
      </c>
      <c r="L3476" s="27" t="s">
        <v>119</v>
      </c>
      <c r="M3476" s="10">
        <v>30.807147258163894</v>
      </c>
    </row>
    <row r="3477" spans="11:13" x14ac:dyDescent="0.25">
      <c r="K3477" s="26" t="s">
        <v>110</v>
      </c>
      <c r="L3477" s="27" t="s">
        <v>115</v>
      </c>
      <c r="M3477" s="10">
        <v>423.59419675950437</v>
      </c>
    </row>
    <row r="3478" spans="11:13" x14ac:dyDescent="0.25">
      <c r="K3478" s="26" t="s">
        <v>110</v>
      </c>
      <c r="L3478" s="27" t="s">
        <v>116</v>
      </c>
      <c r="M3478" s="10">
        <v>22.045855379188712</v>
      </c>
    </row>
    <row r="3479" spans="11:13" x14ac:dyDescent="0.25">
      <c r="K3479" s="26" t="s">
        <v>112</v>
      </c>
      <c r="L3479" s="27" t="s">
        <v>117</v>
      </c>
      <c r="M3479" s="10">
        <v>33.06878306878307</v>
      </c>
    </row>
    <row r="3480" spans="11:13" x14ac:dyDescent="0.25">
      <c r="K3480" s="26" t="s">
        <v>112</v>
      </c>
      <c r="L3480" s="27" t="s">
        <v>118</v>
      </c>
      <c r="M3480" s="10">
        <v>44.091710758377424</v>
      </c>
    </row>
    <row r="3481" spans="11:13" x14ac:dyDescent="0.25">
      <c r="K3481" s="26" t="s">
        <v>110</v>
      </c>
      <c r="L3481" s="27" t="s">
        <v>119</v>
      </c>
      <c r="M3481" s="10">
        <v>132.27513227513228</v>
      </c>
    </row>
    <row r="3482" spans="11:13" x14ac:dyDescent="0.25">
      <c r="K3482" s="26" t="s">
        <v>110</v>
      </c>
      <c r="L3482" s="27" t="s">
        <v>115</v>
      </c>
      <c r="M3482" s="10">
        <v>132.27513227513228</v>
      </c>
    </row>
    <row r="3483" spans="11:13" x14ac:dyDescent="0.25">
      <c r="K3483" s="26" t="s">
        <v>110</v>
      </c>
      <c r="L3483" s="27" t="s">
        <v>116</v>
      </c>
      <c r="M3483" s="10">
        <v>132.27513227513228</v>
      </c>
    </row>
    <row r="3484" spans="11:13" x14ac:dyDescent="0.25">
      <c r="K3484" s="26" t="s">
        <v>110</v>
      </c>
      <c r="L3484" s="27" t="s">
        <v>117</v>
      </c>
      <c r="M3484" s="10">
        <v>66.137566137566139</v>
      </c>
    </row>
    <row r="3485" spans="11:13" x14ac:dyDescent="0.25">
      <c r="K3485" s="26" t="s">
        <v>109</v>
      </c>
      <c r="L3485" s="27" t="s">
        <v>118</v>
      </c>
      <c r="M3485" s="10">
        <v>55.114638447971785</v>
      </c>
    </row>
    <row r="3486" spans="11:13" x14ac:dyDescent="0.25">
      <c r="K3486" s="26" t="s">
        <v>110</v>
      </c>
      <c r="L3486" s="27" t="s">
        <v>119</v>
      </c>
      <c r="M3486" s="10">
        <v>105.89854918987609</v>
      </c>
    </row>
    <row r="3487" spans="11:13" x14ac:dyDescent="0.25">
      <c r="K3487" s="26" t="s">
        <v>111</v>
      </c>
      <c r="L3487" s="27" t="s">
        <v>115</v>
      </c>
      <c r="M3487" s="10">
        <v>6.1614294516327792</v>
      </c>
    </row>
    <row r="3488" spans="11:13" x14ac:dyDescent="0.25">
      <c r="K3488" s="26" t="s">
        <v>111</v>
      </c>
      <c r="L3488" s="27" t="s">
        <v>116</v>
      </c>
      <c r="M3488" s="10">
        <v>44.670363524337645</v>
      </c>
    </row>
    <row r="3489" spans="11:13" x14ac:dyDescent="0.25">
      <c r="K3489" s="26" t="s">
        <v>109</v>
      </c>
      <c r="L3489" s="27" t="s">
        <v>117</v>
      </c>
      <c r="M3489" s="10">
        <v>77.017868145409736</v>
      </c>
    </row>
    <row r="3490" spans="11:13" x14ac:dyDescent="0.25">
      <c r="K3490" s="26" t="s">
        <v>109</v>
      </c>
      <c r="L3490" s="27" t="s">
        <v>118</v>
      </c>
      <c r="M3490" s="10">
        <v>28.496611213801604</v>
      </c>
    </row>
    <row r="3491" spans="11:13" x14ac:dyDescent="0.25">
      <c r="K3491" s="26" t="s">
        <v>110</v>
      </c>
      <c r="L3491" s="27" t="s">
        <v>119</v>
      </c>
      <c r="M3491" s="10">
        <v>46.210720887245841</v>
      </c>
    </row>
    <row r="3492" spans="11:13" x14ac:dyDescent="0.25">
      <c r="K3492" s="26" t="s">
        <v>110</v>
      </c>
      <c r="L3492" s="27" t="s">
        <v>115</v>
      </c>
      <c r="M3492" s="10">
        <v>7.7017868145409736</v>
      </c>
    </row>
    <row r="3493" spans="11:13" x14ac:dyDescent="0.25">
      <c r="K3493" s="26" t="s">
        <v>110</v>
      </c>
      <c r="L3493" s="27" t="s">
        <v>116</v>
      </c>
      <c r="M3493" s="10">
        <v>88.183421516754848</v>
      </c>
    </row>
    <row r="3494" spans="11:13" x14ac:dyDescent="0.25">
      <c r="K3494" s="26" t="s">
        <v>110</v>
      </c>
      <c r="L3494" s="27" t="s">
        <v>117</v>
      </c>
      <c r="M3494" s="10">
        <v>110.22927689594357</v>
      </c>
    </row>
    <row r="3495" spans="11:13" x14ac:dyDescent="0.25">
      <c r="K3495" s="26" t="s">
        <v>109</v>
      </c>
      <c r="L3495" s="27" t="s">
        <v>118</v>
      </c>
      <c r="M3495" s="10">
        <v>16.294606485253382</v>
      </c>
    </row>
    <row r="3496" spans="11:13" x14ac:dyDescent="0.25">
      <c r="K3496" s="26" t="s">
        <v>109</v>
      </c>
      <c r="L3496" s="27" t="s">
        <v>119</v>
      </c>
      <c r="M3496" s="10">
        <v>110.22927689594357</v>
      </c>
    </row>
    <row r="3497" spans="11:13" x14ac:dyDescent="0.25">
      <c r="K3497" s="26" t="s">
        <v>109</v>
      </c>
      <c r="L3497" s="27" t="s">
        <v>115</v>
      </c>
      <c r="M3497" s="10">
        <v>200</v>
      </c>
    </row>
    <row r="3498" spans="11:13" x14ac:dyDescent="0.25">
      <c r="K3498" s="26" t="s">
        <v>109</v>
      </c>
      <c r="L3498" s="27" t="s">
        <v>116</v>
      </c>
      <c r="M3498" s="10">
        <v>46.210720887245841</v>
      </c>
    </row>
    <row r="3499" spans="11:13" x14ac:dyDescent="0.25">
      <c r="K3499" s="26" t="s">
        <v>110</v>
      </c>
      <c r="L3499" s="27" t="s">
        <v>117</v>
      </c>
      <c r="M3499" s="10">
        <v>92.421441774491683</v>
      </c>
    </row>
    <row r="3500" spans="11:13" x14ac:dyDescent="0.25">
      <c r="K3500" s="26" t="s">
        <v>109</v>
      </c>
      <c r="L3500" s="27" t="s">
        <v>118</v>
      </c>
      <c r="M3500" s="10">
        <v>27.726432532347506</v>
      </c>
    </row>
    <row r="3501" spans="11:13" x14ac:dyDescent="0.25">
      <c r="K3501" s="26" t="s">
        <v>110</v>
      </c>
      <c r="L3501" s="27" t="s">
        <v>119</v>
      </c>
      <c r="M3501" s="10">
        <v>25.163736642537057</v>
      </c>
    </row>
    <row r="3502" spans="11:13" x14ac:dyDescent="0.25">
      <c r="K3502" s="26" t="s">
        <v>109</v>
      </c>
      <c r="L3502" s="27" t="s">
        <v>115</v>
      </c>
      <c r="M3502" s="10">
        <v>771.60493827160496</v>
      </c>
    </row>
    <row r="3503" spans="11:13" x14ac:dyDescent="0.25">
      <c r="K3503" s="26" t="s">
        <v>111</v>
      </c>
      <c r="L3503" s="27" t="s">
        <v>116</v>
      </c>
      <c r="M3503" s="10">
        <v>66.137566137566139</v>
      </c>
    </row>
    <row r="3504" spans="11:13" x14ac:dyDescent="0.25">
      <c r="K3504" s="26" t="s">
        <v>111</v>
      </c>
      <c r="L3504" s="27" t="s">
        <v>117</v>
      </c>
      <c r="M3504" s="10">
        <v>979.34193121693124</v>
      </c>
    </row>
    <row r="3505" spans="11:13" x14ac:dyDescent="0.25">
      <c r="K3505" s="26" t="s">
        <v>110</v>
      </c>
      <c r="L3505" s="27" t="s">
        <v>118</v>
      </c>
      <c r="M3505" s="10">
        <v>2.6654717288577481</v>
      </c>
    </row>
    <row r="3506" spans="11:13" x14ac:dyDescent="0.25">
      <c r="K3506" s="26" t="s">
        <v>110</v>
      </c>
      <c r="L3506" s="27" t="s">
        <v>119</v>
      </c>
      <c r="M3506" s="10">
        <v>57.426379381632742</v>
      </c>
    </row>
    <row r="3507" spans="11:13" x14ac:dyDescent="0.25">
      <c r="K3507" s="26" t="s">
        <v>110</v>
      </c>
      <c r="L3507" s="27" t="s">
        <v>115</v>
      </c>
      <c r="M3507" s="10">
        <v>22.970551752653101</v>
      </c>
    </row>
    <row r="3508" spans="11:13" x14ac:dyDescent="0.25">
      <c r="K3508" s="26" t="s">
        <v>110</v>
      </c>
      <c r="L3508" s="27" t="s">
        <v>116</v>
      </c>
      <c r="M3508" s="10">
        <v>154.03573629081947</v>
      </c>
    </row>
    <row r="3509" spans="11:13" x14ac:dyDescent="0.25">
      <c r="K3509" s="26" t="s">
        <v>110</v>
      </c>
      <c r="L3509" s="27" t="s">
        <v>117</v>
      </c>
      <c r="M3509" s="10">
        <v>66.137566137566139</v>
      </c>
    </row>
    <row r="3510" spans="11:13" x14ac:dyDescent="0.25">
      <c r="K3510" s="26" t="s">
        <v>109</v>
      </c>
      <c r="L3510" s="27" t="s">
        <v>118</v>
      </c>
      <c r="M3510" s="10">
        <v>66.137566137566139</v>
      </c>
    </row>
    <row r="3511" spans="11:13" x14ac:dyDescent="0.25">
      <c r="K3511" s="26" t="s">
        <v>109</v>
      </c>
      <c r="L3511" s="27" t="s">
        <v>119</v>
      </c>
      <c r="M3511" s="10">
        <v>66.137566137566139</v>
      </c>
    </row>
    <row r="3512" spans="11:13" x14ac:dyDescent="0.25">
      <c r="K3512" s="26" t="s">
        <v>109</v>
      </c>
      <c r="L3512" s="27" t="s">
        <v>115</v>
      </c>
      <c r="M3512" s="10">
        <v>66.137566137566139</v>
      </c>
    </row>
    <row r="3513" spans="11:13" x14ac:dyDescent="0.25">
      <c r="K3513" s="26" t="s">
        <v>109</v>
      </c>
      <c r="L3513" s="27" t="s">
        <v>116</v>
      </c>
      <c r="M3513" s="10">
        <v>13.227513227513228</v>
      </c>
    </row>
    <row r="3514" spans="11:13" x14ac:dyDescent="0.25">
      <c r="K3514" s="26" t="s">
        <v>113</v>
      </c>
      <c r="L3514" s="27" t="s">
        <v>117</v>
      </c>
      <c r="M3514" s="10">
        <v>108.24305555555556</v>
      </c>
    </row>
    <row r="3515" spans="11:13" x14ac:dyDescent="0.25">
      <c r="K3515" s="26" t="s">
        <v>109</v>
      </c>
      <c r="L3515" s="27" t="s">
        <v>118</v>
      </c>
      <c r="M3515" s="10">
        <v>26.455026455026456</v>
      </c>
    </row>
    <row r="3516" spans="11:13" x14ac:dyDescent="0.25">
      <c r="K3516" s="26" t="s">
        <v>110</v>
      </c>
      <c r="L3516" s="27" t="s">
        <v>119</v>
      </c>
      <c r="M3516" s="10">
        <v>127.39595467542094</v>
      </c>
    </row>
    <row r="3517" spans="11:13" x14ac:dyDescent="0.25">
      <c r="K3517" s="26" t="s">
        <v>110</v>
      </c>
      <c r="L3517" s="27" t="s">
        <v>115</v>
      </c>
      <c r="M3517" s="10">
        <v>183.17198933939025</v>
      </c>
    </row>
    <row r="3518" spans="11:13" x14ac:dyDescent="0.25">
      <c r="K3518" s="26" t="s">
        <v>110</v>
      </c>
      <c r="L3518" s="27" t="s">
        <v>116</v>
      </c>
      <c r="M3518" s="10">
        <v>137.37899200454268</v>
      </c>
    </row>
    <row r="3519" spans="11:13" x14ac:dyDescent="0.25">
      <c r="K3519" s="26" t="s">
        <v>110</v>
      </c>
      <c r="L3519" s="27" t="s">
        <v>117</v>
      </c>
      <c r="M3519" s="10">
        <v>123.22858903265558</v>
      </c>
    </row>
    <row r="3520" spans="11:13" x14ac:dyDescent="0.25">
      <c r="K3520" s="26" t="s">
        <v>110</v>
      </c>
      <c r="L3520" s="27" t="s">
        <v>118</v>
      </c>
      <c r="M3520" s="10">
        <v>123.22858903265558</v>
      </c>
    </row>
    <row r="3521" spans="11:13" x14ac:dyDescent="0.25">
      <c r="K3521" s="26" t="s">
        <v>109</v>
      </c>
      <c r="L3521" s="27" t="s">
        <v>119</v>
      </c>
      <c r="M3521" s="10">
        <v>123.22858903265558</v>
      </c>
    </row>
    <row r="3522" spans="11:13" x14ac:dyDescent="0.25">
      <c r="K3522" s="26" t="s">
        <v>109</v>
      </c>
      <c r="L3522" s="27" t="s">
        <v>115</v>
      </c>
      <c r="M3522" s="10">
        <v>123.22858903265558</v>
      </c>
    </row>
    <row r="3523" spans="11:13" x14ac:dyDescent="0.25">
      <c r="K3523" s="26" t="s">
        <v>109</v>
      </c>
      <c r="L3523" s="27" t="s">
        <v>116</v>
      </c>
      <c r="M3523" s="10">
        <v>123.22858903265558</v>
      </c>
    </row>
    <row r="3524" spans="11:13" x14ac:dyDescent="0.25">
      <c r="K3524" s="26" t="s">
        <v>111</v>
      </c>
      <c r="L3524" s="27" t="s">
        <v>117</v>
      </c>
      <c r="M3524" s="10">
        <v>123.22858903265558</v>
      </c>
    </row>
    <row r="3525" spans="11:13" x14ac:dyDescent="0.25">
      <c r="K3525" s="26" t="s">
        <v>111</v>
      </c>
      <c r="L3525" s="27" t="s">
        <v>118</v>
      </c>
      <c r="M3525" s="10">
        <v>123.22858903265558</v>
      </c>
    </row>
    <row r="3526" spans="11:13" x14ac:dyDescent="0.25">
      <c r="K3526" s="26" t="s">
        <v>111</v>
      </c>
      <c r="L3526" s="27" t="s">
        <v>119</v>
      </c>
      <c r="M3526" s="10">
        <v>66.137566137566139</v>
      </c>
    </row>
    <row r="3527" spans="11:13" x14ac:dyDescent="0.25">
      <c r="K3527" s="26" t="s">
        <v>111</v>
      </c>
      <c r="L3527" s="27" t="s">
        <v>115</v>
      </c>
      <c r="M3527" s="10">
        <v>66.137566137566139</v>
      </c>
    </row>
    <row r="3528" spans="11:13" x14ac:dyDescent="0.25">
      <c r="K3528" s="26" t="s">
        <v>114</v>
      </c>
      <c r="L3528" s="27" t="s">
        <v>116</v>
      </c>
      <c r="M3528" s="10">
        <v>66.137566137566139</v>
      </c>
    </row>
    <row r="3529" spans="11:13" x14ac:dyDescent="0.25">
      <c r="K3529" s="26" t="s">
        <v>114</v>
      </c>
      <c r="L3529" s="27" t="s">
        <v>117</v>
      </c>
      <c r="M3529" s="10">
        <v>440.91710758377428</v>
      </c>
    </row>
    <row r="3530" spans="11:13" x14ac:dyDescent="0.25">
      <c r="K3530" s="26" t="s">
        <v>113</v>
      </c>
      <c r="L3530" s="27" t="s">
        <v>118</v>
      </c>
      <c r="M3530" s="10">
        <v>88.183421516754848</v>
      </c>
    </row>
    <row r="3531" spans="11:13" x14ac:dyDescent="0.25">
      <c r="K3531" s="26" t="s">
        <v>110</v>
      </c>
      <c r="L3531" s="27" t="s">
        <v>119</v>
      </c>
      <c r="M3531" s="10">
        <v>66.137566137566139</v>
      </c>
    </row>
    <row r="3532" spans="11:13" x14ac:dyDescent="0.25">
      <c r="K3532" s="26" t="s">
        <v>109</v>
      </c>
      <c r="L3532" s="27" t="s">
        <v>115</v>
      </c>
      <c r="M3532" s="10">
        <v>30.807147258163894</v>
      </c>
    </row>
    <row r="3533" spans="11:13" x14ac:dyDescent="0.25">
      <c r="K3533" s="26" t="s">
        <v>109</v>
      </c>
      <c r="L3533" s="27" t="s">
        <v>116</v>
      </c>
      <c r="M3533" s="10">
        <v>18.532246108228314</v>
      </c>
    </row>
    <row r="3534" spans="11:13" x14ac:dyDescent="0.25">
      <c r="K3534" s="26" t="s">
        <v>110</v>
      </c>
      <c r="L3534" s="27" t="s">
        <v>117</v>
      </c>
      <c r="M3534" s="10">
        <v>31.769564756962826</v>
      </c>
    </row>
    <row r="3535" spans="11:13" x14ac:dyDescent="0.25">
      <c r="K3535" s="26" t="s">
        <v>110</v>
      </c>
      <c r="L3535" s="27" t="s">
        <v>118</v>
      </c>
      <c r="M3535" s="10">
        <v>150</v>
      </c>
    </row>
    <row r="3536" spans="11:13" x14ac:dyDescent="0.25">
      <c r="K3536" s="26" t="s">
        <v>109</v>
      </c>
      <c r="L3536" s="27" t="s">
        <v>119</v>
      </c>
      <c r="M3536" s="10">
        <v>54.951596801817075</v>
      </c>
    </row>
    <row r="3537" spans="11:13" x14ac:dyDescent="0.25">
      <c r="K3537" s="26" t="s">
        <v>111</v>
      </c>
      <c r="L3537" s="27" t="s">
        <v>115</v>
      </c>
      <c r="M3537" s="10">
        <v>205.47617953783251</v>
      </c>
    </row>
    <row r="3538" spans="11:13" x14ac:dyDescent="0.25">
      <c r="K3538" s="26" t="s">
        <v>110</v>
      </c>
      <c r="L3538" s="27" t="s">
        <v>116</v>
      </c>
      <c r="M3538" s="10">
        <v>6.8941744226128918</v>
      </c>
    </row>
    <row r="3539" spans="11:13" x14ac:dyDescent="0.25">
      <c r="K3539" s="26" t="s">
        <v>110</v>
      </c>
      <c r="L3539" s="27" t="s">
        <v>117</v>
      </c>
      <c r="M3539" s="10">
        <v>391.73686067019401</v>
      </c>
    </row>
    <row r="3540" spans="11:13" x14ac:dyDescent="0.25">
      <c r="K3540" s="26" t="s">
        <v>110</v>
      </c>
      <c r="L3540" s="27" t="s">
        <v>118</v>
      </c>
      <c r="M3540" s="10">
        <v>231.05360443622922</v>
      </c>
    </row>
    <row r="3541" spans="11:13" x14ac:dyDescent="0.25">
      <c r="K3541" s="26" t="s">
        <v>110</v>
      </c>
      <c r="L3541" s="27" t="s">
        <v>119</v>
      </c>
      <c r="M3541" s="10">
        <v>6.8941744226128918</v>
      </c>
    </row>
    <row r="3542" spans="11:13" x14ac:dyDescent="0.25">
      <c r="K3542" s="26" t="s">
        <v>109</v>
      </c>
      <c r="L3542" s="27" t="s">
        <v>115</v>
      </c>
      <c r="M3542" s="10">
        <v>6.8941744226128918</v>
      </c>
    </row>
    <row r="3543" spans="11:13" x14ac:dyDescent="0.25">
      <c r="K3543" s="26" t="s">
        <v>109</v>
      </c>
      <c r="L3543" s="27" t="s">
        <v>116</v>
      </c>
      <c r="M3543" s="10">
        <v>642.4010381200776</v>
      </c>
    </row>
    <row r="3544" spans="11:13" x14ac:dyDescent="0.25">
      <c r="K3544" s="26" t="s">
        <v>110</v>
      </c>
      <c r="L3544" s="27" t="s">
        <v>117</v>
      </c>
      <c r="M3544" s="10">
        <v>618.77929894179897</v>
      </c>
    </row>
    <row r="3545" spans="11:13" x14ac:dyDescent="0.25">
      <c r="K3545" s="26" t="s">
        <v>111</v>
      </c>
      <c r="L3545" s="27" t="s">
        <v>118</v>
      </c>
      <c r="M3545" s="10">
        <v>810.30710639332301</v>
      </c>
    </row>
    <row r="3546" spans="11:13" x14ac:dyDescent="0.25">
      <c r="K3546" s="26" t="s">
        <v>109</v>
      </c>
      <c r="L3546" s="27" t="s">
        <v>119</v>
      </c>
      <c r="M3546" s="10">
        <v>211.79709837975219</v>
      </c>
    </row>
    <row r="3547" spans="11:13" x14ac:dyDescent="0.25">
      <c r="K3547" s="26" t="s">
        <v>109</v>
      </c>
      <c r="L3547" s="27" t="s">
        <v>115</v>
      </c>
      <c r="M3547" s="10">
        <v>61.614294516327789</v>
      </c>
    </row>
    <row r="3548" spans="11:13" x14ac:dyDescent="0.25">
      <c r="K3548" s="26" t="s">
        <v>109</v>
      </c>
      <c r="L3548" s="27" t="s">
        <v>116</v>
      </c>
      <c r="M3548" s="10">
        <v>138.63216266173754</v>
      </c>
    </row>
    <row r="3549" spans="11:13" x14ac:dyDescent="0.25">
      <c r="K3549" s="26" t="s">
        <v>109</v>
      </c>
      <c r="L3549" s="27" t="s">
        <v>117</v>
      </c>
      <c r="M3549" s="10">
        <v>39.182463200254155</v>
      </c>
    </row>
    <row r="3550" spans="11:13" x14ac:dyDescent="0.25">
      <c r="K3550" s="26" t="s">
        <v>109</v>
      </c>
      <c r="L3550" s="27" t="s">
        <v>118</v>
      </c>
      <c r="M3550" s="10">
        <v>1.5</v>
      </c>
    </row>
    <row r="3551" spans="11:13" x14ac:dyDescent="0.25">
      <c r="K3551" s="26" t="s">
        <v>109</v>
      </c>
      <c r="L3551" s="27" t="s">
        <v>119</v>
      </c>
      <c r="M3551" s="10">
        <v>128.48020762401552</v>
      </c>
    </row>
    <row r="3552" spans="11:13" x14ac:dyDescent="0.25">
      <c r="K3552" s="26" t="s">
        <v>109</v>
      </c>
      <c r="L3552" s="27" t="s">
        <v>115</v>
      </c>
      <c r="M3552" s="10">
        <v>822.60113058299385</v>
      </c>
    </row>
    <row r="3553" spans="11:13" x14ac:dyDescent="0.25">
      <c r="K3553" s="26" t="s">
        <v>109</v>
      </c>
      <c r="L3553" s="27" t="s">
        <v>116</v>
      </c>
      <c r="M3553" s="10">
        <v>211.79709837975219</v>
      </c>
    </row>
    <row r="3554" spans="11:13" x14ac:dyDescent="0.25">
      <c r="K3554" s="26" t="s">
        <v>109</v>
      </c>
      <c r="L3554" s="27" t="s">
        <v>117</v>
      </c>
      <c r="M3554" s="10">
        <v>91.585994669695125</v>
      </c>
    </row>
    <row r="3555" spans="11:13" x14ac:dyDescent="0.25">
      <c r="K3555" s="26" t="s">
        <v>109</v>
      </c>
      <c r="L3555" s="27" t="s">
        <v>118</v>
      </c>
      <c r="M3555" s="10">
        <v>97.934215167548501</v>
      </c>
    </row>
    <row r="3556" spans="11:13" x14ac:dyDescent="0.25">
      <c r="K3556" s="26" t="s">
        <v>110</v>
      </c>
      <c r="L3556" s="27" t="s">
        <v>119</v>
      </c>
      <c r="M3556" s="10">
        <v>54.951596801817075</v>
      </c>
    </row>
    <row r="3557" spans="11:13" x14ac:dyDescent="0.25">
      <c r="K3557" s="26" t="s">
        <v>110</v>
      </c>
      <c r="L3557" s="27" t="s">
        <v>115</v>
      </c>
      <c r="M3557" s="10">
        <v>15.403573629081947</v>
      </c>
    </row>
    <row r="3558" spans="11:13" x14ac:dyDescent="0.25">
      <c r="K3558" s="26" t="s">
        <v>109</v>
      </c>
      <c r="L3558" s="27" t="s">
        <v>116</v>
      </c>
      <c r="M3558" s="10">
        <v>33.887861983980287</v>
      </c>
    </row>
    <row r="3559" spans="11:13" x14ac:dyDescent="0.25">
      <c r="K3559" s="26" t="s">
        <v>109</v>
      </c>
      <c r="L3559" s="27" t="s">
        <v>117</v>
      </c>
      <c r="M3559" s="10">
        <v>28.659611992945326</v>
      </c>
    </row>
    <row r="3560" spans="11:13" x14ac:dyDescent="0.25">
      <c r="K3560" s="26" t="s">
        <v>110</v>
      </c>
      <c r="L3560" s="27" t="s">
        <v>118</v>
      </c>
      <c r="M3560" s="10">
        <v>0</v>
      </c>
    </row>
    <row r="3561" spans="11:13" x14ac:dyDescent="0.25">
      <c r="K3561" s="26" t="s">
        <v>111</v>
      </c>
      <c r="L3561" s="27" t="s">
        <v>119</v>
      </c>
      <c r="M3561" s="10">
        <v>120</v>
      </c>
    </row>
    <row r="3562" spans="11:13" x14ac:dyDescent="0.25">
      <c r="K3562" s="26" t="s">
        <v>111</v>
      </c>
      <c r="L3562" s="27" t="s">
        <v>115</v>
      </c>
      <c r="M3562" s="10">
        <v>132.27513227513228</v>
      </c>
    </row>
    <row r="3563" spans="11:13" x14ac:dyDescent="0.25">
      <c r="K3563" s="26" t="s">
        <v>113</v>
      </c>
      <c r="L3563" s="27" t="s">
        <v>116</v>
      </c>
      <c r="M3563" s="10">
        <v>220.45855379188714</v>
      </c>
    </row>
    <row r="3564" spans="11:13" x14ac:dyDescent="0.25">
      <c r="K3564" s="26" t="s">
        <v>113</v>
      </c>
      <c r="L3564" s="27" t="s">
        <v>117</v>
      </c>
      <c r="M3564" s="10">
        <v>55.114638447971785</v>
      </c>
    </row>
    <row r="3565" spans="11:13" x14ac:dyDescent="0.25">
      <c r="K3565" s="26" t="s">
        <v>109</v>
      </c>
      <c r="L3565" s="27" t="s">
        <v>118</v>
      </c>
      <c r="M3565" s="10">
        <v>44.091710758377424</v>
      </c>
    </row>
    <row r="3566" spans="11:13" x14ac:dyDescent="0.25">
      <c r="K3566" s="26" t="s">
        <v>109</v>
      </c>
      <c r="L3566" s="27" t="s">
        <v>119</v>
      </c>
      <c r="M3566" s="10">
        <v>44.091710758377424</v>
      </c>
    </row>
    <row r="3567" spans="11:13" x14ac:dyDescent="0.25">
      <c r="K3567" s="26" t="s">
        <v>109</v>
      </c>
      <c r="L3567" s="27" t="s">
        <v>115</v>
      </c>
      <c r="M3567" s="10">
        <v>44.091710758377424</v>
      </c>
    </row>
    <row r="3568" spans="11:13" x14ac:dyDescent="0.25">
      <c r="K3568" s="26" t="s">
        <v>109</v>
      </c>
      <c r="L3568" s="27" t="s">
        <v>116</v>
      </c>
      <c r="M3568" s="10">
        <v>55.114638447971785</v>
      </c>
    </row>
    <row r="3569" spans="11:13" x14ac:dyDescent="0.25">
      <c r="K3569" s="26" t="s">
        <v>109</v>
      </c>
      <c r="L3569" s="27" t="s">
        <v>117</v>
      </c>
      <c r="M3569" s="10">
        <v>55.114638447971785</v>
      </c>
    </row>
    <row r="3570" spans="11:13" x14ac:dyDescent="0.25">
      <c r="K3570" s="26" t="s">
        <v>109</v>
      </c>
      <c r="L3570" s="27" t="s">
        <v>118</v>
      </c>
      <c r="M3570" s="10">
        <v>84.719654959950716</v>
      </c>
    </row>
    <row r="3571" spans="11:13" x14ac:dyDescent="0.25">
      <c r="K3571" s="26" t="s">
        <v>109</v>
      </c>
      <c r="L3571" s="27" t="s">
        <v>119</v>
      </c>
      <c r="M3571" s="10">
        <v>308.07147258163894</v>
      </c>
    </row>
    <row r="3572" spans="11:13" x14ac:dyDescent="0.25">
      <c r="K3572" s="26" t="s">
        <v>109</v>
      </c>
      <c r="L3572" s="27" t="s">
        <v>115</v>
      </c>
      <c r="M3572" s="10">
        <v>30.807147258163894</v>
      </c>
    </row>
    <row r="3573" spans="11:13" x14ac:dyDescent="0.25">
      <c r="K3573" s="26" t="s">
        <v>109</v>
      </c>
      <c r="L3573" s="27" t="s">
        <v>116</v>
      </c>
      <c r="M3573" s="10">
        <v>158.84782378481412</v>
      </c>
    </row>
    <row r="3574" spans="11:13" x14ac:dyDescent="0.25">
      <c r="K3574" s="26" t="s">
        <v>109</v>
      </c>
      <c r="L3574" s="27" t="s">
        <v>117</v>
      </c>
      <c r="M3574" s="10">
        <v>132.27513227513228</v>
      </c>
    </row>
    <row r="3575" spans="11:13" x14ac:dyDescent="0.25">
      <c r="K3575" s="26" t="s">
        <v>110</v>
      </c>
      <c r="L3575" s="27" t="s">
        <v>118</v>
      </c>
      <c r="M3575" s="10">
        <v>97.767638911520294</v>
      </c>
    </row>
    <row r="3576" spans="11:13" x14ac:dyDescent="0.25">
      <c r="K3576" s="26" t="s">
        <v>110</v>
      </c>
      <c r="L3576" s="27" t="s">
        <v>119</v>
      </c>
      <c r="M3576" s="10">
        <v>277.26432532347508</v>
      </c>
    </row>
    <row r="3577" spans="11:13" x14ac:dyDescent="0.25">
      <c r="K3577" s="26" t="s">
        <v>110</v>
      </c>
      <c r="L3577" s="27" t="s">
        <v>115</v>
      </c>
      <c r="M3577" s="10">
        <v>36.081018518518519</v>
      </c>
    </row>
    <row r="3578" spans="11:13" x14ac:dyDescent="0.25">
      <c r="K3578" s="26" t="s">
        <v>110</v>
      </c>
      <c r="L3578" s="27" t="s">
        <v>116</v>
      </c>
      <c r="M3578" s="10">
        <v>34.470872113064452</v>
      </c>
    </row>
    <row r="3579" spans="11:13" x14ac:dyDescent="0.25">
      <c r="K3579" s="26" t="s">
        <v>110</v>
      </c>
      <c r="L3579" s="27" t="s">
        <v>117</v>
      </c>
      <c r="M3579" s="10">
        <v>17.235436056532226</v>
      </c>
    </row>
    <row r="3580" spans="11:13" x14ac:dyDescent="0.25">
      <c r="K3580" s="26" t="s">
        <v>111</v>
      </c>
      <c r="L3580" s="27" t="s">
        <v>118</v>
      </c>
      <c r="M3580" s="10">
        <v>105.89854918987609</v>
      </c>
    </row>
    <row r="3581" spans="11:13" x14ac:dyDescent="0.25">
      <c r="K3581" s="26" t="s">
        <v>111</v>
      </c>
      <c r="L3581" s="27" t="s">
        <v>119</v>
      </c>
      <c r="M3581" s="10">
        <v>46.210720887245841</v>
      </c>
    </row>
    <row r="3582" spans="11:13" x14ac:dyDescent="0.25">
      <c r="K3582" s="26" t="s">
        <v>113</v>
      </c>
      <c r="L3582" s="27" t="s">
        <v>115</v>
      </c>
      <c r="M3582" s="10">
        <v>40.515355319666149</v>
      </c>
    </row>
    <row r="3583" spans="11:13" x14ac:dyDescent="0.25">
      <c r="K3583" s="26" t="s">
        <v>109</v>
      </c>
      <c r="L3583" s="27" t="s">
        <v>116</v>
      </c>
      <c r="M3583" s="10">
        <v>50</v>
      </c>
    </row>
    <row r="3584" spans="11:13" x14ac:dyDescent="0.25">
      <c r="K3584" s="26" t="s">
        <v>109</v>
      </c>
      <c r="L3584" s="27" t="s">
        <v>117</v>
      </c>
      <c r="M3584" s="10">
        <v>110.22927689594357</v>
      </c>
    </row>
    <row r="3585" spans="11:13" x14ac:dyDescent="0.25">
      <c r="K3585" s="26" t="s">
        <v>109</v>
      </c>
      <c r="L3585" s="27" t="s">
        <v>118</v>
      </c>
      <c r="M3585" s="10">
        <v>308.07147258163894</v>
      </c>
    </row>
    <row r="3586" spans="11:13" x14ac:dyDescent="0.25">
      <c r="K3586" s="26" t="s">
        <v>109</v>
      </c>
      <c r="L3586" s="27" t="s">
        <v>119</v>
      </c>
      <c r="M3586" s="10">
        <v>92.421441774491683</v>
      </c>
    </row>
    <row r="3587" spans="11:13" x14ac:dyDescent="0.25">
      <c r="K3587" s="26" t="s">
        <v>109</v>
      </c>
      <c r="L3587" s="27" t="s">
        <v>115</v>
      </c>
      <c r="M3587" s="10">
        <v>25.053640486683026</v>
      </c>
    </row>
    <row r="3588" spans="11:13" x14ac:dyDescent="0.25">
      <c r="K3588" s="26" t="s">
        <v>109</v>
      </c>
      <c r="L3588" s="27" t="s">
        <v>116</v>
      </c>
      <c r="M3588" s="10">
        <v>9.2421441774491679</v>
      </c>
    </row>
    <row r="3589" spans="11:13" x14ac:dyDescent="0.25">
      <c r="K3589" s="26" t="s">
        <v>109</v>
      </c>
      <c r="L3589" s="27" t="s">
        <v>117</v>
      </c>
      <c r="M3589" s="10">
        <v>121.25220458553792</v>
      </c>
    </row>
    <row r="3590" spans="11:13" x14ac:dyDescent="0.25">
      <c r="K3590" s="26" t="s">
        <v>109</v>
      </c>
      <c r="L3590" s="27" t="s">
        <v>118</v>
      </c>
      <c r="M3590" s="10">
        <v>97.934215167548501</v>
      </c>
    </row>
    <row r="3591" spans="11:13" x14ac:dyDescent="0.25">
      <c r="K3591" s="26" t="s">
        <v>109</v>
      </c>
      <c r="L3591" s="27" t="s">
        <v>119</v>
      </c>
      <c r="M3591" s="10">
        <v>44.091710758377424</v>
      </c>
    </row>
    <row r="3592" spans="11:13" x14ac:dyDescent="0.25">
      <c r="K3592" s="26" t="s">
        <v>109</v>
      </c>
      <c r="L3592" s="27" t="s">
        <v>115</v>
      </c>
      <c r="M3592" s="10">
        <v>44.091710758377424</v>
      </c>
    </row>
    <row r="3593" spans="11:13" x14ac:dyDescent="0.25">
      <c r="K3593" s="26" t="s">
        <v>109</v>
      </c>
      <c r="L3593" s="27" t="s">
        <v>116</v>
      </c>
      <c r="M3593" s="10">
        <v>44.091710758377424</v>
      </c>
    </row>
    <row r="3594" spans="11:13" x14ac:dyDescent="0.25">
      <c r="K3594" s="26" t="s">
        <v>109</v>
      </c>
      <c r="L3594" s="27" t="s">
        <v>117</v>
      </c>
      <c r="M3594" s="10">
        <v>44.091710758377424</v>
      </c>
    </row>
    <row r="3595" spans="11:13" x14ac:dyDescent="0.25">
      <c r="K3595" s="26" t="s">
        <v>109</v>
      </c>
      <c r="L3595" s="27" t="s">
        <v>118</v>
      </c>
      <c r="M3595" s="10">
        <v>646.95009242144181</v>
      </c>
    </row>
    <row r="3596" spans="11:13" x14ac:dyDescent="0.25">
      <c r="K3596" s="26" t="s">
        <v>109</v>
      </c>
      <c r="L3596" s="27" t="s">
        <v>119</v>
      </c>
      <c r="M3596" s="10">
        <v>587.60582010582004</v>
      </c>
    </row>
    <row r="3597" spans="11:13" x14ac:dyDescent="0.25">
      <c r="K3597" s="26" t="s">
        <v>110</v>
      </c>
      <c r="L3597" s="27" t="s">
        <v>115</v>
      </c>
      <c r="M3597" s="10">
        <v>61.614294516327789</v>
      </c>
    </row>
    <row r="3598" spans="11:13" x14ac:dyDescent="0.25">
      <c r="K3598" s="26" t="s">
        <v>112</v>
      </c>
      <c r="L3598" s="27" t="s">
        <v>116</v>
      </c>
      <c r="M3598" s="10">
        <v>16.452022611659878</v>
      </c>
    </row>
    <row r="3599" spans="11:13" x14ac:dyDescent="0.25">
      <c r="K3599" s="26" t="s">
        <v>109</v>
      </c>
      <c r="L3599" s="27" t="s">
        <v>117</v>
      </c>
      <c r="M3599" s="10">
        <v>61.614294516327789</v>
      </c>
    </row>
    <row r="3600" spans="11:13" x14ac:dyDescent="0.25">
      <c r="K3600" s="26" t="s">
        <v>110</v>
      </c>
      <c r="L3600" s="27" t="s">
        <v>118</v>
      </c>
      <c r="M3600" s="10">
        <v>9.8712135669959267</v>
      </c>
    </row>
    <row r="3601" spans="11:13" x14ac:dyDescent="0.25">
      <c r="K3601" s="26" t="s">
        <v>110</v>
      </c>
      <c r="L3601" s="27" t="s">
        <v>119</v>
      </c>
      <c r="M3601" s="10">
        <v>308.21426930674875</v>
      </c>
    </row>
    <row r="3602" spans="11:13" x14ac:dyDescent="0.25">
      <c r="K3602" s="26" t="s">
        <v>110</v>
      </c>
      <c r="L3602" s="27" t="s">
        <v>115</v>
      </c>
      <c r="M3602" s="10">
        <v>77.017868145409736</v>
      </c>
    </row>
    <row r="3603" spans="11:13" x14ac:dyDescent="0.25">
      <c r="K3603" s="26" t="s">
        <v>110</v>
      </c>
      <c r="L3603" s="27" t="s">
        <v>116</v>
      </c>
      <c r="M3603" s="10">
        <v>119.06179307060366</v>
      </c>
    </row>
    <row r="3604" spans="11:13" x14ac:dyDescent="0.25">
      <c r="K3604" s="26" t="s">
        <v>110</v>
      </c>
      <c r="L3604" s="27" t="s">
        <v>117</v>
      </c>
      <c r="M3604" s="10">
        <v>154.03573629081947</v>
      </c>
    </row>
    <row r="3605" spans="11:13" x14ac:dyDescent="0.25">
      <c r="K3605" s="26" t="s">
        <v>110</v>
      </c>
      <c r="L3605" s="27" t="s">
        <v>118</v>
      </c>
      <c r="M3605" s="10">
        <v>46.210720887245841</v>
      </c>
    </row>
    <row r="3606" spans="11:13" x14ac:dyDescent="0.25">
      <c r="K3606" s="26" t="s">
        <v>110</v>
      </c>
      <c r="L3606" s="27" t="s">
        <v>119</v>
      </c>
      <c r="M3606" s="10">
        <v>46.210720887245841</v>
      </c>
    </row>
    <row r="3607" spans="11:13" x14ac:dyDescent="0.25">
      <c r="K3607" s="26" t="s">
        <v>109</v>
      </c>
      <c r="L3607" s="27" t="s">
        <v>115</v>
      </c>
      <c r="M3607" s="10">
        <v>770.17868145409739</v>
      </c>
    </row>
    <row r="3608" spans="11:13" x14ac:dyDescent="0.25">
      <c r="K3608" s="26" t="s">
        <v>109</v>
      </c>
      <c r="L3608" s="27" t="s">
        <v>116</v>
      </c>
      <c r="M3608" s="10">
        <v>13.737899200454269</v>
      </c>
    </row>
    <row r="3609" spans="11:13" x14ac:dyDescent="0.25">
      <c r="K3609" s="26" t="s">
        <v>109</v>
      </c>
      <c r="L3609" s="27" t="s">
        <v>117</v>
      </c>
      <c r="M3609" s="10">
        <v>27.475798400908538</v>
      </c>
    </row>
    <row r="3610" spans="11:13" x14ac:dyDescent="0.25">
      <c r="K3610" s="26" t="s">
        <v>109</v>
      </c>
      <c r="L3610" s="27" t="s">
        <v>118</v>
      </c>
      <c r="M3610" s="10">
        <v>10.58985491898761</v>
      </c>
    </row>
    <row r="3611" spans="11:13" x14ac:dyDescent="0.25">
      <c r="K3611" s="26" t="s">
        <v>109</v>
      </c>
      <c r="L3611" s="27" t="s">
        <v>119</v>
      </c>
      <c r="M3611" s="10">
        <v>44.968072668405433</v>
      </c>
    </row>
    <row r="3612" spans="11:13" x14ac:dyDescent="0.25">
      <c r="K3612" s="26" t="s">
        <v>109</v>
      </c>
      <c r="L3612" s="27" t="s">
        <v>115</v>
      </c>
      <c r="M3612" s="10">
        <v>22.812449079354735</v>
      </c>
    </row>
    <row r="3613" spans="11:13" x14ac:dyDescent="0.25">
      <c r="K3613" s="26" t="s">
        <v>109</v>
      </c>
      <c r="L3613" s="27" t="s">
        <v>116</v>
      </c>
      <c r="M3613" s="10">
        <v>3.4470872113064459</v>
      </c>
    </row>
    <row r="3614" spans="11:13" x14ac:dyDescent="0.25">
      <c r="K3614" s="26" t="s">
        <v>111</v>
      </c>
      <c r="L3614" s="27" t="s">
        <v>117</v>
      </c>
      <c r="M3614" s="10">
        <v>184.84288354898337</v>
      </c>
    </row>
    <row r="3615" spans="11:13" x14ac:dyDescent="0.25">
      <c r="K3615" s="26" t="s">
        <v>111</v>
      </c>
      <c r="L3615" s="27" t="s">
        <v>118</v>
      </c>
      <c r="M3615" s="10">
        <v>30.807147258163894</v>
      </c>
    </row>
    <row r="3616" spans="11:13" x14ac:dyDescent="0.25">
      <c r="K3616" s="26" t="s">
        <v>109</v>
      </c>
      <c r="L3616" s="27" t="s">
        <v>119</v>
      </c>
      <c r="M3616" s="10">
        <v>15.403573629081947</v>
      </c>
    </row>
    <row r="3617" spans="11:13" x14ac:dyDescent="0.25">
      <c r="K3617" s="26" t="s">
        <v>110</v>
      </c>
      <c r="L3617" s="27" t="s">
        <v>115</v>
      </c>
      <c r="M3617" s="10">
        <v>30.807147258163894</v>
      </c>
    </row>
    <row r="3618" spans="11:13" x14ac:dyDescent="0.25">
      <c r="K3618" s="26" t="s">
        <v>109</v>
      </c>
      <c r="L3618" s="27" t="s">
        <v>116</v>
      </c>
      <c r="M3618" s="10">
        <v>30.807147258163894</v>
      </c>
    </row>
    <row r="3619" spans="11:13" x14ac:dyDescent="0.25">
      <c r="K3619" s="26" t="s">
        <v>112</v>
      </c>
      <c r="L3619" s="27" t="s">
        <v>117</v>
      </c>
      <c r="M3619" s="10">
        <v>132.27513227513228</v>
      </c>
    </row>
    <row r="3620" spans="11:13" x14ac:dyDescent="0.25">
      <c r="K3620" s="26" t="s">
        <v>110</v>
      </c>
      <c r="L3620" s="27" t="s">
        <v>118</v>
      </c>
      <c r="M3620" s="10">
        <v>211.79709837975219</v>
      </c>
    </row>
    <row r="3621" spans="11:13" x14ac:dyDescent="0.25">
      <c r="K3621" s="26" t="s">
        <v>110</v>
      </c>
      <c r="L3621" s="27" t="s">
        <v>119</v>
      </c>
      <c r="M3621" s="10">
        <v>211.79709837975219</v>
      </c>
    </row>
    <row r="3622" spans="11:13" x14ac:dyDescent="0.25">
      <c r="K3622" s="26" t="s">
        <v>111</v>
      </c>
      <c r="L3622" s="27" t="s">
        <v>115</v>
      </c>
      <c r="M3622" s="10">
        <v>15.403573629081947</v>
      </c>
    </row>
    <row r="3623" spans="11:13" x14ac:dyDescent="0.25">
      <c r="K3623" s="26" t="s">
        <v>111</v>
      </c>
      <c r="L3623" s="27" t="s">
        <v>116</v>
      </c>
      <c r="M3623" s="10">
        <v>15.403573629081947</v>
      </c>
    </row>
    <row r="3624" spans="11:13" x14ac:dyDescent="0.25">
      <c r="K3624" s="26" t="s">
        <v>111</v>
      </c>
      <c r="L3624" s="27" t="s">
        <v>117</v>
      </c>
      <c r="M3624" s="10">
        <v>105.89854918987609</v>
      </c>
    </row>
    <row r="3625" spans="11:13" x14ac:dyDescent="0.25">
      <c r="K3625" s="26" t="s">
        <v>111</v>
      </c>
      <c r="L3625" s="27" t="s">
        <v>118</v>
      </c>
      <c r="M3625" s="10">
        <v>104.74430067775724</v>
      </c>
    </row>
    <row r="3626" spans="11:13" x14ac:dyDescent="0.25">
      <c r="K3626" s="26" t="s">
        <v>111</v>
      </c>
      <c r="L3626" s="27" t="s">
        <v>119</v>
      </c>
      <c r="M3626" s="10">
        <v>15.403573629081947</v>
      </c>
    </row>
    <row r="3627" spans="11:13" x14ac:dyDescent="0.25">
      <c r="K3627" s="26" t="s">
        <v>109</v>
      </c>
      <c r="L3627" s="27" t="s">
        <v>115</v>
      </c>
      <c r="M3627" s="10">
        <v>15.403573629081947</v>
      </c>
    </row>
    <row r="3628" spans="11:13" x14ac:dyDescent="0.25">
      <c r="K3628" s="26" t="s">
        <v>109</v>
      </c>
      <c r="L3628" s="27" t="s">
        <v>116</v>
      </c>
      <c r="M3628" s="10">
        <v>15.403573629081947</v>
      </c>
    </row>
    <row r="3629" spans="11:13" x14ac:dyDescent="0.25">
      <c r="K3629" s="26" t="s">
        <v>109</v>
      </c>
      <c r="L3629" s="27" t="s">
        <v>117</v>
      </c>
      <c r="M3629" s="10">
        <v>15.403573629081947</v>
      </c>
    </row>
    <row r="3630" spans="11:13" x14ac:dyDescent="0.25">
      <c r="K3630" s="26" t="s">
        <v>109</v>
      </c>
      <c r="L3630" s="27" t="s">
        <v>118</v>
      </c>
      <c r="M3630" s="10">
        <v>15.403573629081947</v>
      </c>
    </row>
    <row r="3631" spans="11:13" x14ac:dyDescent="0.25">
      <c r="K3631" s="26" t="s">
        <v>109</v>
      </c>
      <c r="L3631" s="27" t="s">
        <v>119</v>
      </c>
      <c r="M3631" s="10">
        <v>15.403573629081947</v>
      </c>
    </row>
    <row r="3632" spans="11:13" x14ac:dyDescent="0.25">
      <c r="K3632" s="26" t="s">
        <v>109</v>
      </c>
      <c r="L3632" s="27" t="s">
        <v>115</v>
      </c>
      <c r="M3632" s="10">
        <v>15.403573629081947</v>
      </c>
    </row>
    <row r="3633" spans="11:13" x14ac:dyDescent="0.25">
      <c r="K3633" s="26" t="s">
        <v>109</v>
      </c>
      <c r="L3633" s="27" t="s">
        <v>116</v>
      </c>
      <c r="M3633" s="10">
        <v>105.89854918987609</v>
      </c>
    </row>
    <row r="3634" spans="11:13" x14ac:dyDescent="0.25">
      <c r="K3634" s="26" t="s">
        <v>109</v>
      </c>
      <c r="L3634" s="27" t="s">
        <v>117</v>
      </c>
      <c r="M3634" s="10">
        <v>15.403573629081947</v>
      </c>
    </row>
    <row r="3635" spans="11:13" x14ac:dyDescent="0.25">
      <c r="K3635" s="26" t="s">
        <v>111</v>
      </c>
      <c r="L3635" s="27" t="s">
        <v>118</v>
      </c>
      <c r="M3635" s="10">
        <v>10.58985491898761</v>
      </c>
    </row>
    <row r="3636" spans="11:13" x14ac:dyDescent="0.25">
      <c r="K3636" s="26" t="s">
        <v>111</v>
      </c>
      <c r="L3636" s="27" t="s">
        <v>119</v>
      </c>
      <c r="M3636" s="10">
        <v>62.84658040665434</v>
      </c>
    </row>
    <row r="3637" spans="11:13" x14ac:dyDescent="0.25">
      <c r="K3637" s="26" t="s">
        <v>110</v>
      </c>
      <c r="L3637" s="27" t="s">
        <v>115</v>
      </c>
      <c r="M3637" s="10">
        <v>15.403573629081947</v>
      </c>
    </row>
    <row r="3638" spans="11:13" x14ac:dyDescent="0.25">
      <c r="K3638" s="26" t="s">
        <v>109</v>
      </c>
      <c r="L3638" s="27" t="s">
        <v>116</v>
      </c>
      <c r="M3638" s="10">
        <v>15.403573629081947</v>
      </c>
    </row>
    <row r="3639" spans="11:13" x14ac:dyDescent="0.25">
      <c r="K3639" s="26" t="s">
        <v>109</v>
      </c>
      <c r="L3639" s="27" t="s">
        <v>117</v>
      </c>
      <c r="M3639" s="10">
        <v>15.403573629081947</v>
      </c>
    </row>
    <row r="3640" spans="11:13" x14ac:dyDescent="0.25">
      <c r="K3640" s="26" t="s">
        <v>111</v>
      </c>
      <c r="L3640" s="27" t="s">
        <v>118</v>
      </c>
      <c r="M3640" s="10">
        <v>15.403573629081947</v>
      </c>
    </row>
    <row r="3641" spans="11:13" x14ac:dyDescent="0.25">
      <c r="K3641" s="26" t="s">
        <v>111</v>
      </c>
      <c r="L3641" s="27" t="s">
        <v>119</v>
      </c>
      <c r="M3641" s="10">
        <v>15.403573629081947</v>
      </c>
    </row>
    <row r="3642" spans="11:13" x14ac:dyDescent="0.25">
      <c r="K3642" s="26" t="s">
        <v>111</v>
      </c>
      <c r="L3642" s="27" t="s">
        <v>115</v>
      </c>
      <c r="M3642" s="10">
        <v>15.403573629081947</v>
      </c>
    </row>
    <row r="3643" spans="11:13" x14ac:dyDescent="0.25">
      <c r="K3643" s="26" t="s">
        <v>111</v>
      </c>
      <c r="L3643" s="27" t="s">
        <v>116</v>
      </c>
      <c r="M3643" s="10">
        <v>15.403573629081947</v>
      </c>
    </row>
    <row r="3644" spans="11:13" x14ac:dyDescent="0.25">
      <c r="K3644" s="26" t="s">
        <v>111</v>
      </c>
      <c r="L3644" s="27" t="s">
        <v>117</v>
      </c>
      <c r="M3644" s="10">
        <v>15.403573629081947</v>
      </c>
    </row>
    <row r="3645" spans="11:13" x14ac:dyDescent="0.25">
      <c r="K3645" s="26" t="s">
        <v>111</v>
      </c>
      <c r="L3645" s="27" t="s">
        <v>118</v>
      </c>
      <c r="M3645" s="10">
        <v>58.660583346912176</v>
      </c>
    </row>
    <row r="3646" spans="11:13" x14ac:dyDescent="0.25">
      <c r="K3646" s="26" t="s">
        <v>111</v>
      </c>
      <c r="L3646" s="27" t="s">
        <v>119</v>
      </c>
      <c r="M3646" s="10">
        <v>15.403573629081947</v>
      </c>
    </row>
    <row r="3647" spans="11:13" x14ac:dyDescent="0.25">
      <c r="K3647" s="26" t="s">
        <v>109</v>
      </c>
      <c r="L3647" s="27" t="s">
        <v>115</v>
      </c>
      <c r="M3647" s="10">
        <v>239.35185185185185</v>
      </c>
    </row>
    <row r="3648" spans="11:13" x14ac:dyDescent="0.25">
      <c r="K3648" s="26" t="s">
        <v>109</v>
      </c>
      <c r="L3648" s="27" t="s">
        <v>116</v>
      </c>
      <c r="M3648" s="10">
        <v>7.4128984432913265</v>
      </c>
    </row>
    <row r="3649" spans="11:13" x14ac:dyDescent="0.25">
      <c r="K3649" s="26" t="s">
        <v>109</v>
      </c>
      <c r="L3649" s="27" t="s">
        <v>117</v>
      </c>
      <c r="M3649" s="10">
        <v>15.403573629081947</v>
      </c>
    </row>
    <row r="3650" spans="11:13" x14ac:dyDescent="0.25">
      <c r="K3650" s="26" t="s">
        <v>109</v>
      </c>
      <c r="L3650" s="27" t="s">
        <v>118</v>
      </c>
      <c r="M3650" s="10">
        <v>15.403573629081947</v>
      </c>
    </row>
    <row r="3651" spans="11:13" x14ac:dyDescent="0.25">
      <c r="K3651" s="26" t="s">
        <v>109</v>
      </c>
      <c r="L3651" s="27" t="s">
        <v>119</v>
      </c>
      <c r="M3651" s="10">
        <v>53.912507701786815</v>
      </c>
    </row>
    <row r="3652" spans="11:13" x14ac:dyDescent="0.25">
      <c r="K3652" s="26" t="s">
        <v>109</v>
      </c>
      <c r="L3652" s="27" t="s">
        <v>115</v>
      </c>
      <c r="M3652" s="10">
        <v>52.949274594938046</v>
      </c>
    </row>
    <row r="3653" spans="11:13" x14ac:dyDescent="0.25">
      <c r="K3653" s="26" t="s">
        <v>109</v>
      </c>
      <c r="L3653" s="27" t="s">
        <v>116</v>
      </c>
      <c r="M3653" s="10">
        <v>0.66137566137566139</v>
      </c>
    </row>
    <row r="3654" spans="11:13" x14ac:dyDescent="0.25">
      <c r="K3654" s="26" t="s">
        <v>109</v>
      </c>
      <c r="L3654" s="27" t="s">
        <v>117</v>
      </c>
      <c r="M3654" s="10">
        <v>54.951596801817075</v>
      </c>
    </row>
    <row r="3655" spans="11:13" x14ac:dyDescent="0.25">
      <c r="K3655" s="26" t="s">
        <v>109</v>
      </c>
      <c r="L3655" s="27" t="s">
        <v>118</v>
      </c>
      <c r="M3655" s="10">
        <v>110.22927689594357</v>
      </c>
    </row>
    <row r="3656" spans="11:13" x14ac:dyDescent="0.25">
      <c r="K3656" s="26" t="s">
        <v>109</v>
      </c>
      <c r="L3656" s="27" t="s">
        <v>119</v>
      </c>
      <c r="M3656" s="10">
        <v>15.403573629081947</v>
      </c>
    </row>
    <row r="3657" spans="11:13" x14ac:dyDescent="0.25">
      <c r="K3657" s="26" t="s">
        <v>111</v>
      </c>
      <c r="L3657" s="27" t="s">
        <v>115</v>
      </c>
      <c r="M3657" s="10">
        <v>161.32368148914165</v>
      </c>
    </row>
    <row r="3658" spans="11:13" x14ac:dyDescent="0.25">
      <c r="K3658" s="26" t="s">
        <v>111</v>
      </c>
      <c r="L3658" s="27" t="s">
        <v>116</v>
      </c>
      <c r="M3658" s="10">
        <v>15.403573629081947</v>
      </c>
    </row>
    <row r="3659" spans="11:13" x14ac:dyDescent="0.25">
      <c r="K3659" s="26" t="s">
        <v>110</v>
      </c>
      <c r="L3659" s="27" t="s">
        <v>117</v>
      </c>
      <c r="M3659" s="10">
        <v>20.106240834283852</v>
      </c>
    </row>
    <row r="3660" spans="11:13" x14ac:dyDescent="0.25">
      <c r="K3660" s="26" t="s">
        <v>110</v>
      </c>
      <c r="L3660" s="27" t="s">
        <v>118</v>
      </c>
      <c r="M3660" s="10">
        <v>130</v>
      </c>
    </row>
    <row r="3661" spans="11:13" x14ac:dyDescent="0.25">
      <c r="K3661" s="26" t="s">
        <v>109</v>
      </c>
      <c r="L3661" s="27" t="s">
        <v>119</v>
      </c>
      <c r="M3661" s="10">
        <v>200.60985395602631</v>
      </c>
    </row>
    <row r="3662" spans="11:13" x14ac:dyDescent="0.25">
      <c r="K3662" s="26" t="s">
        <v>111</v>
      </c>
      <c r="L3662" s="27" t="s">
        <v>115</v>
      </c>
      <c r="M3662" s="10">
        <v>489.63844797178132</v>
      </c>
    </row>
    <row r="3663" spans="11:13" x14ac:dyDescent="0.25">
      <c r="K3663" s="26" t="s">
        <v>110</v>
      </c>
      <c r="L3663" s="27" t="s">
        <v>116</v>
      </c>
      <c r="M3663" s="10">
        <v>92.421441774491683</v>
      </c>
    </row>
    <row r="3664" spans="11:13" x14ac:dyDescent="0.25">
      <c r="K3664" s="26" t="s">
        <v>109</v>
      </c>
      <c r="L3664" s="27" t="s">
        <v>117</v>
      </c>
      <c r="M3664" s="10">
        <v>40.121970791205264</v>
      </c>
    </row>
    <row r="3665" spans="11:13" x14ac:dyDescent="0.25">
      <c r="K3665" s="26" t="s">
        <v>109</v>
      </c>
      <c r="L3665" s="27" t="s">
        <v>118</v>
      </c>
      <c r="M3665" s="10">
        <v>15.403573629081947</v>
      </c>
    </row>
    <row r="3666" spans="11:13" x14ac:dyDescent="0.25">
      <c r="K3666" s="26" t="s">
        <v>109</v>
      </c>
      <c r="L3666" s="27" t="s">
        <v>119</v>
      </c>
      <c r="M3666" s="10">
        <v>92.421441774491683</v>
      </c>
    </row>
    <row r="3667" spans="11:13" x14ac:dyDescent="0.25">
      <c r="K3667" s="26" t="s">
        <v>110</v>
      </c>
      <c r="L3667" s="27" t="s">
        <v>115</v>
      </c>
      <c r="M3667" s="10">
        <v>15.403573629081947</v>
      </c>
    </row>
    <row r="3668" spans="11:13" x14ac:dyDescent="0.25">
      <c r="K3668" s="26" t="s">
        <v>110</v>
      </c>
      <c r="L3668" s="27" t="s">
        <v>116</v>
      </c>
      <c r="M3668" s="10">
        <v>15.403573629081947</v>
      </c>
    </row>
    <row r="3669" spans="11:13" x14ac:dyDescent="0.25">
      <c r="K3669" s="26" t="s">
        <v>111</v>
      </c>
      <c r="L3669" s="27" t="s">
        <v>117</v>
      </c>
      <c r="M3669" s="10">
        <v>15.403573629081947</v>
      </c>
    </row>
    <row r="3670" spans="11:13" x14ac:dyDescent="0.25">
      <c r="K3670" s="26" t="s">
        <v>111</v>
      </c>
      <c r="L3670" s="27" t="s">
        <v>118</v>
      </c>
      <c r="M3670" s="10">
        <v>66.137566137566139</v>
      </c>
    </row>
    <row r="3671" spans="11:13" x14ac:dyDescent="0.25">
      <c r="K3671" s="26" t="s">
        <v>111</v>
      </c>
      <c r="L3671" s="27" t="s">
        <v>119</v>
      </c>
      <c r="M3671" s="10">
        <v>370.64492216456637</v>
      </c>
    </row>
    <row r="3672" spans="11:13" x14ac:dyDescent="0.25">
      <c r="K3672" s="26" t="s">
        <v>111</v>
      </c>
      <c r="L3672" s="27" t="s">
        <v>115</v>
      </c>
      <c r="M3672" s="10">
        <v>32.412284255732921</v>
      </c>
    </row>
    <row r="3673" spans="11:13" x14ac:dyDescent="0.25">
      <c r="K3673" s="26" t="s">
        <v>111</v>
      </c>
      <c r="L3673" s="27" t="s">
        <v>116</v>
      </c>
      <c r="M3673" s="10">
        <v>661.37566137566137</v>
      </c>
    </row>
    <row r="3674" spans="11:13" x14ac:dyDescent="0.25">
      <c r="K3674" s="26" t="s">
        <v>111</v>
      </c>
      <c r="L3674" s="27" t="s">
        <v>117</v>
      </c>
      <c r="M3674" s="10">
        <v>15.403573629081947</v>
      </c>
    </row>
    <row r="3675" spans="11:13" x14ac:dyDescent="0.25">
      <c r="K3675" s="26" t="s">
        <v>109</v>
      </c>
      <c r="L3675" s="27" t="s">
        <v>118</v>
      </c>
      <c r="M3675" s="10">
        <v>97.934215167548501</v>
      </c>
    </row>
    <row r="3676" spans="11:13" x14ac:dyDescent="0.25">
      <c r="K3676" s="26" t="s">
        <v>109</v>
      </c>
      <c r="L3676" s="27" t="s">
        <v>119</v>
      </c>
      <c r="M3676" s="10">
        <v>129.26577042399171</v>
      </c>
    </row>
    <row r="3677" spans="11:13" x14ac:dyDescent="0.25">
      <c r="K3677" s="26" t="s">
        <v>109</v>
      </c>
      <c r="L3677" s="27" t="s">
        <v>115</v>
      </c>
      <c r="M3677" s="10">
        <v>20.652335063009637</v>
      </c>
    </row>
    <row r="3678" spans="11:13" x14ac:dyDescent="0.25">
      <c r="K3678" s="26" t="s">
        <v>109</v>
      </c>
      <c r="L3678" s="27" t="s">
        <v>116</v>
      </c>
      <c r="M3678" s="10">
        <v>91.585994669695125</v>
      </c>
    </row>
    <row r="3679" spans="11:13" x14ac:dyDescent="0.25">
      <c r="K3679" s="26" t="s">
        <v>109</v>
      </c>
      <c r="L3679" s="27" t="s">
        <v>117</v>
      </c>
      <c r="M3679" s="10">
        <v>132.27513227513228</v>
      </c>
    </row>
    <row r="3680" spans="11:13" x14ac:dyDescent="0.25">
      <c r="K3680" s="26" t="s">
        <v>109</v>
      </c>
      <c r="L3680" s="27" t="s">
        <v>118</v>
      </c>
      <c r="M3680" s="10">
        <v>17.235436056532226</v>
      </c>
    </row>
    <row r="3681" spans="11:13" x14ac:dyDescent="0.25">
      <c r="K3681" s="26" t="s">
        <v>109</v>
      </c>
      <c r="L3681" s="27" t="s">
        <v>119</v>
      </c>
      <c r="M3681" s="10">
        <v>24.957640172520023</v>
      </c>
    </row>
    <row r="3682" spans="11:13" x14ac:dyDescent="0.25">
      <c r="K3682" s="26" t="s">
        <v>109</v>
      </c>
      <c r="L3682" s="27" t="s">
        <v>115</v>
      </c>
      <c r="M3682" s="10">
        <v>38.508934072704868</v>
      </c>
    </row>
    <row r="3683" spans="11:13" x14ac:dyDescent="0.25">
      <c r="K3683" s="26" t="s">
        <v>109</v>
      </c>
      <c r="L3683" s="27" t="s">
        <v>116</v>
      </c>
      <c r="M3683" s="10">
        <v>165.34391534391534</v>
      </c>
    </row>
    <row r="3684" spans="11:13" x14ac:dyDescent="0.25">
      <c r="K3684" s="26" t="s">
        <v>110</v>
      </c>
      <c r="L3684" s="27" t="s">
        <v>117</v>
      </c>
      <c r="M3684" s="10">
        <v>55.114638447971785</v>
      </c>
    </row>
    <row r="3685" spans="11:13" x14ac:dyDescent="0.25">
      <c r="K3685" s="26" t="s">
        <v>110</v>
      </c>
      <c r="L3685" s="27" t="s">
        <v>118</v>
      </c>
      <c r="M3685" s="10">
        <v>15.403573629081947</v>
      </c>
    </row>
    <row r="3686" spans="11:13" x14ac:dyDescent="0.25">
      <c r="K3686" s="26" t="s">
        <v>109</v>
      </c>
      <c r="L3686" s="27" t="s">
        <v>119</v>
      </c>
      <c r="M3686" s="10">
        <v>15.403573629081947</v>
      </c>
    </row>
    <row r="3687" spans="11:13" x14ac:dyDescent="0.25">
      <c r="K3687" s="26" t="s">
        <v>109</v>
      </c>
      <c r="L3687" s="27" t="s">
        <v>115</v>
      </c>
      <c r="M3687" s="10">
        <v>15.403573629081947</v>
      </c>
    </row>
    <row r="3688" spans="11:13" x14ac:dyDescent="0.25">
      <c r="K3688" s="26" t="s">
        <v>110</v>
      </c>
      <c r="L3688" s="27" t="s">
        <v>116</v>
      </c>
      <c r="M3688" s="10">
        <v>15.403573629081947</v>
      </c>
    </row>
    <row r="3689" spans="11:13" x14ac:dyDescent="0.25">
      <c r="K3689" s="26" t="s">
        <v>110</v>
      </c>
      <c r="L3689" s="27" t="s">
        <v>117</v>
      </c>
      <c r="M3689" s="10">
        <v>15.403573629081947</v>
      </c>
    </row>
    <row r="3690" spans="11:13" x14ac:dyDescent="0.25">
      <c r="K3690" s="26" t="s">
        <v>109</v>
      </c>
      <c r="L3690" s="27" t="s">
        <v>118</v>
      </c>
      <c r="M3690" s="10">
        <v>15.403573629081947</v>
      </c>
    </row>
    <row r="3691" spans="11:13" x14ac:dyDescent="0.25">
      <c r="K3691" s="26" t="s">
        <v>111</v>
      </c>
      <c r="L3691" s="27" t="s">
        <v>119</v>
      </c>
      <c r="M3691" s="10">
        <v>110.22927689594357</v>
      </c>
    </row>
    <row r="3692" spans="11:13" x14ac:dyDescent="0.25">
      <c r="K3692" s="26" t="s">
        <v>111</v>
      </c>
      <c r="L3692" s="27" t="s">
        <v>115</v>
      </c>
      <c r="M3692" s="10">
        <v>15.403573629081947</v>
      </c>
    </row>
    <row r="3693" spans="11:13" x14ac:dyDescent="0.25">
      <c r="K3693" s="26" t="s">
        <v>111</v>
      </c>
      <c r="L3693" s="27" t="s">
        <v>116</v>
      </c>
      <c r="M3693" s="10">
        <v>15.403573629081947</v>
      </c>
    </row>
    <row r="3694" spans="11:13" x14ac:dyDescent="0.25">
      <c r="K3694" s="26" t="s">
        <v>111</v>
      </c>
      <c r="L3694" s="27" t="s">
        <v>117</v>
      </c>
      <c r="M3694" s="10">
        <v>15.403573629081947</v>
      </c>
    </row>
    <row r="3695" spans="11:13" x14ac:dyDescent="0.25">
      <c r="K3695" s="26" t="s">
        <v>109</v>
      </c>
      <c r="L3695" s="27" t="s">
        <v>118</v>
      </c>
      <c r="M3695" s="10">
        <v>15.403573629081947</v>
      </c>
    </row>
    <row r="3696" spans="11:13" x14ac:dyDescent="0.25">
      <c r="K3696" s="26" t="s">
        <v>109</v>
      </c>
      <c r="L3696" s="27" t="s">
        <v>119</v>
      </c>
      <c r="M3696" s="10">
        <v>15.403573629081947</v>
      </c>
    </row>
    <row r="3697" spans="11:13" x14ac:dyDescent="0.25">
      <c r="K3697" s="26" t="s">
        <v>109</v>
      </c>
      <c r="L3697" s="27" t="s">
        <v>115</v>
      </c>
      <c r="M3697" s="10">
        <v>15.403573629081947</v>
      </c>
    </row>
    <row r="3698" spans="11:13" x14ac:dyDescent="0.25">
      <c r="K3698" s="26" t="s">
        <v>109</v>
      </c>
      <c r="L3698" s="27" t="s">
        <v>116</v>
      </c>
      <c r="M3698" s="10">
        <v>15.403573629081947</v>
      </c>
    </row>
    <row r="3699" spans="11:13" x14ac:dyDescent="0.25">
      <c r="K3699" s="26" t="s">
        <v>109</v>
      </c>
      <c r="L3699" s="27" t="s">
        <v>117</v>
      </c>
      <c r="M3699" s="10">
        <v>15.403573629081947</v>
      </c>
    </row>
    <row r="3700" spans="11:13" x14ac:dyDescent="0.25">
      <c r="K3700" s="26" t="s">
        <v>109</v>
      </c>
      <c r="L3700" s="27" t="s">
        <v>118</v>
      </c>
      <c r="M3700" s="10">
        <v>15.403573629081947</v>
      </c>
    </row>
    <row r="3701" spans="11:13" x14ac:dyDescent="0.25">
      <c r="K3701" s="26" t="s">
        <v>109</v>
      </c>
      <c r="L3701" s="27" t="s">
        <v>119</v>
      </c>
      <c r="M3701" s="10">
        <v>52.949274594938046</v>
      </c>
    </row>
    <row r="3702" spans="11:13" x14ac:dyDescent="0.25">
      <c r="K3702" s="26" t="s">
        <v>109</v>
      </c>
      <c r="L3702" s="27" t="s">
        <v>115</v>
      </c>
      <c r="M3702" s="10">
        <v>105.89854918987609</v>
      </c>
    </row>
    <row r="3703" spans="11:13" x14ac:dyDescent="0.25">
      <c r="K3703" s="26" t="s">
        <v>109</v>
      </c>
      <c r="L3703" s="27" t="s">
        <v>116</v>
      </c>
      <c r="M3703" s="10">
        <v>10.58985491898761</v>
      </c>
    </row>
    <row r="3704" spans="11:13" x14ac:dyDescent="0.25">
      <c r="K3704" s="26" t="s">
        <v>109</v>
      </c>
      <c r="L3704" s="27" t="s">
        <v>117</v>
      </c>
      <c r="M3704" s="10">
        <v>15.403573629081947</v>
      </c>
    </row>
    <row r="3705" spans="11:13" x14ac:dyDescent="0.25">
      <c r="K3705" s="26" t="s">
        <v>109</v>
      </c>
      <c r="L3705" s="27" t="s">
        <v>118</v>
      </c>
      <c r="M3705" s="10">
        <v>7.7017868145409736</v>
      </c>
    </row>
    <row r="3706" spans="11:13" x14ac:dyDescent="0.25">
      <c r="K3706" s="26" t="s">
        <v>109</v>
      </c>
      <c r="L3706" s="27" t="s">
        <v>119</v>
      </c>
      <c r="M3706" s="10">
        <v>15.403573629081947</v>
      </c>
    </row>
    <row r="3707" spans="11:13" x14ac:dyDescent="0.25">
      <c r="K3707" s="26" t="s">
        <v>109</v>
      </c>
      <c r="L3707" s="27" t="s">
        <v>115</v>
      </c>
      <c r="M3707" s="10">
        <v>15.403573629081947</v>
      </c>
    </row>
    <row r="3708" spans="11:13" x14ac:dyDescent="0.25">
      <c r="K3708" s="26" t="s">
        <v>109</v>
      </c>
      <c r="L3708" s="27" t="s">
        <v>116</v>
      </c>
      <c r="M3708" s="10">
        <v>15.403573629081947</v>
      </c>
    </row>
    <row r="3709" spans="11:13" x14ac:dyDescent="0.25">
      <c r="K3709" s="26" t="s">
        <v>109</v>
      </c>
      <c r="L3709" s="27" t="s">
        <v>117</v>
      </c>
      <c r="M3709" s="10">
        <v>15.403573629081947</v>
      </c>
    </row>
    <row r="3710" spans="11:13" x14ac:dyDescent="0.25">
      <c r="K3710" s="26" t="s">
        <v>111</v>
      </c>
      <c r="L3710" s="27" t="s">
        <v>118</v>
      </c>
      <c r="M3710" s="10">
        <v>1540.3573629081948</v>
      </c>
    </row>
    <row r="3711" spans="11:13" x14ac:dyDescent="0.25">
      <c r="K3711" s="26" t="s">
        <v>111</v>
      </c>
      <c r="L3711" s="27" t="s">
        <v>119</v>
      </c>
      <c r="M3711" s="10">
        <v>15.403573629081947</v>
      </c>
    </row>
    <row r="3712" spans="11:13" x14ac:dyDescent="0.25">
      <c r="K3712" s="26" t="s">
        <v>110</v>
      </c>
      <c r="L3712" s="27" t="s">
        <v>115</v>
      </c>
      <c r="M3712" s="10">
        <v>15.403573629081947</v>
      </c>
    </row>
    <row r="3713" spans="11:13" x14ac:dyDescent="0.25">
      <c r="K3713" s="26" t="s">
        <v>110</v>
      </c>
      <c r="L3713" s="27" t="s">
        <v>116</v>
      </c>
      <c r="M3713" s="10">
        <v>15.403573629081947</v>
      </c>
    </row>
    <row r="3714" spans="11:13" x14ac:dyDescent="0.25">
      <c r="K3714" s="26" t="s">
        <v>110</v>
      </c>
      <c r="L3714" s="27" t="s">
        <v>117</v>
      </c>
      <c r="M3714" s="10">
        <v>46.210720887245841</v>
      </c>
    </row>
    <row r="3715" spans="11:13" x14ac:dyDescent="0.25">
      <c r="K3715" s="26" t="s">
        <v>110</v>
      </c>
      <c r="L3715" s="27" t="s">
        <v>118</v>
      </c>
      <c r="M3715" s="10">
        <v>15.403573629081947</v>
      </c>
    </row>
    <row r="3716" spans="11:13" x14ac:dyDescent="0.25">
      <c r="K3716" s="26" t="s">
        <v>109</v>
      </c>
      <c r="L3716" s="27" t="s">
        <v>119</v>
      </c>
      <c r="M3716" s="10">
        <v>15.403573629081947</v>
      </c>
    </row>
    <row r="3717" spans="11:13" x14ac:dyDescent="0.25">
      <c r="K3717" s="26" t="s">
        <v>110</v>
      </c>
      <c r="L3717" s="27" t="s">
        <v>115</v>
      </c>
      <c r="M3717" s="10">
        <v>15.403573629081947</v>
      </c>
    </row>
    <row r="3718" spans="11:13" x14ac:dyDescent="0.25">
      <c r="K3718" s="26" t="s">
        <v>110</v>
      </c>
      <c r="L3718" s="27" t="s">
        <v>116</v>
      </c>
      <c r="M3718" s="10">
        <v>15.403573629081947</v>
      </c>
    </row>
    <row r="3719" spans="11:13" x14ac:dyDescent="0.25">
      <c r="K3719" s="26" t="s">
        <v>110</v>
      </c>
      <c r="L3719" s="27" t="s">
        <v>117</v>
      </c>
      <c r="M3719" s="10">
        <v>34.470872113064452</v>
      </c>
    </row>
    <row r="3720" spans="11:13" x14ac:dyDescent="0.25">
      <c r="K3720" s="26" t="s">
        <v>109</v>
      </c>
      <c r="L3720" s="27" t="s">
        <v>118</v>
      </c>
      <c r="M3720" s="10">
        <v>15.403573629081947</v>
      </c>
    </row>
    <row r="3721" spans="11:13" x14ac:dyDescent="0.25">
      <c r="K3721" s="26" t="s">
        <v>109</v>
      </c>
      <c r="L3721" s="27" t="s">
        <v>119</v>
      </c>
      <c r="M3721" s="10">
        <v>46.210720887245841</v>
      </c>
    </row>
    <row r="3722" spans="11:13" x14ac:dyDescent="0.25">
      <c r="K3722" s="26" t="s">
        <v>111</v>
      </c>
      <c r="L3722" s="27" t="s">
        <v>115</v>
      </c>
      <c r="M3722" s="10">
        <v>92.421441774491683</v>
      </c>
    </row>
    <row r="3723" spans="11:13" x14ac:dyDescent="0.25">
      <c r="K3723" s="26" t="s">
        <v>111</v>
      </c>
      <c r="L3723" s="27" t="s">
        <v>116</v>
      </c>
      <c r="M3723" s="10">
        <v>92.421441774491683</v>
      </c>
    </row>
    <row r="3724" spans="11:13" x14ac:dyDescent="0.25">
      <c r="K3724" s="26" t="s">
        <v>113</v>
      </c>
      <c r="L3724" s="27" t="s">
        <v>117</v>
      </c>
      <c r="M3724" s="10">
        <v>385.08934072704869</v>
      </c>
    </row>
    <row r="3725" spans="11:13" x14ac:dyDescent="0.25">
      <c r="K3725" s="26" t="s">
        <v>109</v>
      </c>
      <c r="L3725" s="27" t="s">
        <v>118</v>
      </c>
      <c r="M3725" s="10">
        <v>52.949274594938046</v>
      </c>
    </row>
    <row r="3726" spans="11:13" x14ac:dyDescent="0.25">
      <c r="K3726" s="26" t="s">
        <v>109</v>
      </c>
      <c r="L3726" s="27" t="s">
        <v>119</v>
      </c>
      <c r="M3726" s="10">
        <v>106.85970355049982</v>
      </c>
    </row>
    <row r="3727" spans="11:13" x14ac:dyDescent="0.25">
      <c r="K3727" s="26" t="s">
        <v>109</v>
      </c>
      <c r="L3727" s="27" t="s">
        <v>115</v>
      </c>
      <c r="M3727" s="10">
        <v>2117.970983797522</v>
      </c>
    </row>
    <row r="3728" spans="11:13" x14ac:dyDescent="0.25">
      <c r="K3728" s="26" t="s">
        <v>109</v>
      </c>
      <c r="L3728" s="27" t="s">
        <v>116</v>
      </c>
      <c r="M3728" s="10">
        <v>300</v>
      </c>
    </row>
    <row r="3729" spans="11:13" x14ac:dyDescent="0.25">
      <c r="K3729" s="26" t="s">
        <v>109</v>
      </c>
      <c r="L3729" s="27" t="s">
        <v>117</v>
      </c>
      <c r="M3729" s="10">
        <v>8.8183421516754841</v>
      </c>
    </row>
    <row r="3730" spans="11:13" x14ac:dyDescent="0.25">
      <c r="K3730" s="26" t="s">
        <v>109</v>
      </c>
      <c r="L3730" s="27" t="s">
        <v>118</v>
      </c>
      <c r="M3730" s="10">
        <v>33.06878306878307</v>
      </c>
    </row>
    <row r="3731" spans="11:13" x14ac:dyDescent="0.25">
      <c r="K3731" s="26" t="s">
        <v>109</v>
      </c>
      <c r="L3731" s="27" t="s">
        <v>119</v>
      </c>
      <c r="M3731" s="10">
        <v>0.55800000000000005</v>
      </c>
    </row>
    <row r="3732" spans="11:13" x14ac:dyDescent="0.25">
      <c r="K3732" s="26" t="s">
        <v>109</v>
      </c>
      <c r="L3732" s="27" t="s">
        <v>115</v>
      </c>
      <c r="M3732" s="10">
        <v>81.030710639332298</v>
      </c>
    </row>
    <row r="3733" spans="11:13" x14ac:dyDescent="0.25">
      <c r="K3733" s="26" t="s">
        <v>109</v>
      </c>
      <c r="L3733" s="27" t="s">
        <v>116</v>
      </c>
      <c r="M3733" s="10">
        <v>81.030710639332298</v>
      </c>
    </row>
    <row r="3734" spans="11:13" x14ac:dyDescent="0.25">
      <c r="K3734" s="26" t="s">
        <v>109</v>
      </c>
      <c r="L3734" s="27" t="s">
        <v>117</v>
      </c>
      <c r="M3734" s="10">
        <v>33.06878306878307</v>
      </c>
    </row>
    <row r="3735" spans="11:13" x14ac:dyDescent="0.25">
      <c r="K3735" s="26" t="s">
        <v>109</v>
      </c>
      <c r="L3735" s="27" t="s">
        <v>118</v>
      </c>
      <c r="M3735" s="10">
        <v>88.183421516754848</v>
      </c>
    </row>
    <row r="3736" spans="11:13" x14ac:dyDescent="0.25">
      <c r="K3736" s="26" t="s">
        <v>109</v>
      </c>
      <c r="L3736" s="27" t="s">
        <v>119</v>
      </c>
      <c r="M3736" s="10">
        <v>440.91710758377428</v>
      </c>
    </row>
    <row r="3737" spans="11:13" x14ac:dyDescent="0.25">
      <c r="K3737" s="26" t="s">
        <v>109</v>
      </c>
      <c r="L3737" s="27" t="s">
        <v>115</v>
      </c>
      <c r="M3737" s="10">
        <v>48.500881834215171</v>
      </c>
    </row>
    <row r="3738" spans="11:13" x14ac:dyDescent="0.25">
      <c r="K3738" s="26" t="s">
        <v>113</v>
      </c>
      <c r="L3738" s="27" t="s">
        <v>116</v>
      </c>
      <c r="M3738" s="10">
        <v>15.403573629081947</v>
      </c>
    </row>
    <row r="3739" spans="11:13" x14ac:dyDescent="0.25">
      <c r="K3739" s="26" t="s">
        <v>111</v>
      </c>
      <c r="L3739" s="27" t="s">
        <v>117</v>
      </c>
      <c r="M3739" s="10">
        <v>15.403573629081947</v>
      </c>
    </row>
    <row r="3740" spans="11:13" x14ac:dyDescent="0.25">
      <c r="K3740" s="26" t="s">
        <v>111</v>
      </c>
      <c r="L3740" s="27" t="s">
        <v>118</v>
      </c>
      <c r="M3740" s="10">
        <v>15.403573629081947</v>
      </c>
    </row>
    <row r="3741" spans="11:13" x14ac:dyDescent="0.25">
      <c r="K3741" s="26" t="s">
        <v>109</v>
      </c>
      <c r="L3741" s="27" t="s">
        <v>119</v>
      </c>
      <c r="M3741" s="10">
        <v>15.403573629081947</v>
      </c>
    </row>
    <row r="3742" spans="11:13" x14ac:dyDescent="0.25">
      <c r="K3742" s="26" t="s">
        <v>110</v>
      </c>
      <c r="L3742" s="27" t="s">
        <v>115</v>
      </c>
      <c r="M3742" s="10">
        <v>661.37566137566137</v>
      </c>
    </row>
    <row r="3743" spans="11:13" x14ac:dyDescent="0.25">
      <c r="K3743" s="26" t="s">
        <v>110</v>
      </c>
      <c r="L3743" s="27" t="s">
        <v>116</v>
      </c>
      <c r="M3743" s="10">
        <v>24.250440917107586</v>
      </c>
    </row>
    <row r="3744" spans="11:13" x14ac:dyDescent="0.25">
      <c r="K3744" s="26" t="s">
        <v>110</v>
      </c>
      <c r="L3744" s="27" t="s">
        <v>117</v>
      </c>
      <c r="M3744" s="10">
        <v>154.03573629081947</v>
      </c>
    </row>
    <row r="3745" spans="11:13" x14ac:dyDescent="0.25">
      <c r="K3745" s="26" t="s">
        <v>110</v>
      </c>
      <c r="L3745" s="27" t="s">
        <v>118</v>
      </c>
      <c r="M3745" s="10">
        <v>66.137566137566139</v>
      </c>
    </row>
    <row r="3746" spans="11:13" x14ac:dyDescent="0.25">
      <c r="K3746" s="26" t="s">
        <v>110</v>
      </c>
      <c r="L3746" s="27" t="s">
        <v>119</v>
      </c>
      <c r="M3746" s="10">
        <v>211.79709837975219</v>
      </c>
    </row>
    <row r="3747" spans="11:13" x14ac:dyDescent="0.25">
      <c r="K3747" s="26" t="s">
        <v>110</v>
      </c>
      <c r="L3747" s="27" t="s">
        <v>115</v>
      </c>
      <c r="M3747" s="10">
        <v>122.96994847943675</v>
      </c>
    </row>
    <row r="3748" spans="11:13" x14ac:dyDescent="0.25">
      <c r="K3748" s="26" t="s">
        <v>109</v>
      </c>
      <c r="L3748" s="27" t="s">
        <v>116</v>
      </c>
      <c r="M3748" s="10">
        <v>110.22927689594357</v>
      </c>
    </row>
    <row r="3749" spans="11:13" x14ac:dyDescent="0.25">
      <c r="K3749" s="26" t="s">
        <v>109</v>
      </c>
      <c r="L3749" s="27" t="s">
        <v>117</v>
      </c>
      <c r="M3749" s="10">
        <v>61.614294516327789</v>
      </c>
    </row>
    <row r="3750" spans="11:13" x14ac:dyDescent="0.25">
      <c r="K3750" s="26" t="s">
        <v>111</v>
      </c>
      <c r="L3750" s="27" t="s">
        <v>118</v>
      </c>
      <c r="M3750" s="10">
        <v>154.03573629081947</v>
      </c>
    </row>
    <row r="3751" spans="11:13" x14ac:dyDescent="0.25">
      <c r="K3751" s="26" t="s">
        <v>111</v>
      </c>
      <c r="L3751" s="27" t="s">
        <v>119</v>
      </c>
      <c r="M3751" s="10">
        <v>110.22927689594357</v>
      </c>
    </row>
    <row r="3752" spans="11:13" x14ac:dyDescent="0.25">
      <c r="K3752" s="26" t="s">
        <v>111</v>
      </c>
      <c r="L3752" s="27" t="s">
        <v>115</v>
      </c>
      <c r="M3752" s="10">
        <v>110.22927689594357</v>
      </c>
    </row>
    <row r="3753" spans="11:13" x14ac:dyDescent="0.25">
      <c r="K3753" s="26" t="s">
        <v>111</v>
      </c>
      <c r="L3753" s="27" t="s">
        <v>116</v>
      </c>
      <c r="M3753" s="10">
        <v>55.114638447971785</v>
      </c>
    </row>
    <row r="3754" spans="11:13" x14ac:dyDescent="0.25">
      <c r="K3754" s="26" t="s">
        <v>109</v>
      </c>
      <c r="L3754" s="27" t="s">
        <v>117</v>
      </c>
      <c r="M3754" s="10">
        <v>391.73677248677251</v>
      </c>
    </row>
    <row r="3755" spans="11:13" x14ac:dyDescent="0.25">
      <c r="K3755" s="26" t="s">
        <v>109</v>
      </c>
      <c r="L3755" s="27" t="s">
        <v>118</v>
      </c>
      <c r="M3755" s="10">
        <v>103.41261633919338</v>
      </c>
    </row>
    <row r="3756" spans="11:13" x14ac:dyDescent="0.25">
      <c r="K3756" s="26" t="s">
        <v>109</v>
      </c>
      <c r="L3756" s="27" t="s">
        <v>119</v>
      </c>
      <c r="M3756" s="10">
        <v>31.769564756962826</v>
      </c>
    </row>
    <row r="3757" spans="11:13" x14ac:dyDescent="0.25">
      <c r="K3757" s="26" t="s">
        <v>109</v>
      </c>
      <c r="L3757" s="27" t="s">
        <v>115</v>
      </c>
      <c r="M3757" s="10">
        <v>231.05360443622922</v>
      </c>
    </row>
    <row r="3758" spans="11:13" x14ac:dyDescent="0.25">
      <c r="K3758" s="26" t="s">
        <v>109</v>
      </c>
      <c r="L3758" s="27" t="s">
        <v>116</v>
      </c>
      <c r="M3758" s="10">
        <v>66.137566137566139</v>
      </c>
    </row>
    <row r="3759" spans="11:13" x14ac:dyDescent="0.25">
      <c r="K3759" s="26" t="s">
        <v>109</v>
      </c>
      <c r="L3759" s="27" t="s">
        <v>117</v>
      </c>
      <c r="M3759" s="10">
        <v>66.137566137566139</v>
      </c>
    </row>
    <row r="3760" spans="11:13" x14ac:dyDescent="0.25">
      <c r="K3760" s="26" t="s">
        <v>109</v>
      </c>
      <c r="L3760" s="27" t="s">
        <v>118</v>
      </c>
      <c r="M3760" s="10">
        <v>220.45855379188714</v>
      </c>
    </row>
    <row r="3761" spans="11:13" x14ac:dyDescent="0.25">
      <c r="K3761" s="26" t="s">
        <v>109</v>
      </c>
      <c r="L3761" s="27" t="s">
        <v>119</v>
      </c>
      <c r="M3761" s="10">
        <v>46.210720887245841</v>
      </c>
    </row>
    <row r="3762" spans="11:13" x14ac:dyDescent="0.25">
      <c r="K3762" s="26" t="s">
        <v>109</v>
      </c>
      <c r="L3762" s="27" t="s">
        <v>115</v>
      </c>
      <c r="M3762" s="10">
        <v>881.83421516754856</v>
      </c>
    </row>
    <row r="3763" spans="11:13" x14ac:dyDescent="0.25">
      <c r="K3763" s="26" t="s">
        <v>109</v>
      </c>
      <c r="L3763" s="27" t="s">
        <v>116</v>
      </c>
      <c r="M3763" s="10">
        <v>123.22858903265558</v>
      </c>
    </row>
    <row r="3764" spans="11:13" x14ac:dyDescent="0.25">
      <c r="K3764" s="26" t="s">
        <v>109</v>
      </c>
      <c r="L3764" s="27" t="s">
        <v>117</v>
      </c>
      <c r="M3764" s="10">
        <v>770.88124574409323</v>
      </c>
    </row>
    <row r="3765" spans="11:13" x14ac:dyDescent="0.25">
      <c r="K3765" s="26" t="s">
        <v>109</v>
      </c>
      <c r="L3765" s="27" t="s">
        <v>118</v>
      </c>
      <c r="M3765" s="10">
        <v>220.45855379188714</v>
      </c>
    </row>
    <row r="3766" spans="11:13" x14ac:dyDescent="0.25">
      <c r="K3766" s="26" t="s">
        <v>109</v>
      </c>
      <c r="L3766" s="27" t="s">
        <v>119</v>
      </c>
      <c r="M3766" s="10">
        <v>165.34391534391534</v>
      </c>
    </row>
    <row r="3767" spans="11:13" x14ac:dyDescent="0.25">
      <c r="K3767" s="26" t="s">
        <v>110</v>
      </c>
      <c r="L3767" s="27" t="s">
        <v>115</v>
      </c>
      <c r="M3767" s="10">
        <v>615.83340085892553</v>
      </c>
    </row>
    <row r="3768" spans="11:13" x14ac:dyDescent="0.25">
      <c r="K3768" s="26" t="s">
        <v>110</v>
      </c>
      <c r="L3768" s="27" t="s">
        <v>116</v>
      </c>
      <c r="M3768" s="10">
        <v>549.51596801817072</v>
      </c>
    </row>
    <row r="3769" spans="11:13" x14ac:dyDescent="0.25">
      <c r="K3769" s="26" t="s">
        <v>110</v>
      </c>
      <c r="L3769" s="27" t="s">
        <v>117</v>
      </c>
      <c r="M3769" s="10">
        <v>21.179709837975221</v>
      </c>
    </row>
    <row r="3770" spans="11:13" x14ac:dyDescent="0.25">
      <c r="K3770" s="26" t="s">
        <v>110</v>
      </c>
      <c r="L3770" s="27" t="s">
        <v>118</v>
      </c>
      <c r="M3770" s="10">
        <v>52.949274594938046</v>
      </c>
    </row>
    <row r="3771" spans="11:13" x14ac:dyDescent="0.25">
      <c r="K3771" s="26" t="s">
        <v>109</v>
      </c>
      <c r="L3771" s="27" t="s">
        <v>119</v>
      </c>
      <c r="M3771" s="10">
        <v>91.585994669695125</v>
      </c>
    </row>
    <row r="3772" spans="11:13" x14ac:dyDescent="0.25">
      <c r="K3772" s="26" t="s">
        <v>109</v>
      </c>
      <c r="L3772" s="27" t="s">
        <v>115</v>
      </c>
      <c r="M3772" s="10">
        <v>4.0515355319666151</v>
      </c>
    </row>
    <row r="3773" spans="11:13" x14ac:dyDescent="0.25">
      <c r="K3773" s="26" t="s">
        <v>111</v>
      </c>
      <c r="L3773" s="27" t="s">
        <v>116</v>
      </c>
      <c r="M3773" s="10">
        <v>41.365046535677351</v>
      </c>
    </row>
    <row r="3774" spans="11:13" x14ac:dyDescent="0.25">
      <c r="K3774" s="26" t="s">
        <v>111</v>
      </c>
      <c r="L3774" s="27" t="s">
        <v>117</v>
      </c>
      <c r="M3774" s="10">
        <v>28.404417039030776</v>
      </c>
    </row>
    <row r="3775" spans="11:13" x14ac:dyDescent="0.25">
      <c r="K3775" s="26" t="s">
        <v>111</v>
      </c>
      <c r="L3775" s="27" t="s">
        <v>118</v>
      </c>
      <c r="M3775" s="10">
        <v>10.824294532627865</v>
      </c>
    </row>
    <row r="3776" spans="11:13" x14ac:dyDescent="0.25">
      <c r="K3776" s="26" t="s">
        <v>111</v>
      </c>
      <c r="L3776" s="27" t="s">
        <v>119</v>
      </c>
      <c r="M3776" s="10">
        <v>60.871686497909678</v>
      </c>
    </row>
    <row r="3777" spans="11:13" x14ac:dyDescent="0.25">
      <c r="K3777" s="26" t="s">
        <v>111</v>
      </c>
      <c r="L3777" s="27" t="s">
        <v>115</v>
      </c>
      <c r="M3777" s="10">
        <v>60.871686497909678</v>
      </c>
    </row>
    <row r="3778" spans="11:13" x14ac:dyDescent="0.25">
      <c r="K3778" s="26" t="s">
        <v>111</v>
      </c>
      <c r="L3778" s="27" t="s">
        <v>116</v>
      </c>
      <c r="M3778" s="10">
        <v>391.73721340388005</v>
      </c>
    </row>
    <row r="3779" spans="11:13" x14ac:dyDescent="0.25">
      <c r="K3779" s="26" t="s">
        <v>111</v>
      </c>
      <c r="L3779" s="27" t="s">
        <v>117</v>
      </c>
      <c r="M3779" s="10">
        <v>41.365046535677351</v>
      </c>
    </row>
    <row r="3780" spans="11:13" x14ac:dyDescent="0.25">
      <c r="K3780" s="26" t="s">
        <v>111</v>
      </c>
      <c r="L3780" s="27" t="s">
        <v>118</v>
      </c>
      <c r="M3780" s="10">
        <v>397.97491615748606</v>
      </c>
    </row>
    <row r="3781" spans="11:13" x14ac:dyDescent="0.25">
      <c r="K3781" s="26" t="s">
        <v>114</v>
      </c>
      <c r="L3781" s="27" t="s">
        <v>119</v>
      </c>
      <c r="M3781" s="10">
        <v>337.19135802469134</v>
      </c>
    </row>
    <row r="3782" spans="11:13" x14ac:dyDescent="0.25">
      <c r="K3782" s="26" t="s">
        <v>109</v>
      </c>
      <c r="L3782" s="27" t="s">
        <v>115</v>
      </c>
      <c r="M3782" s="10">
        <v>189.68306878306879</v>
      </c>
    </row>
    <row r="3783" spans="11:13" x14ac:dyDescent="0.25">
      <c r="K3783" s="26" t="s">
        <v>109</v>
      </c>
      <c r="L3783" s="27" t="s">
        <v>116</v>
      </c>
      <c r="M3783" s="10">
        <v>38.54406228720466</v>
      </c>
    </row>
    <row r="3784" spans="11:13" x14ac:dyDescent="0.25">
      <c r="K3784" s="26" t="s">
        <v>109</v>
      </c>
      <c r="L3784" s="27" t="s">
        <v>117</v>
      </c>
      <c r="M3784" s="10">
        <v>24.250440917107586</v>
      </c>
    </row>
    <row r="3785" spans="11:13" x14ac:dyDescent="0.25">
      <c r="K3785" s="26" t="s">
        <v>109</v>
      </c>
      <c r="L3785" s="27" t="s">
        <v>118</v>
      </c>
      <c r="M3785" s="10">
        <v>79.365079365079367</v>
      </c>
    </row>
    <row r="3786" spans="11:13" x14ac:dyDescent="0.25">
      <c r="K3786" s="26" t="s">
        <v>109</v>
      </c>
      <c r="L3786" s="27" t="s">
        <v>119</v>
      </c>
      <c r="M3786" s="10">
        <v>48.259220958290243</v>
      </c>
    </row>
    <row r="3787" spans="11:13" x14ac:dyDescent="0.25">
      <c r="K3787" s="26" t="s">
        <v>109</v>
      </c>
      <c r="L3787" s="27" t="s">
        <v>115</v>
      </c>
      <c r="M3787" s="10">
        <v>25.696041524803107</v>
      </c>
    </row>
    <row r="3788" spans="11:13" x14ac:dyDescent="0.25">
      <c r="K3788" s="26" t="s">
        <v>109</v>
      </c>
      <c r="L3788" s="27" t="s">
        <v>116</v>
      </c>
      <c r="M3788" s="10">
        <v>4.409171075837742</v>
      </c>
    </row>
    <row r="3789" spans="11:13" x14ac:dyDescent="0.25">
      <c r="K3789" s="26" t="s">
        <v>109</v>
      </c>
      <c r="L3789" s="27" t="s">
        <v>117</v>
      </c>
      <c r="M3789" s="10">
        <v>440.91710758377428</v>
      </c>
    </row>
    <row r="3790" spans="11:13" x14ac:dyDescent="0.25">
      <c r="K3790" s="26" t="s">
        <v>109</v>
      </c>
      <c r="L3790" s="27" t="s">
        <v>118</v>
      </c>
      <c r="M3790" s="10">
        <v>50</v>
      </c>
    </row>
    <row r="3791" spans="11:13" x14ac:dyDescent="0.25">
      <c r="K3791" s="26" t="s">
        <v>109</v>
      </c>
      <c r="L3791" s="27" t="s">
        <v>119</v>
      </c>
      <c r="M3791" s="10">
        <v>31.769564756962826</v>
      </c>
    </row>
    <row r="3792" spans="11:13" x14ac:dyDescent="0.25">
      <c r="K3792" s="26" t="s">
        <v>109</v>
      </c>
      <c r="L3792" s="27" t="s">
        <v>115</v>
      </c>
      <c r="M3792" s="10">
        <v>44.091710758377424</v>
      </c>
    </row>
    <row r="3793" spans="11:13" x14ac:dyDescent="0.25">
      <c r="K3793" s="26" t="s">
        <v>109</v>
      </c>
      <c r="L3793" s="27" t="s">
        <v>116</v>
      </c>
      <c r="M3793" s="10">
        <v>0</v>
      </c>
    </row>
    <row r="3794" spans="11:13" x14ac:dyDescent="0.25">
      <c r="K3794" s="26" t="s">
        <v>110</v>
      </c>
      <c r="L3794" s="27" t="s">
        <v>117</v>
      </c>
      <c r="M3794" s="10">
        <v>8.4718839351900872</v>
      </c>
    </row>
    <row r="3795" spans="11:13" x14ac:dyDescent="0.25">
      <c r="K3795" s="26" t="s">
        <v>110</v>
      </c>
      <c r="L3795" s="27" t="s">
        <v>118</v>
      </c>
      <c r="M3795" s="10">
        <v>100</v>
      </c>
    </row>
    <row r="3796" spans="11:13" x14ac:dyDescent="0.25">
      <c r="K3796" s="26" t="s">
        <v>110</v>
      </c>
      <c r="L3796" s="27" t="s">
        <v>119</v>
      </c>
      <c r="M3796" s="10">
        <v>83.842238250562772</v>
      </c>
    </row>
    <row r="3797" spans="11:13" x14ac:dyDescent="0.25">
      <c r="K3797" s="26" t="s">
        <v>110</v>
      </c>
      <c r="L3797" s="27" t="s">
        <v>115</v>
      </c>
      <c r="M3797" s="10">
        <v>60.045194003527335</v>
      </c>
    </row>
    <row r="3798" spans="11:13" x14ac:dyDescent="0.25">
      <c r="K3798" s="26" t="s">
        <v>110</v>
      </c>
      <c r="L3798" s="27" t="s">
        <v>116</v>
      </c>
      <c r="M3798" s="10">
        <v>34.218673619032103</v>
      </c>
    </row>
    <row r="3799" spans="11:13" x14ac:dyDescent="0.25">
      <c r="K3799" s="26" t="s">
        <v>110</v>
      </c>
      <c r="L3799" s="27" t="s">
        <v>117</v>
      </c>
      <c r="M3799" s="10">
        <v>70</v>
      </c>
    </row>
    <row r="3800" spans="11:13" x14ac:dyDescent="0.25">
      <c r="K3800" s="26" t="s">
        <v>109</v>
      </c>
      <c r="L3800" s="27" t="s">
        <v>118</v>
      </c>
      <c r="M3800" s="10">
        <v>200</v>
      </c>
    </row>
    <row r="3801" spans="11:13" x14ac:dyDescent="0.25">
      <c r="K3801" s="26" t="s">
        <v>111</v>
      </c>
      <c r="L3801" s="27" t="s">
        <v>119</v>
      </c>
      <c r="M3801" s="10">
        <v>27.576697690451567</v>
      </c>
    </row>
    <row r="3802" spans="11:13" x14ac:dyDescent="0.25">
      <c r="K3802" s="26" t="s">
        <v>111</v>
      </c>
      <c r="L3802" s="27" t="s">
        <v>115</v>
      </c>
      <c r="M3802" s="10">
        <v>16.173752310536045</v>
      </c>
    </row>
    <row r="3803" spans="11:13" x14ac:dyDescent="0.25">
      <c r="K3803" s="26" t="s">
        <v>111</v>
      </c>
      <c r="L3803" s="27" t="s">
        <v>116</v>
      </c>
      <c r="M3803" s="10">
        <v>128.32577637094704</v>
      </c>
    </row>
    <row r="3804" spans="11:13" x14ac:dyDescent="0.25">
      <c r="K3804" s="26" t="s">
        <v>111</v>
      </c>
      <c r="L3804" s="27" t="s">
        <v>117</v>
      </c>
      <c r="M3804" s="10">
        <v>100</v>
      </c>
    </row>
    <row r="3805" spans="11:13" x14ac:dyDescent="0.25">
      <c r="K3805" s="26" t="s">
        <v>111</v>
      </c>
      <c r="L3805" s="27" t="s">
        <v>118</v>
      </c>
      <c r="M3805" s="10">
        <v>26.455026455026456</v>
      </c>
    </row>
    <row r="3806" spans="11:13" x14ac:dyDescent="0.25">
      <c r="K3806" s="26" t="s">
        <v>111</v>
      </c>
      <c r="L3806" s="27" t="s">
        <v>119</v>
      </c>
      <c r="M3806" s="10">
        <v>4.1365046535677346</v>
      </c>
    </row>
    <row r="3807" spans="11:13" x14ac:dyDescent="0.25">
      <c r="K3807" s="26" t="s">
        <v>110</v>
      </c>
      <c r="L3807" s="27" t="s">
        <v>115</v>
      </c>
      <c r="M3807" s="10">
        <v>330.68783068783068</v>
      </c>
    </row>
    <row r="3808" spans="11:13" x14ac:dyDescent="0.25">
      <c r="K3808" s="26" t="s">
        <v>109</v>
      </c>
      <c r="L3808" s="27" t="s">
        <v>116</v>
      </c>
      <c r="M3808" s="10">
        <v>77.017868145409736</v>
      </c>
    </row>
    <row r="3809" spans="11:13" x14ac:dyDescent="0.25">
      <c r="K3809" s="26" t="s">
        <v>109</v>
      </c>
      <c r="L3809" s="27" t="s">
        <v>117</v>
      </c>
      <c r="M3809" s="10">
        <v>26.071370376405412</v>
      </c>
    </row>
    <row r="3810" spans="11:13" x14ac:dyDescent="0.25">
      <c r="K3810" s="26" t="s">
        <v>109</v>
      </c>
      <c r="L3810" s="27" t="s">
        <v>118</v>
      </c>
      <c r="M3810" s="10">
        <v>154.03573629081947</v>
      </c>
    </row>
    <row r="3811" spans="11:13" x14ac:dyDescent="0.25">
      <c r="K3811" s="26" t="s">
        <v>109</v>
      </c>
      <c r="L3811" s="27" t="s">
        <v>119</v>
      </c>
      <c r="M3811" s="10">
        <v>32.904045223319756</v>
      </c>
    </row>
    <row r="3812" spans="11:13" x14ac:dyDescent="0.25">
      <c r="K3812" s="26" t="s">
        <v>109</v>
      </c>
      <c r="L3812" s="27" t="s">
        <v>115</v>
      </c>
      <c r="M3812" s="10">
        <v>68.941744226128904</v>
      </c>
    </row>
    <row r="3813" spans="11:13" x14ac:dyDescent="0.25">
      <c r="K3813" s="26" t="s">
        <v>109</v>
      </c>
      <c r="L3813" s="27" t="s">
        <v>116</v>
      </c>
      <c r="M3813" s="10">
        <v>440.91710758377428</v>
      </c>
    </row>
    <row r="3814" spans="11:13" x14ac:dyDescent="0.25">
      <c r="K3814" s="26" t="s">
        <v>109</v>
      </c>
      <c r="L3814" s="27" t="s">
        <v>117</v>
      </c>
      <c r="M3814" s="10">
        <v>9.0200617283950617</v>
      </c>
    </row>
    <row r="3815" spans="11:13" x14ac:dyDescent="0.25">
      <c r="K3815" s="26" t="s">
        <v>109</v>
      </c>
      <c r="L3815" s="27" t="s">
        <v>118</v>
      </c>
      <c r="M3815" s="10">
        <v>24.483575837742503</v>
      </c>
    </row>
    <row r="3816" spans="11:13" x14ac:dyDescent="0.25">
      <c r="K3816" s="26" t="s">
        <v>109</v>
      </c>
      <c r="L3816" s="27" t="s">
        <v>119</v>
      </c>
      <c r="M3816" s="10">
        <v>46.210720887245841</v>
      </c>
    </row>
    <row r="3817" spans="11:13" x14ac:dyDescent="0.25">
      <c r="K3817" s="26" t="s">
        <v>109</v>
      </c>
      <c r="L3817" s="27" t="s">
        <v>115</v>
      </c>
      <c r="M3817" s="10">
        <v>1588.4782378481414</v>
      </c>
    </row>
    <row r="3818" spans="11:13" x14ac:dyDescent="0.25">
      <c r="K3818" s="26" t="s">
        <v>109</v>
      </c>
      <c r="L3818" s="27" t="s">
        <v>116</v>
      </c>
      <c r="M3818" s="10">
        <v>1058.985491898761</v>
      </c>
    </row>
    <row r="3819" spans="11:13" x14ac:dyDescent="0.25">
      <c r="K3819" s="26" t="s">
        <v>109</v>
      </c>
      <c r="L3819" s="27" t="s">
        <v>117</v>
      </c>
      <c r="M3819" s="10">
        <v>201.20724346076457</v>
      </c>
    </row>
    <row r="3820" spans="11:13" x14ac:dyDescent="0.25">
      <c r="K3820" s="26" t="s">
        <v>110</v>
      </c>
      <c r="L3820" s="27" t="s">
        <v>118</v>
      </c>
      <c r="M3820" s="10">
        <v>34.470872113064452</v>
      </c>
    </row>
    <row r="3821" spans="11:13" x14ac:dyDescent="0.25">
      <c r="K3821" s="26" t="s">
        <v>110</v>
      </c>
      <c r="L3821" s="27" t="s">
        <v>119</v>
      </c>
      <c r="M3821" s="10">
        <v>50.189125078992923</v>
      </c>
    </row>
    <row r="3822" spans="11:13" x14ac:dyDescent="0.25">
      <c r="K3822" s="26" t="s">
        <v>110</v>
      </c>
      <c r="L3822" s="27" t="s">
        <v>115</v>
      </c>
      <c r="M3822" s="10">
        <v>201.3</v>
      </c>
    </row>
    <row r="3823" spans="11:13" x14ac:dyDescent="0.25">
      <c r="K3823" s="26" t="s">
        <v>110</v>
      </c>
      <c r="L3823" s="27" t="s">
        <v>116</v>
      </c>
      <c r="M3823" s="10">
        <v>100</v>
      </c>
    </row>
    <row r="3824" spans="11:13" x14ac:dyDescent="0.25">
      <c r="K3824" s="26" t="s">
        <v>110</v>
      </c>
      <c r="L3824" s="27" t="s">
        <v>117</v>
      </c>
      <c r="M3824" s="10">
        <v>22.652345406190175</v>
      </c>
    </row>
    <row r="3825" spans="11:13" x14ac:dyDescent="0.25">
      <c r="K3825" s="26" t="s">
        <v>110</v>
      </c>
      <c r="L3825" s="27" t="s">
        <v>118</v>
      </c>
      <c r="M3825" s="10">
        <v>97.938712522045861</v>
      </c>
    </row>
    <row r="3826" spans="11:13" x14ac:dyDescent="0.25">
      <c r="K3826" s="26" t="s">
        <v>110</v>
      </c>
      <c r="L3826" s="27" t="s">
        <v>119</v>
      </c>
      <c r="M3826" s="10">
        <v>9.1585994669695125</v>
      </c>
    </row>
    <row r="3827" spans="11:13" x14ac:dyDescent="0.25">
      <c r="K3827" s="26" t="s">
        <v>110</v>
      </c>
      <c r="L3827" s="27" t="s">
        <v>115</v>
      </c>
      <c r="M3827" s="10">
        <v>55.114638447971785</v>
      </c>
    </row>
    <row r="3828" spans="11:13" x14ac:dyDescent="0.25">
      <c r="K3828" s="26" t="s">
        <v>110</v>
      </c>
      <c r="L3828" s="27" t="s">
        <v>116</v>
      </c>
      <c r="M3828" s="10">
        <v>183.17198933939025</v>
      </c>
    </row>
    <row r="3829" spans="11:13" x14ac:dyDescent="0.25">
      <c r="K3829" s="26" t="s">
        <v>109</v>
      </c>
      <c r="L3829" s="27" t="s">
        <v>117</v>
      </c>
      <c r="M3829" s="10">
        <v>44.091710758377424</v>
      </c>
    </row>
    <row r="3830" spans="11:13" x14ac:dyDescent="0.25">
      <c r="K3830" s="26" t="s">
        <v>109</v>
      </c>
      <c r="L3830" s="27" t="s">
        <v>118</v>
      </c>
      <c r="M3830" s="10">
        <v>55.114638447971785</v>
      </c>
    </row>
    <row r="3831" spans="11:13" x14ac:dyDescent="0.25">
      <c r="K3831" s="26" t="s">
        <v>111</v>
      </c>
      <c r="L3831" s="27" t="s">
        <v>119</v>
      </c>
      <c r="M3831" s="10">
        <v>112.24801587301587</v>
      </c>
    </row>
    <row r="3832" spans="11:13" x14ac:dyDescent="0.25">
      <c r="K3832" s="26" t="s">
        <v>111</v>
      </c>
      <c r="L3832" s="27" t="s">
        <v>115</v>
      </c>
      <c r="M3832" s="10">
        <v>46.210720887245841</v>
      </c>
    </row>
    <row r="3833" spans="11:13" x14ac:dyDescent="0.25">
      <c r="K3833" s="26" t="s">
        <v>111</v>
      </c>
      <c r="L3833" s="27" t="s">
        <v>116</v>
      </c>
      <c r="M3833" s="10">
        <v>5.5</v>
      </c>
    </row>
    <row r="3834" spans="11:13" x14ac:dyDescent="0.25">
      <c r="K3834" s="26" t="s">
        <v>109</v>
      </c>
      <c r="L3834" s="27" t="s">
        <v>117</v>
      </c>
      <c r="M3834" s="10">
        <v>1058.985491898761</v>
      </c>
    </row>
    <row r="3835" spans="11:13" x14ac:dyDescent="0.25">
      <c r="K3835" s="26" t="s">
        <v>111</v>
      </c>
      <c r="L3835" s="27" t="s">
        <v>118</v>
      </c>
      <c r="M3835" s="10">
        <v>180.02753362278938</v>
      </c>
    </row>
    <row r="3836" spans="11:13" x14ac:dyDescent="0.25">
      <c r="K3836" s="26" t="s">
        <v>111</v>
      </c>
      <c r="L3836" s="27" t="s">
        <v>119</v>
      </c>
      <c r="M3836" s="10">
        <v>236.16750855466842</v>
      </c>
    </row>
    <row r="3837" spans="11:13" x14ac:dyDescent="0.25">
      <c r="K3837" s="26" t="s">
        <v>111</v>
      </c>
      <c r="L3837" s="27" t="s">
        <v>115</v>
      </c>
      <c r="M3837" s="10">
        <v>30.807147258163894</v>
      </c>
    </row>
    <row r="3838" spans="11:13" x14ac:dyDescent="0.25">
      <c r="K3838" s="26" t="s">
        <v>111</v>
      </c>
      <c r="L3838" s="27" t="s">
        <v>116</v>
      </c>
      <c r="M3838" s="10">
        <v>84.718839351900883</v>
      </c>
    </row>
    <row r="3839" spans="11:13" x14ac:dyDescent="0.25">
      <c r="K3839" s="26" t="s">
        <v>111</v>
      </c>
      <c r="L3839" s="27" t="s">
        <v>117</v>
      </c>
      <c r="M3839" s="10">
        <v>6.4068622259875037</v>
      </c>
    </row>
    <row r="3840" spans="11:13" x14ac:dyDescent="0.25">
      <c r="K3840" s="26" t="s">
        <v>111</v>
      </c>
      <c r="L3840" s="27" t="s">
        <v>118</v>
      </c>
      <c r="M3840" s="10">
        <v>1540.3573629081948</v>
      </c>
    </row>
    <row r="3841" spans="11:13" x14ac:dyDescent="0.25">
      <c r="K3841" s="26" t="s">
        <v>111</v>
      </c>
      <c r="L3841" s="27" t="s">
        <v>119</v>
      </c>
      <c r="M3841" s="10">
        <v>161.73752310536045</v>
      </c>
    </row>
    <row r="3842" spans="11:13" x14ac:dyDescent="0.25">
      <c r="K3842" s="26" t="s">
        <v>111</v>
      </c>
      <c r="L3842" s="27" t="s">
        <v>115</v>
      </c>
      <c r="M3842" s="10">
        <v>246.45717806531115</v>
      </c>
    </row>
    <row r="3843" spans="11:13" x14ac:dyDescent="0.25">
      <c r="K3843" s="26" t="s">
        <v>114</v>
      </c>
      <c r="L3843" s="27" t="s">
        <v>116</v>
      </c>
      <c r="M3843" s="10">
        <v>286.31646328852116</v>
      </c>
    </row>
    <row r="3844" spans="11:13" x14ac:dyDescent="0.25">
      <c r="K3844" s="26" t="s">
        <v>109</v>
      </c>
      <c r="L3844" s="27" t="s">
        <v>117</v>
      </c>
      <c r="M3844" s="10">
        <v>17.235436056532226</v>
      </c>
    </row>
    <row r="3845" spans="11:13" x14ac:dyDescent="0.25">
      <c r="K3845" s="26" t="s">
        <v>109</v>
      </c>
      <c r="L3845" s="27" t="s">
        <v>118</v>
      </c>
      <c r="M3845" s="10">
        <v>103.41261633919338</v>
      </c>
    </row>
    <row r="3846" spans="11:13" x14ac:dyDescent="0.25">
      <c r="K3846" s="26" t="s">
        <v>109</v>
      </c>
      <c r="L3846" s="27" t="s">
        <v>119</v>
      </c>
      <c r="M3846" s="10">
        <v>62.047569803516026</v>
      </c>
    </row>
    <row r="3847" spans="11:13" x14ac:dyDescent="0.25">
      <c r="K3847" s="26" t="s">
        <v>109</v>
      </c>
      <c r="L3847" s="27" t="s">
        <v>115</v>
      </c>
      <c r="M3847" s="10">
        <v>6.1614294516327792</v>
      </c>
    </row>
    <row r="3848" spans="11:13" x14ac:dyDescent="0.25">
      <c r="K3848" s="26" t="s">
        <v>109</v>
      </c>
      <c r="L3848" s="27" t="s">
        <v>116</v>
      </c>
      <c r="M3848" s="10">
        <v>6.4240103812007767</v>
      </c>
    </row>
    <row r="3849" spans="11:13" x14ac:dyDescent="0.25">
      <c r="K3849" s="26" t="s">
        <v>109</v>
      </c>
      <c r="L3849" s="27" t="s">
        <v>117</v>
      </c>
      <c r="M3849" s="10">
        <v>32.05509813439329</v>
      </c>
    </row>
    <row r="3850" spans="11:13" x14ac:dyDescent="0.25">
      <c r="K3850" s="26" t="s">
        <v>109</v>
      </c>
      <c r="L3850" s="27" t="s">
        <v>118</v>
      </c>
      <c r="M3850" s="10">
        <v>52.949274594938046</v>
      </c>
    </row>
    <row r="3851" spans="11:13" x14ac:dyDescent="0.25">
      <c r="K3851" s="26" t="s">
        <v>109</v>
      </c>
      <c r="L3851" s="27" t="s">
        <v>119</v>
      </c>
      <c r="M3851" s="10">
        <v>701.5019336271248</v>
      </c>
    </row>
    <row r="3852" spans="11:13" x14ac:dyDescent="0.25">
      <c r="K3852" s="26" t="s">
        <v>109</v>
      </c>
      <c r="L3852" s="27" t="s">
        <v>115</v>
      </c>
      <c r="M3852" s="10">
        <v>385.44062287204662</v>
      </c>
    </row>
    <row r="3853" spans="11:13" x14ac:dyDescent="0.25">
      <c r="K3853" s="26" t="s">
        <v>110</v>
      </c>
      <c r="L3853" s="27" t="s">
        <v>116</v>
      </c>
      <c r="M3853" s="10">
        <v>77.017868145409736</v>
      </c>
    </row>
    <row r="3854" spans="11:13" x14ac:dyDescent="0.25">
      <c r="K3854" s="26" t="s">
        <v>113</v>
      </c>
      <c r="L3854" s="27" t="s">
        <v>117</v>
      </c>
      <c r="M3854" s="10">
        <v>32.675999999999995</v>
      </c>
    </row>
    <row r="3855" spans="11:13" x14ac:dyDescent="0.25">
      <c r="K3855" s="26" t="s">
        <v>110</v>
      </c>
      <c r="L3855" s="27" t="s">
        <v>118</v>
      </c>
      <c r="M3855" s="10">
        <v>92.505749489291176</v>
      </c>
    </row>
    <row r="3856" spans="11:13" x14ac:dyDescent="0.25">
      <c r="K3856" s="26" t="s">
        <v>110</v>
      </c>
      <c r="L3856" s="27" t="s">
        <v>119</v>
      </c>
      <c r="M3856" s="10">
        <v>2.204585537918871</v>
      </c>
    </row>
    <row r="3857" spans="11:13" x14ac:dyDescent="0.25">
      <c r="K3857" s="26" t="s">
        <v>110</v>
      </c>
      <c r="L3857" s="27" t="s">
        <v>115</v>
      </c>
      <c r="M3857" s="10">
        <v>12.848020762401553</v>
      </c>
    </row>
    <row r="3858" spans="11:13" x14ac:dyDescent="0.25">
      <c r="K3858" s="26" t="s">
        <v>112</v>
      </c>
      <c r="L3858" s="27" t="s">
        <v>116</v>
      </c>
      <c r="M3858" s="10">
        <v>440.91710758377428</v>
      </c>
    </row>
    <row r="3859" spans="11:13" x14ac:dyDescent="0.25">
      <c r="K3859" s="26" t="s">
        <v>110</v>
      </c>
      <c r="L3859" s="27" t="s">
        <v>117</v>
      </c>
      <c r="M3859" s="10">
        <v>55.114638447971785</v>
      </c>
    </row>
    <row r="3860" spans="11:13" x14ac:dyDescent="0.25">
      <c r="K3860" s="26" t="s">
        <v>110</v>
      </c>
      <c r="L3860" s="27" t="s">
        <v>118</v>
      </c>
      <c r="M3860" s="10">
        <v>154.03573629081947</v>
      </c>
    </row>
    <row r="3861" spans="11:13" x14ac:dyDescent="0.25">
      <c r="K3861" s="26" t="s">
        <v>110</v>
      </c>
      <c r="L3861" s="27" t="s">
        <v>119</v>
      </c>
      <c r="M3861" s="10">
        <v>18.097224872825862</v>
      </c>
    </row>
    <row r="3862" spans="11:13" x14ac:dyDescent="0.25">
      <c r="K3862" s="26" t="s">
        <v>110</v>
      </c>
      <c r="L3862" s="27" t="s">
        <v>115</v>
      </c>
      <c r="M3862" s="10">
        <v>25.696041524803107</v>
      </c>
    </row>
    <row r="3863" spans="11:13" x14ac:dyDescent="0.25">
      <c r="K3863" s="26" t="s">
        <v>111</v>
      </c>
      <c r="L3863" s="27" t="s">
        <v>116</v>
      </c>
      <c r="M3863" s="10">
        <v>45.5</v>
      </c>
    </row>
    <row r="3864" spans="11:13" x14ac:dyDescent="0.25">
      <c r="K3864" s="26" t="s">
        <v>111</v>
      </c>
      <c r="L3864" s="27" t="s">
        <v>117</v>
      </c>
      <c r="M3864" s="10">
        <v>68.941744226128904</v>
      </c>
    </row>
    <row r="3865" spans="11:13" x14ac:dyDescent="0.25">
      <c r="K3865" s="26" t="s">
        <v>111</v>
      </c>
      <c r="L3865" s="27" t="s">
        <v>118</v>
      </c>
      <c r="M3865" s="10">
        <v>22.652345406190175</v>
      </c>
    </row>
    <row r="3866" spans="11:13" x14ac:dyDescent="0.25">
      <c r="K3866" s="26" t="s">
        <v>110</v>
      </c>
      <c r="L3866" s="27" t="s">
        <v>119</v>
      </c>
      <c r="M3866" s="10">
        <v>96.292729898892631</v>
      </c>
    </row>
    <row r="3867" spans="11:13" x14ac:dyDescent="0.25">
      <c r="K3867" s="26" t="s">
        <v>109</v>
      </c>
      <c r="L3867" s="27" t="s">
        <v>115</v>
      </c>
      <c r="M3867" s="10">
        <v>110.22927689594357</v>
      </c>
    </row>
    <row r="3868" spans="11:13" x14ac:dyDescent="0.25">
      <c r="K3868" s="26" t="s">
        <v>110</v>
      </c>
      <c r="L3868" s="27" t="s">
        <v>116</v>
      </c>
      <c r="M3868" s="10">
        <v>66.137566137566139</v>
      </c>
    </row>
    <row r="3869" spans="11:13" x14ac:dyDescent="0.25">
      <c r="K3869" s="26" t="s">
        <v>110</v>
      </c>
      <c r="L3869" s="27" t="s">
        <v>117</v>
      </c>
      <c r="M3869" s="10">
        <v>100</v>
      </c>
    </row>
    <row r="3870" spans="11:13" x14ac:dyDescent="0.25">
      <c r="K3870" s="26" t="s">
        <v>111</v>
      </c>
      <c r="L3870" s="27" t="s">
        <v>118</v>
      </c>
      <c r="M3870" s="10">
        <v>200</v>
      </c>
    </row>
    <row r="3871" spans="11:13" x14ac:dyDescent="0.25">
      <c r="K3871" s="26" t="s">
        <v>111</v>
      </c>
      <c r="L3871" s="27" t="s">
        <v>119</v>
      </c>
      <c r="M3871" s="10">
        <v>77.017868145409736</v>
      </c>
    </row>
    <row r="3872" spans="11:13" x14ac:dyDescent="0.25">
      <c r="K3872" s="26" t="s">
        <v>111</v>
      </c>
      <c r="L3872" s="27" t="s">
        <v>115</v>
      </c>
      <c r="M3872" s="10">
        <v>48.883819455760147</v>
      </c>
    </row>
    <row r="3873" spans="11:13" x14ac:dyDescent="0.25">
      <c r="K3873" s="26" t="s">
        <v>110</v>
      </c>
      <c r="L3873" s="27" t="s">
        <v>116</v>
      </c>
      <c r="M3873" s="10">
        <v>71.696268535114882</v>
      </c>
    </row>
    <row r="3874" spans="11:13" x14ac:dyDescent="0.25">
      <c r="K3874" s="26" t="s">
        <v>110</v>
      </c>
      <c r="L3874" s="27" t="s">
        <v>117</v>
      </c>
      <c r="M3874" s="10">
        <v>100</v>
      </c>
    </row>
    <row r="3875" spans="11:13" x14ac:dyDescent="0.25">
      <c r="K3875" s="26" t="s">
        <v>109</v>
      </c>
      <c r="L3875" s="27" t="s">
        <v>118</v>
      </c>
      <c r="M3875" s="10">
        <v>8.993614533681086</v>
      </c>
    </row>
    <row r="3876" spans="11:13" x14ac:dyDescent="0.25">
      <c r="K3876" s="26" t="s">
        <v>110</v>
      </c>
      <c r="L3876" s="27" t="s">
        <v>119</v>
      </c>
      <c r="M3876" s="10">
        <v>84.719654959950716</v>
      </c>
    </row>
    <row r="3877" spans="11:13" x14ac:dyDescent="0.25">
      <c r="K3877" s="26" t="s">
        <v>109</v>
      </c>
      <c r="L3877" s="27" t="s">
        <v>115</v>
      </c>
      <c r="M3877" s="10">
        <v>12.848020762401553</v>
      </c>
    </row>
    <row r="3878" spans="11:13" x14ac:dyDescent="0.25">
      <c r="K3878" s="26" t="s">
        <v>109</v>
      </c>
      <c r="L3878" s="27" t="s">
        <v>116</v>
      </c>
      <c r="M3878" s="10">
        <v>422.05791743684534</v>
      </c>
    </row>
    <row r="3879" spans="11:13" x14ac:dyDescent="0.25">
      <c r="K3879" s="26" t="s">
        <v>110</v>
      </c>
      <c r="L3879" s="27" t="s">
        <v>117</v>
      </c>
      <c r="M3879" s="10">
        <v>52.372150338878619</v>
      </c>
    </row>
    <row r="3880" spans="11:13" x14ac:dyDescent="0.25">
      <c r="K3880" s="26" t="s">
        <v>110</v>
      </c>
      <c r="L3880" s="27" t="s">
        <v>118</v>
      </c>
      <c r="M3880" s="10">
        <v>8.617718028266113</v>
      </c>
    </row>
    <row r="3881" spans="11:13" x14ac:dyDescent="0.25">
      <c r="K3881" s="26" t="s">
        <v>109</v>
      </c>
      <c r="L3881" s="27" t="s">
        <v>119</v>
      </c>
      <c r="M3881" s="10">
        <v>123.22858903265558</v>
      </c>
    </row>
    <row r="3882" spans="11:13" x14ac:dyDescent="0.25">
      <c r="K3882" s="26" t="s">
        <v>114</v>
      </c>
      <c r="L3882" s="27" t="s">
        <v>115</v>
      </c>
      <c r="M3882" s="10">
        <v>5.0825837742504412</v>
      </c>
    </row>
    <row r="3883" spans="11:13" x14ac:dyDescent="0.25">
      <c r="K3883" s="26" t="s">
        <v>110</v>
      </c>
      <c r="L3883" s="27" t="s">
        <v>116</v>
      </c>
      <c r="M3883" s="10">
        <v>107.82501540357363</v>
      </c>
    </row>
    <row r="3884" spans="11:13" x14ac:dyDescent="0.25">
      <c r="K3884" s="26" t="s">
        <v>110</v>
      </c>
      <c r="L3884" s="27" t="s">
        <v>117</v>
      </c>
      <c r="M3884" s="10">
        <v>24.645717806531117</v>
      </c>
    </row>
    <row r="3885" spans="11:13" x14ac:dyDescent="0.25">
      <c r="K3885" s="26" t="s">
        <v>109</v>
      </c>
      <c r="L3885" s="27" t="s">
        <v>118</v>
      </c>
      <c r="M3885" s="10">
        <v>46.210720887245841</v>
      </c>
    </row>
    <row r="3886" spans="11:13" x14ac:dyDescent="0.25">
      <c r="K3886" s="26" t="s">
        <v>109</v>
      </c>
      <c r="L3886" s="27" t="s">
        <v>119</v>
      </c>
      <c r="M3886" s="10">
        <v>6.8941744226128918</v>
      </c>
    </row>
    <row r="3887" spans="11:13" x14ac:dyDescent="0.25">
      <c r="K3887" s="26" t="s">
        <v>110</v>
      </c>
      <c r="L3887" s="27" t="s">
        <v>115</v>
      </c>
      <c r="M3887" s="10">
        <v>27.3</v>
      </c>
    </row>
    <row r="3888" spans="11:13" x14ac:dyDescent="0.25">
      <c r="K3888" s="26" t="s">
        <v>110</v>
      </c>
      <c r="L3888" s="27" t="s">
        <v>116</v>
      </c>
      <c r="M3888" s="10">
        <v>51.392083049606214</v>
      </c>
    </row>
    <row r="3889" spans="11:13" x14ac:dyDescent="0.25">
      <c r="K3889" s="26" t="s">
        <v>110</v>
      </c>
      <c r="L3889" s="27" t="s">
        <v>117</v>
      </c>
      <c r="M3889" s="10">
        <v>32.12005190600388</v>
      </c>
    </row>
    <row r="3890" spans="11:13" x14ac:dyDescent="0.25">
      <c r="K3890" s="26" t="s">
        <v>110</v>
      </c>
      <c r="L3890" s="27" t="s">
        <v>118</v>
      </c>
      <c r="M3890" s="10">
        <v>42.359827479975358</v>
      </c>
    </row>
    <row r="3891" spans="11:13" x14ac:dyDescent="0.25">
      <c r="K3891" s="26" t="s">
        <v>110</v>
      </c>
      <c r="L3891" s="27" t="s">
        <v>119</v>
      </c>
      <c r="M3891" s="10">
        <v>197.4242713399185</v>
      </c>
    </row>
    <row r="3892" spans="11:13" x14ac:dyDescent="0.25">
      <c r="K3892" s="26" t="s">
        <v>110</v>
      </c>
      <c r="L3892" s="27" t="s">
        <v>115</v>
      </c>
      <c r="M3892" s="10">
        <v>2.204585537918871</v>
      </c>
    </row>
    <row r="3893" spans="11:13" x14ac:dyDescent="0.25">
      <c r="K3893" s="26" t="s">
        <v>110</v>
      </c>
      <c r="L3893" s="27" t="s">
        <v>116</v>
      </c>
      <c r="M3893" s="10">
        <v>86.177180282661155</v>
      </c>
    </row>
    <row r="3894" spans="11:13" x14ac:dyDescent="0.25">
      <c r="K3894" s="26" t="s">
        <v>110</v>
      </c>
      <c r="L3894" s="27" t="s">
        <v>117</v>
      </c>
      <c r="M3894" s="10">
        <v>92.421441774491683</v>
      </c>
    </row>
    <row r="3895" spans="11:13" x14ac:dyDescent="0.25">
      <c r="K3895" s="26" t="s">
        <v>110</v>
      </c>
      <c r="L3895" s="27" t="s">
        <v>118</v>
      </c>
      <c r="M3895" s="10">
        <v>33.06878306878307</v>
      </c>
    </row>
    <row r="3896" spans="11:13" x14ac:dyDescent="0.25">
      <c r="K3896" s="26" t="s">
        <v>110</v>
      </c>
      <c r="L3896" s="27" t="s">
        <v>119</v>
      </c>
      <c r="M3896" s="10">
        <v>24.260628465804068</v>
      </c>
    </row>
    <row r="3897" spans="11:13" x14ac:dyDescent="0.25">
      <c r="K3897" s="26" t="s">
        <v>110</v>
      </c>
      <c r="L3897" s="27" t="s">
        <v>115</v>
      </c>
      <c r="M3897" s="10">
        <v>84.718839351900883</v>
      </c>
    </row>
    <row r="3898" spans="11:13" x14ac:dyDescent="0.25">
      <c r="K3898" s="26" t="s">
        <v>110</v>
      </c>
      <c r="L3898" s="27" t="s">
        <v>116</v>
      </c>
      <c r="M3898" s="10">
        <v>110.22927689594357</v>
      </c>
    </row>
    <row r="3899" spans="11:13" x14ac:dyDescent="0.25">
      <c r="K3899" s="26" t="s">
        <v>111</v>
      </c>
      <c r="L3899" s="27" t="s">
        <v>117</v>
      </c>
      <c r="M3899" s="10">
        <v>66.137566137566139</v>
      </c>
    </row>
    <row r="3900" spans="11:13" x14ac:dyDescent="0.25">
      <c r="K3900" s="26" t="s">
        <v>111</v>
      </c>
      <c r="L3900" s="27" t="s">
        <v>118</v>
      </c>
      <c r="M3900" s="10">
        <v>21.179709837975221</v>
      </c>
    </row>
    <row r="3901" spans="11:13" x14ac:dyDescent="0.25">
      <c r="K3901" s="26" t="s">
        <v>110</v>
      </c>
      <c r="L3901" s="27" t="s">
        <v>119</v>
      </c>
      <c r="M3901" s="10">
        <v>16.048788316482106</v>
      </c>
    </row>
    <row r="3902" spans="11:13" x14ac:dyDescent="0.25">
      <c r="K3902" s="26" t="s">
        <v>110</v>
      </c>
      <c r="L3902" s="27" t="s">
        <v>115</v>
      </c>
      <c r="M3902" s="10">
        <v>48.618426383599385</v>
      </c>
    </row>
    <row r="3903" spans="11:13" x14ac:dyDescent="0.25">
      <c r="K3903" s="26" t="s">
        <v>113</v>
      </c>
      <c r="L3903" s="27" t="s">
        <v>116</v>
      </c>
      <c r="M3903" s="10">
        <v>176.3668430335097</v>
      </c>
    </row>
    <row r="3904" spans="11:13" x14ac:dyDescent="0.25">
      <c r="K3904" s="26" t="s">
        <v>113</v>
      </c>
      <c r="L3904" s="27" t="s">
        <v>117</v>
      </c>
      <c r="M3904" s="10">
        <v>154.03573629081947</v>
      </c>
    </row>
    <row r="3905" spans="11:13" x14ac:dyDescent="0.25">
      <c r="K3905" s="26" t="s">
        <v>111</v>
      </c>
      <c r="L3905" s="27" t="s">
        <v>118</v>
      </c>
      <c r="M3905" s="10">
        <v>88.183421516754848</v>
      </c>
    </row>
    <row r="3906" spans="11:13" x14ac:dyDescent="0.25">
      <c r="K3906" s="26" t="s">
        <v>110</v>
      </c>
      <c r="L3906" s="27" t="s">
        <v>119</v>
      </c>
      <c r="M3906" s="10">
        <v>66.137566137566139</v>
      </c>
    </row>
    <row r="3907" spans="11:13" x14ac:dyDescent="0.25">
      <c r="K3907" s="26" t="s">
        <v>110</v>
      </c>
      <c r="L3907" s="27" t="s">
        <v>115</v>
      </c>
      <c r="M3907" s="10">
        <v>32.097576632964213</v>
      </c>
    </row>
    <row r="3908" spans="11:13" x14ac:dyDescent="0.25">
      <c r="K3908" s="26" t="s">
        <v>109</v>
      </c>
      <c r="L3908" s="27" t="s">
        <v>116</v>
      </c>
      <c r="M3908" s="10">
        <v>661.37566137566137</v>
      </c>
    </row>
    <row r="3909" spans="11:13" x14ac:dyDescent="0.25">
      <c r="K3909" s="26" t="s">
        <v>109</v>
      </c>
      <c r="L3909" s="27" t="s">
        <v>117</v>
      </c>
      <c r="M3909" s="10">
        <v>48.500881834215171</v>
      </c>
    </row>
    <row r="3910" spans="11:13" x14ac:dyDescent="0.25">
      <c r="K3910" s="26" t="s">
        <v>110</v>
      </c>
      <c r="L3910" s="27" t="s">
        <v>118</v>
      </c>
      <c r="M3910" s="10">
        <v>53.912507701786815</v>
      </c>
    </row>
    <row r="3911" spans="11:13" x14ac:dyDescent="0.25">
      <c r="K3911" s="26" t="s">
        <v>110</v>
      </c>
      <c r="L3911" s="27" t="s">
        <v>119</v>
      </c>
      <c r="M3911" s="10">
        <v>102.78416609921243</v>
      </c>
    </row>
    <row r="3912" spans="11:13" x14ac:dyDescent="0.25">
      <c r="K3912" s="26" t="s">
        <v>109</v>
      </c>
      <c r="L3912" s="27" t="s">
        <v>115</v>
      </c>
      <c r="M3912" s="10">
        <v>41.11366643968497</v>
      </c>
    </row>
    <row r="3913" spans="11:13" x14ac:dyDescent="0.25">
      <c r="K3913" s="26" t="s">
        <v>109</v>
      </c>
      <c r="L3913" s="27" t="s">
        <v>116</v>
      </c>
      <c r="M3913" s="10">
        <v>55.114638447971785</v>
      </c>
    </row>
    <row r="3914" spans="11:13" x14ac:dyDescent="0.25">
      <c r="K3914" s="26" t="s">
        <v>110</v>
      </c>
      <c r="L3914" s="27" t="s">
        <v>117</v>
      </c>
      <c r="M3914" s="10">
        <v>50</v>
      </c>
    </row>
    <row r="3915" spans="11:13" x14ac:dyDescent="0.25">
      <c r="K3915" s="26" t="s">
        <v>110</v>
      </c>
      <c r="L3915" s="27" t="s">
        <v>118</v>
      </c>
      <c r="M3915" s="10">
        <v>51.392083049606214</v>
      </c>
    </row>
    <row r="3916" spans="11:13" x14ac:dyDescent="0.25">
      <c r="K3916" s="26" t="s">
        <v>113</v>
      </c>
      <c r="L3916" s="27" t="s">
        <v>119</v>
      </c>
      <c r="M3916" s="10">
        <v>105.89854918987609</v>
      </c>
    </row>
    <row r="3917" spans="11:13" x14ac:dyDescent="0.25">
      <c r="K3917" s="26" t="s">
        <v>113</v>
      </c>
      <c r="L3917" s="27" t="s">
        <v>115</v>
      </c>
      <c r="M3917" s="10">
        <v>132.37318648734512</v>
      </c>
    </row>
    <row r="3918" spans="11:13" x14ac:dyDescent="0.25">
      <c r="K3918" s="26" t="s">
        <v>110</v>
      </c>
      <c r="L3918" s="27" t="s">
        <v>116</v>
      </c>
      <c r="M3918" s="10">
        <v>40.515355319666149</v>
      </c>
    </row>
    <row r="3919" spans="11:13" x14ac:dyDescent="0.25">
      <c r="K3919" s="26" t="s">
        <v>110</v>
      </c>
      <c r="L3919" s="27" t="s">
        <v>117</v>
      </c>
      <c r="M3919" s="10">
        <v>34.470872113064452</v>
      </c>
    </row>
    <row r="3920" spans="11:13" x14ac:dyDescent="0.25">
      <c r="K3920" s="26" t="s">
        <v>113</v>
      </c>
      <c r="L3920" s="27" t="s">
        <v>118</v>
      </c>
      <c r="M3920" s="10">
        <v>256.96041524803104</v>
      </c>
    </row>
    <row r="3921" spans="11:13" x14ac:dyDescent="0.25">
      <c r="K3921" s="26" t="s">
        <v>110</v>
      </c>
      <c r="L3921" s="27" t="s">
        <v>119</v>
      </c>
      <c r="M3921" s="10">
        <v>37.269662792300274</v>
      </c>
    </row>
    <row r="3922" spans="11:13" x14ac:dyDescent="0.25">
      <c r="K3922" s="26" t="s">
        <v>110</v>
      </c>
      <c r="L3922" s="27" t="s">
        <v>115</v>
      </c>
      <c r="M3922" s="10">
        <v>3.77</v>
      </c>
    </row>
    <row r="3923" spans="11:13" x14ac:dyDescent="0.25">
      <c r="K3923" s="26" t="s">
        <v>109</v>
      </c>
      <c r="L3923" s="27" t="s">
        <v>116</v>
      </c>
      <c r="M3923" s="10">
        <v>38.508934072704868</v>
      </c>
    </row>
    <row r="3924" spans="11:13" x14ac:dyDescent="0.25">
      <c r="K3924" s="26" t="s">
        <v>109</v>
      </c>
      <c r="L3924" s="27" t="s">
        <v>117</v>
      </c>
      <c r="M3924" s="10">
        <v>120.3659123736158</v>
      </c>
    </row>
    <row r="3925" spans="11:13" x14ac:dyDescent="0.25">
      <c r="K3925" s="26" t="s">
        <v>110</v>
      </c>
      <c r="L3925" s="27" t="s">
        <v>118</v>
      </c>
      <c r="M3925" s="10">
        <v>798.96659605670538</v>
      </c>
    </row>
    <row r="3926" spans="11:13" x14ac:dyDescent="0.25">
      <c r="K3926" s="26" t="s">
        <v>110</v>
      </c>
      <c r="L3926" s="27" t="s">
        <v>119</v>
      </c>
      <c r="M3926" s="10">
        <v>195.868430335097</v>
      </c>
    </row>
    <row r="3927" spans="11:13" x14ac:dyDescent="0.25">
      <c r="K3927" s="26" t="s">
        <v>110</v>
      </c>
      <c r="L3927" s="27" t="s">
        <v>115</v>
      </c>
      <c r="M3927" s="10">
        <v>211.79709837975219</v>
      </c>
    </row>
    <row r="3928" spans="11:13" x14ac:dyDescent="0.25">
      <c r="K3928" s="26" t="s">
        <v>110</v>
      </c>
      <c r="L3928" s="27" t="s">
        <v>116</v>
      </c>
      <c r="M3928" s="10">
        <v>30.807147258163894</v>
      </c>
    </row>
    <row r="3929" spans="11:13" x14ac:dyDescent="0.25">
      <c r="K3929" s="26" t="s">
        <v>109</v>
      </c>
      <c r="L3929" s="27" t="s">
        <v>117</v>
      </c>
      <c r="M3929" s="10">
        <v>51.195594620353702</v>
      </c>
    </row>
    <row r="3930" spans="11:13" x14ac:dyDescent="0.25">
      <c r="K3930" s="26" t="s">
        <v>109</v>
      </c>
      <c r="L3930" s="27" t="s">
        <v>118</v>
      </c>
      <c r="M3930" s="10">
        <v>600</v>
      </c>
    </row>
    <row r="3931" spans="11:13" x14ac:dyDescent="0.25">
      <c r="K3931" s="26" t="s">
        <v>109</v>
      </c>
      <c r="L3931" s="27" t="s">
        <v>119</v>
      </c>
      <c r="M3931" s="10">
        <v>66.137566137566139</v>
      </c>
    </row>
    <row r="3932" spans="11:13" x14ac:dyDescent="0.25">
      <c r="K3932" s="26" t="s">
        <v>113</v>
      </c>
      <c r="L3932" s="27" t="s">
        <v>115</v>
      </c>
      <c r="M3932" s="10">
        <v>299.7</v>
      </c>
    </row>
    <row r="3933" spans="11:13" x14ac:dyDescent="0.25">
      <c r="K3933" s="26" t="s">
        <v>109</v>
      </c>
      <c r="L3933" s="27" t="s">
        <v>116</v>
      </c>
      <c r="M3933" s="10">
        <v>24.645717806531117</v>
      </c>
    </row>
    <row r="3934" spans="11:13" x14ac:dyDescent="0.25">
      <c r="K3934" s="26" t="s">
        <v>109</v>
      </c>
      <c r="L3934" s="27" t="s">
        <v>117</v>
      </c>
      <c r="M3934" s="10">
        <v>107.82501540357363</v>
      </c>
    </row>
    <row r="3935" spans="11:13" x14ac:dyDescent="0.25">
      <c r="K3935" s="26" t="s">
        <v>110</v>
      </c>
      <c r="L3935" s="27" t="s">
        <v>118</v>
      </c>
      <c r="M3935" s="10">
        <v>211.79709837975219</v>
      </c>
    </row>
    <row r="3936" spans="11:13" x14ac:dyDescent="0.25">
      <c r="K3936" s="26" t="s">
        <v>110</v>
      </c>
      <c r="L3936" s="27" t="s">
        <v>119</v>
      </c>
      <c r="M3936" s="10">
        <v>154.03573629081947</v>
      </c>
    </row>
    <row r="3937" spans="11:13" x14ac:dyDescent="0.25">
      <c r="K3937" s="26" t="s">
        <v>110</v>
      </c>
      <c r="L3937" s="27" t="s">
        <v>115</v>
      </c>
      <c r="M3937" s="10">
        <v>66.137566137566139</v>
      </c>
    </row>
    <row r="3938" spans="11:13" x14ac:dyDescent="0.25">
      <c r="K3938" s="26" t="s">
        <v>109</v>
      </c>
      <c r="L3938" s="27" t="s">
        <v>116</v>
      </c>
      <c r="M3938" s="10">
        <v>44.091710758377424</v>
      </c>
    </row>
    <row r="3939" spans="11:13" x14ac:dyDescent="0.25">
      <c r="K3939" s="26" t="s">
        <v>109</v>
      </c>
      <c r="L3939" s="27" t="s">
        <v>117</v>
      </c>
      <c r="M3939" s="10">
        <v>44.091710758377424</v>
      </c>
    </row>
    <row r="3940" spans="11:13" x14ac:dyDescent="0.25">
      <c r="K3940" s="26" t="s">
        <v>109</v>
      </c>
      <c r="L3940" s="27" t="s">
        <v>118</v>
      </c>
      <c r="M3940" s="10">
        <v>55.114638447971785</v>
      </c>
    </row>
    <row r="3941" spans="11:13" x14ac:dyDescent="0.25">
      <c r="K3941" s="26" t="s">
        <v>110</v>
      </c>
      <c r="L3941" s="27" t="s">
        <v>119</v>
      </c>
      <c r="M3941" s="10">
        <v>44.091710758377424</v>
      </c>
    </row>
    <row r="3942" spans="11:13" x14ac:dyDescent="0.25">
      <c r="K3942" s="26" t="s">
        <v>111</v>
      </c>
      <c r="L3942" s="27" t="s">
        <v>115</v>
      </c>
      <c r="M3942" s="10">
        <v>62.047569803516026</v>
      </c>
    </row>
    <row r="3943" spans="11:13" x14ac:dyDescent="0.25">
      <c r="K3943" s="26" t="s">
        <v>111</v>
      </c>
      <c r="L3943" s="27" t="s">
        <v>116</v>
      </c>
      <c r="M3943" s="10">
        <v>220.45855379188714</v>
      </c>
    </row>
    <row r="3944" spans="11:13" x14ac:dyDescent="0.25">
      <c r="K3944" s="26" t="s">
        <v>112</v>
      </c>
      <c r="L3944" s="27" t="s">
        <v>117</v>
      </c>
      <c r="M3944" s="10">
        <v>881.83421516754856</v>
      </c>
    </row>
    <row r="3945" spans="11:13" x14ac:dyDescent="0.25">
      <c r="K3945" s="26" t="s">
        <v>112</v>
      </c>
      <c r="L3945" s="27" t="s">
        <v>118</v>
      </c>
      <c r="M3945" s="10">
        <v>23.105360443622921</v>
      </c>
    </row>
    <row r="3946" spans="11:13" x14ac:dyDescent="0.25">
      <c r="K3946" s="26" t="s">
        <v>112</v>
      </c>
      <c r="L3946" s="27" t="s">
        <v>119</v>
      </c>
      <c r="M3946" s="10">
        <v>23.105360443622921</v>
      </c>
    </row>
    <row r="3947" spans="11:13" x14ac:dyDescent="0.25">
      <c r="K3947" s="26" t="s">
        <v>112</v>
      </c>
      <c r="L3947" s="27" t="s">
        <v>115</v>
      </c>
      <c r="M3947" s="10">
        <v>2.4162257495590831</v>
      </c>
    </row>
    <row r="3948" spans="11:13" x14ac:dyDescent="0.25">
      <c r="K3948" s="26" t="s">
        <v>112</v>
      </c>
      <c r="L3948" s="27" t="s">
        <v>116</v>
      </c>
      <c r="M3948" s="10">
        <v>220.45855379188714</v>
      </c>
    </row>
    <row r="3949" spans="11:13" x14ac:dyDescent="0.25">
      <c r="K3949" s="26" t="s">
        <v>112</v>
      </c>
      <c r="L3949" s="27" t="s">
        <v>117</v>
      </c>
      <c r="M3949" s="10">
        <v>66.137566137566139</v>
      </c>
    </row>
    <row r="3950" spans="11:13" x14ac:dyDescent="0.25">
      <c r="K3950" s="26" t="s">
        <v>112</v>
      </c>
      <c r="L3950" s="27" t="s">
        <v>118</v>
      </c>
      <c r="M3950" s="10">
        <v>91.585994669695125</v>
      </c>
    </row>
    <row r="3951" spans="11:13" x14ac:dyDescent="0.25">
      <c r="K3951" s="26" t="s">
        <v>112</v>
      </c>
      <c r="L3951" s="27" t="s">
        <v>119</v>
      </c>
      <c r="M3951" s="10">
        <v>100</v>
      </c>
    </row>
    <row r="3952" spans="11:13" x14ac:dyDescent="0.25">
      <c r="K3952" s="26" t="s">
        <v>112</v>
      </c>
      <c r="L3952" s="27" t="s">
        <v>115</v>
      </c>
      <c r="M3952" s="10">
        <v>27.475798400908538</v>
      </c>
    </row>
    <row r="3953" spans="11:13" x14ac:dyDescent="0.25">
      <c r="K3953" s="26" t="s">
        <v>112</v>
      </c>
      <c r="L3953" s="27" t="s">
        <v>116</v>
      </c>
      <c r="M3953" s="10">
        <v>154.03573629081947</v>
      </c>
    </row>
    <row r="3954" spans="11:13" x14ac:dyDescent="0.25">
      <c r="K3954" s="26" t="s">
        <v>112</v>
      </c>
      <c r="L3954" s="27" t="s">
        <v>117</v>
      </c>
      <c r="M3954" s="10">
        <v>154.03573629081947</v>
      </c>
    </row>
    <row r="3955" spans="11:13" x14ac:dyDescent="0.25">
      <c r="K3955" s="26" t="s">
        <v>109</v>
      </c>
      <c r="L3955" s="27" t="s">
        <v>118</v>
      </c>
      <c r="M3955" s="10">
        <v>27.475798400908538</v>
      </c>
    </row>
    <row r="3956" spans="11:13" x14ac:dyDescent="0.25">
      <c r="K3956" s="26" t="s">
        <v>109</v>
      </c>
      <c r="L3956" s="27" t="s">
        <v>119</v>
      </c>
      <c r="M3956" s="10">
        <v>110.22927689594357</v>
      </c>
    </row>
    <row r="3957" spans="11:13" x14ac:dyDescent="0.25">
      <c r="K3957" s="26" t="s">
        <v>110</v>
      </c>
      <c r="L3957" s="27" t="s">
        <v>115</v>
      </c>
      <c r="M3957" s="10">
        <v>46.210720887245841</v>
      </c>
    </row>
    <row r="3958" spans="11:13" x14ac:dyDescent="0.25">
      <c r="K3958" s="26" t="s">
        <v>110</v>
      </c>
      <c r="L3958" s="27" t="s">
        <v>116</v>
      </c>
      <c r="M3958" s="10">
        <v>44.091710758377424</v>
      </c>
    </row>
    <row r="3959" spans="11:13" x14ac:dyDescent="0.25">
      <c r="K3959" s="26" t="s">
        <v>110</v>
      </c>
      <c r="L3959" s="27" t="s">
        <v>117</v>
      </c>
      <c r="M3959" s="10">
        <v>7.7017868145409736</v>
      </c>
    </row>
    <row r="3960" spans="11:13" x14ac:dyDescent="0.25">
      <c r="K3960" s="26" t="s">
        <v>111</v>
      </c>
      <c r="L3960" s="27" t="s">
        <v>118</v>
      </c>
      <c r="M3960" s="10">
        <v>88.183421516754848</v>
      </c>
    </row>
    <row r="3961" spans="11:13" x14ac:dyDescent="0.25">
      <c r="K3961" s="26" t="s">
        <v>112</v>
      </c>
      <c r="L3961" s="27" t="s">
        <v>119</v>
      </c>
      <c r="M3961" s="10">
        <v>154.03573629081947</v>
      </c>
    </row>
    <row r="3962" spans="11:13" x14ac:dyDescent="0.25">
      <c r="K3962" s="26" t="s">
        <v>112</v>
      </c>
      <c r="L3962" s="27" t="s">
        <v>115</v>
      </c>
      <c r="M3962" s="10">
        <v>21.179709837975221</v>
      </c>
    </row>
    <row r="3963" spans="11:13" x14ac:dyDescent="0.25">
      <c r="K3963" s="26" t="s">
        <v>112</v>
      </c>
      <c r="L3963" s="27" t="s">
        <v>116</v>
      </c>
      <c r="M3963" s="10">
        <v>45.941103505306202</v>
      </c>
    </row>
    <row r="3964" spans="11:13" x14ac:dyDescent="0.25">
      <c r="K3964" s="26" t="s">
        <v>112</v>
      </c>
      <c r="L3964" s="27" t="s">
        <v>117</v>
      </c>
      <c r="M3964" s="10">
        <v>132.27513227513228</v>
      </c>
    </row>
    <row r="3965" spans="11:13" x14ac:dyDescent="0.25">
      <c r="K3965" s="26" t="s">
        <v>112</v>
      </c>
      <c r="L3965" s="27" t="s">
        <v>118</v>
      </c>
      <c r="M3965" s="10">
        <v>24.801587301587301</v>
      </c>
    </row>
    <row r="3966" spans="11:13" x14ac:dyDescent="0.25">
      <c r="K3966" s="26" t="s">
        <v>112</v>
      </c>
      <c r="L3966" s="27" t="s">
        <v>119</v>
      </c>
      <c r="M3966" s="10">
        <v>156.52557319223985</v>
      </c>
    </row>
    <row r="3967" spans="11:13" x14ac:dyDescent="0.25">
      <c r="K3967" s="26" t="s">
        <v>112</v>
      </c>
      <c r="L3967" s="27" t="s">
        <v>115</v>
      </c>
      <c r="M3967" s="10">
        <v>110.22927689594357</v>
      </c>
    </row>
    <row r="3968" spans="11:13" x14ac:dyDescent="0.25">
      <c r="K3968" s="26" t="s">
        <v>112</v>
      </c>
      <c r="L3968" s="27" t="s">
        <v>116</v>
      </c>
      <c r="M3968" s="10">
        <v>158.84782378481412</v>
      </c>
    </row>
    <row r="3969" spans="11:13" x14ac:dyDescent="0.25">
      <c r="K3969" s="26" t="s">
        <v>112</v>
      </c>
      <c r="L3969" s="27" t="s">
        <v>117</v>
      </c>
      <c r="M3969" s="10">
        <v>8.617718028266113</v>
      </c>
    </row>
    <row r="3970" spans="11:13" x14ac:dyDescent="0.25">
      <c r="K3970" s="26" t="s">
        <v>112</v>
      </c>
      <c r="L3970" s="27" t="s">
        <v>118</v>
      </c>
      <c r="M3970" s="10">
        <v>119.06179307060366</v>
      </c>
    </row>
    <row r="3971" spans="11:13" x14ac:dyDescent="0.25">
      <c r="K3971" s="26" t="s">
        <v>112</v>
      </c>
      <c r="L3971" s="27" t="s">
        <v>119</v>
      </c>
      <c r="M3971" s="10">
        <v>119.46649029982363</v>
      </c>
    </row>
    <row r="3972" spans="11:13" x14ac:dyDescent="0.25">
      <c r="K3972" s="26" t="s">
        <v>112</v>
      </c>
      <c r="L3972" s="27" t="s">
        <v>115</v>
      </c>
      <c r="M3972" s="10">
        <v>46.210720887245841</v>
      </c>
    </row>
    <row r="3973" spans="11:13" x14ac:dyDescent="0.25">
      <c r="K3973" s="26" t="s">
        <v>112</v>
      </c>
      <c r="L3973" s="27" t="s">
        <v>116</v>
      </c>
      <c r="M3973" s="10">
        <v>20.480896310929388</v>
      </c>
    </row>
    <row r="3974" spans="11:13" x14ac:dyDescent="0.25">
      <c r="K3974" s="26" t="s">
        <v>112</v>
      </c>
      <c r="L3974" s="27" t="s">
        <v>117</v>
      </c>
      <c r="M3974" s="10">
        <v>549.51596801817072</v>
      </c>
    </row>
    <row r="3975" spans="11:13" x14ac:dyDescent="0.25">
      <c r="K3975" s="26" t="s">
        <v>112</v>
      </c>
      <c r="L3975" s="27" t="s">
        <v>118</v>
      </c>
      <c r="M3975" s="10">
        <v>661.37566137566137</v>
      </c>
    </row>
    <row r="3976" spans="11:13" x14ac:dyDescent="0.25">
      <c r="K3976" s="26" t="s">
        <v>112</v>
      </c>
      <c r="L3976" s="27" t="s">
        <v>119</v>
      </c>
      <c r="M3976" s="10">
        <v>661.37566137566137</v>
      </c>
    </row>
    <row r="3977" spans="11:13" x14ac:dyDescent="0.25">
      <c r="K3977" s="26" t="s">
        <v>112</v>
      </c>
      <c r="L3977" s="27" t="s">
        <v>115</v>
      </c>
      <c r="M3977" s="10">
        <v>264.74637297469025</v>
      </c>
    </row>
    <row r="3978" spans="11:13" x14ac:dyDescent="0.25">
      <c r="K3978" s="26" t="s">
        <v>112</v>
      </c>
      <c r="L3978" s="27" t="s">
        <v>116</v>
      </c>
      <c r="M3978" s="10">
        <v>231.05360443622922</v>
      </c>
    </row>
    <row r="3979" spans="11:13" x14ac:dyDescent="0.25">
      <c r="K3979" s="26" t="s">
        <v>112</v>
      </c>
      <c r="L3979" s="27" t="s">
        <v>117</v>
      </c>
      <c r="M3979" s="10">
        <v>42.359419675950441</v>
      </c>
    </row>
    <row r="3980" spans="11:13" x14ac:dyDescent="0.25">
      <c r="K3980" s="26" t="s">
        <v>112</v>
      </c>
      <c r="L3980" s="27" t="s">
        <v>118</v>
      </c>
      <c r="M3980" s="10">
        <v>0</v>
      </c>
    </row>
    <row r="3981" spans="11:13" x14ac:dyDescent="0.25">
      <c r="K3981" s="26" t="s">
        <v>112</v>
      </c>
      <c r="L3981" s="27" t="s">
        <v>119</v>
      </c>
      <c r="M3981" s="10">
        <v>61.614294516327789</v>
      </c>
    </row>
    <row r="3982" spans="11:13" x14ac:dyDescent="0.25">
      <c r="K3982" s="26" t="s">
        <v>112</v>
      </c>
      <c r="L3982" s="27" t="s">
        <v>115</v>
      </c>
      <c r="M3982" s="10">
        <v>79.362288865908297</v>
      </c>
    </row>
    <row r="3983" spans="11:13" x14ac:dyDescent="0.25">
      <c r="K3983" s="26" t="s">
        <v>112</v>
      </c>
      <c r="L3983" s="27" t="s">
        <v>116</v>
      </c>
      <c r="M3983" s="10">
        <v>63.539129513925651</v>
      </c>
    </row>
    <row r="3984" spans="11:13" x14ac:dyDescent="0.25">
      <c r="K3984" s="26" t="s">
        <v>112</v>
      </c>
      <c r="L3984" s="27" t="s">
        <v>117</v>
      </c>
      <c r="M3984" s="10">
        <v>42.359419675950441</v>
      </c>
    </row>
    <row r="3985" spans="11:13" x14ac:dyDescent="0.25">
      <c r="K3985" s="26" t="s">
        <v>112</v>
      </c>
      <c r="L3985" s="27" t="s">
        <v>118</v>
      </c>
      <c r="M3985" s="10">
        <v>317.69564756962825</v>
      </c>
    </row>
    <row r="3986" spans="11:13" x14ac:dyDescent="0.25">
      <c r="K3986" s="26" t="s">
        <v>112</v>
      </c>
      <c r="L3986" s="27" t="s">
        <v>119</v>
      </c>
      <c r="M3986" s="10">
        <v>52.910052910052912</v>
      </c>
    </row>
    <row r="3987" spans="11:13" x14ac:dyDescent="0.25">
      <c r="K3987" s="26" t="s">
        <v>109</v>
      </c>
      <c r="L3987" s="27" t="s">
        <v>115</v>
      </c>
      <c r="M3987" s="10">
        <v>154.03573629081947</v>
      </c>
    </row>
    <row r="3988" spans="11:13" x14ac:dyDescent="0.25">
      <c r="K3988" s="26" t="s">
        <v>109</v>
      </c>
      <c r="L3988" s="27" t="s">
        <v>116</v>
      </c>
      <c r="M3988" s="10">
        <v>18.484288354898336</v>
      </c>
    </row>
    <row r="3989" spans="11:13" x14ac:dyDescent="0.25">
      <c r="K3989" s="26" t="s">
        <v>109</v>
      </c>
      <c r="L3989" s="27" t="s">
        <v>117</v>
      </c>
      <c r="M3989" s="10">
        <v>2.1633766650617878</v>
      </c>
    </row>
    <row r="3990" spans="11:13" x14ac:dyDescent="0.25">
      <c r="K3990" s="26" t="s">
        <v>111</v>
      </c>
      <c r="L3990" s="27" t="s">
        <v>118</v>
      </c>
      <c r="M3990" s="10">
        <v>33.06878306878307</v>
      </c>
    </row>
    <row r="3991" spans="11:13" x14ac:dyDescent="0.25">
      <c r="K3991" s="26" t="s">
        <v>110</v>
      </c>
      <c r="L3991" s="27" t="s">
        <v>119</v>
      </c>
      <c r="M3991" s="10">
        <v>44.091710758377424</v>
      </c>
    </row>
    <row r="3992" spans="11:13" x14ac:dyDescent="0.25">
      <c r="K3992" s="26" t="s">
        <v>110</v>
      </c>
      <c r="L3992" s="27" t="s">
        <v>115</v>
      </c>
      <c r="M3992" s="10">
        <v>88.183421516754848</v>
      </c>
    </row>
    <row r="3993" spans="11:13" x14ac:dyDescent="0.25">
      <c r="K3993" s="26" t="s">
        <v>110</v>
      </c>
      <c r="L3993" s="27" t="s">
        <v>116</v>
      </c>
      <c r="M3993" s="10">
        <v>423.59419675950437</v>
      </c>
    </row>
    <row r="3994" spans="11:13" x14ac:dyDescent="0.25">
      <c r="K3994" s="26" t="s">
        <v>112</v>
      </c>
      <c r="L3994" s="27" t="s">
        <v>117</v>
      </c>
      <c r="M3994" s="10">
        <v>1.0589854918987609E-5</v>
      </c>
    </row>
    <row r="3995" spans="11:13" x14ac:dyDescent="0.25">
      <c r="K3995" s="26" t="s">
        <v>112</v>
      </c>
      <c r="L3995" s="27" t="s">
        <v>118</v>
      </c>
      <c r="M3995" s="10">
        <v>317.69564756962825</v>
      </c>
    </row>
    <row r="3996" spans="11:13" x14ac:dyDescent="0.25">
      <c r="K3996" s="26" t="s">
        <v>112</v>
      </c>
      <c r="L3996" s="27" t="s">
        <v>119</v>
      </c>
      <c r="M3996" s="10">
        <v>54.951596801817075</v>
      </c>
    </row>
    <row r="3997" spans="11:13" x14ac:dyDescent="0.25">
      <c r="K3997" s="26" t="s">
        <v>112</v>
      </c>
      <c r="L3997" s="27" t="s">
        <v>115</v>
      </c>
      <c r="M3997" s="10">
        <v>26.455026455026456</v>
      </c>
    </row>
    <row r="3998" spans="11:13" x14ac:dyDescent="0.25">
      <c r="K3998" s="26" t="s">
        <v>112</v>
      </c>
      <c r="L3998" s="27" t="s">
        <v>116</v>
      </c>
      <c r="M3998" s="10">
        <v>27.475798400908538</v>
      </c>
    </row>
    <row r="3999" spans="11:13" x14ac:dyDescent="0.25">
      <c r="K3999" s="26" t="s">
        <v>112</v>
      </c>
      <c r="L3999" s="27" t="s">
        <v>117</v>
      </c>
      <c r="M3999" s="10">
        <v>27.475798400908538</v>
      </c>
    </row>
    <row r="4000" spans="11:13" x14ac:dyDescent="0.25">
      <c r="K4000" s="26" t="s">
        <v>112</v>
      </c>
      <c r="L4000" s="27" t="s">
        <v>118</v>
      </c>
      <c r="M4000" s="10">
        <v>110.22927689594357</v>
      </c>
    </row>
    <row r="4001" spans="11:13" x14ac:dyDescent="0.25">
      <c r="K4001" s="26" t="s">
        <v>112</v>
      </c>
      <c r="L4001" s="27" t="s">
        <v>119</v>
      </c>
      <c r="M4001" s="10">
        <v>15.246348900658001</v>
      </c>
    </row>
    <row r="4002" spans="11:13" x14ac:dyDescent="0.25">
      <c r="K4002" s="26" t="s">
        <v>112</v>
      </c>
      <c r="L4002" s="27" t="s">
        <v>115</v>
      </c>
      <c r="M4002" s="10">
        <v>770.17868145409739</v>
      </c>
    </row>
    <row r="4003" spans="11:13" x14ac:dyDescent="0.25">
      <c r="K4003" s="26" t="s">
        <v>112</v>
      </c>
      <c r="L4003" s="27" t="s">
        <v>116</v>
      </c>
      <c r="M4003" s="10">
        <v>77.017868145409736</v>
      </c>
    </row>
    <row r="4004" spans="11:13" x14ac:dyDescent="0.25">
      <c r="K4004" s="26" t="s">
        <v>112</v>
      </c>
      <c r="L4004" s="27" t="s">
        <v>117</v>
      </c>
      <c r="M4004" s="10">
        <v>154.03573629081947</v>
      </c>
    </row>
    <row r="4005" spans="11:13" x14ac:dyDescent="0.25">
      <c r="K4005" s="26" t="s">
        <v>112</v>
      </c>
      <c r="L4005" s="27" t="s">
        <v>118</v>
      </c>
      <c r="M4005" s="10">
        <v>264.55026455026456</v>
      </c>
    </row>
    <row r="4006" spans="11:13" x14ac:dyDescent="0.25">
      <c r="K4006" s="26" t="s">
        <v>112</v>
      </c>
      <c r="L4006" s="27" t="s">
        <v>119</v>
      </c>
      <c r="M4006" s="10">
        <v>70.614668592521269</v>
      </c>
    </row>
    <row r="4007" spans="11:13" x14ac:dyDescent="0.25">
      <c r="K4007" s="26" t="s">
        <v>112</v>
      </c>
      <c r="L4007" s="27" t="s">
        <v>115</v>
      </c>
      <c r="M4007" s="10">
        <v>55.114638447971785</v>
      </c>
    </row>
    <row r="4008" spans="11:13" x14ac:dyDescent="0.25">
      <c r="K4008" s="26" t="s">
        <v>112</v>
      </c>
      <c r="L4008" s="27" t="s">
        <v>116</v>
      </c>
      <c r="M4008" s="10">
        <v>77.017868145409736</v>
      </c>
    </row>
    <row r="4009" spans="11:13" x14ac:dyDescent="0.25">
      <c r="K4009" s="26" t="s">
        <v>112</v>
      </c>
      <c r="L4009" s="27" t="s">
        <v>117</v>
      </c>
      <c r="M4009" s="10">
        <v>77.017868145409736</v>
      </c>
    </row>
    <row r="4010" spans="11:13" x14ac:dyDescent="0.25">
      <c r="K4010" s="26" t="s">
        <v>112</v>
      </c>
      <c r="L4010" s="27" t="s">
        <v>118</v>
      </c>
      <c r="M4010" s="10">
        <v>120.3659123736158</v>
      </c>
    </row>
    <row r="4011" spans="11:13" x14ac:dyDescent="0.25">
      <c r="K4011" s="26" t="s">
        <v>112</v>
      </c>
      <c r="L4011" s="27" t="s">
        <v>119</v>
      </c>
      <c r="M4011" s="10">
        <v>380</v>
      </c>
    </row>
    <row r="4012" spans="11:13" x14ac:dyDescent="0.25">
      <c r="K4012" s="26" t="s">
        <v>112</v>
      </c>
      <c r="L4012" s="27" t="s">
        <v>115</v>
      </c>
      <c r="M4012" s="10">
        <v>246.45717806531115</v>
      </c>
    </row>
    <row r="4013" spans="11:13" x14ac:dyDescent="0.25">
      <c r="K4013" s="26" t="s">
        <v>112</v>
      </c>
      <c r="L4013" s="27" t="s">
        <v>116</v>
      </c>
      <c r="M4013" s="10">
        <v>77.017868145409736</v>
      </c>
    </row>
    <row r="4014" spans="11:13" x14ac:dyDescent="0.25">
      <c r="K4014" s="26" t="s">
        <v>112</v>
      </c>
      <c r="L4014" s="27" t="s">
        <v>117</v>
      </c>
      <c r="M4014" s="10">
        <v>18.317198933939025</v>
      </c>
    </row>
    <row r="4015" spans="11:13" x14ac:dyDescent="0.25">
      <c r="K4015" s="26" t="s">
        <v>112</v>
      </c>
      <c r="L4015" s="27" t="s">
        <v>118</v>
      </c>
      <c r="M4015" s="10">
        <v>3527.3368606701943</v>
      </c>
    </row>
    <row r="4016" spans="11:13" x14ac:dyDescent="0.25">
      <c r="K4016" s="26" t="s">
        <v>112</v>
      </c>
      <c r="L4016" s="27" t="s">
        <v>119</v>
      </c>
      <c r="M4016" s="10">
        <v>52.949274594938046</v>
      </c>
    </row>
    <row r="4017" spans="11:13" x14ac:dyDescent="0.25">
      <c r="K4017" s="26" t="s">
        <v>112</v>
      </c>
      <c r="L4017" s="27" t="s">
        <v>115</v>
      </c>
      <c r="M4017" s="10">
        <v>102.90900251195202</v>
      </c>
    </row>
    <row r="4018" spans="11:13" x14ac:dyDescent="0.25">
      <c r="K4018" s="26" t="s">
        <v>112</v>
      </c>
      <c r="L4018" s="27" t="s">
        <v>116</v>
      </c>
      <c r="M4018" s="10">
        <v>130.25521550354759</v>
      </c>
    </row>
    <row r="4019" spans="11:13" x14ac:dyDescent="0.25">
      <c r="K4019" s="26" t="s">
        <v>112</v>
      </c>
      <c r="L4019" s="27" t="s">
        <v>117</v>
      </c>
      <c r="M4019" s="10">
        <v>18.108651911468812</v>
      </c>
    </row>
    <row r="4020" spans="11:13" x14ac:dyDescent="0.25">
      <c r="K4020" s="26" t="s">
        <v>112</v>
      </c>
      <c r="L4020" s="27" t="s">
        <v>118</v>
      </c>
      <c r="M4020" s="10">
        <v>476.54347135444243</v>
      </c>
    </row>
    <row r="4021" spans="11:13" x14ac:dyDescent="0.25">
      <c r="K4021" s="26" t="s">
        <v>112</v>
      </c>
      <c r="L4021" s="27" t="s">
        <v>119</v>
      </c>
      <c r="M4021" s="10">
        <v>174.95378927911275</v>
      </c>
    </row>
    <row r="4022" spans="11:13" x14ac:dyDescent="0.25">
      <c r="K4022" s="26" t="s">
        <v>112</v>
      </c>
      <c r="L4022" s="27" t="s">
        <v>115</v>
      </c>
      <c r="M4022" s="10">
        <v>159.34411583487369</v>
      </c>
    </row>
    <row r="4023" spans="11:13" x14ac:dyDescent="0.25">
      <c r="K4023" s="26" t="s">
        <v>112</v>
      </c>
      <c r="L4023" s="27" t="s">
        <v>116</v>
      </c>
      <c r="M4023" s="10">
        <v>183.17198933939025</v>
      </c>
    </row>
    <row r="4024" spans="11:13" x14ac:dyDescent="0.25">
      <c r="K4024" s="26" t="s">
        <v>109</v>
      </c>
      <c r="L4024" s="27" t="s">
        <v>117</v>
      </c>
      <c r="M4024" s="10">
        <v>44.091710758377424</v>
      </c>
    </row>
    <row r="4025" spans="11:13" x14ac:dyDescent="0.25">
      <c r="K4025" s="26" t="s">
        <v>112</v>
      </c>
      <c r="L4025" s="27" t="s">
        <v>118</v>
      </c>
      <c r="M4025" s="10">
        <v>241.29610479145123</v>
      </c>
    </row>
    <row r="4026" spans="11:13" x14ac:dyDescent="0.25">
      <c r="K4026" s="26" t="s">
        <v>112</v>
      </c>
      <c r="L4026" s="27" t="s">
        <v>119</v>
      </c>
      <c r="M4026" s="10">
        <v>170</v>
      </c>
    </row>
    <row r="4027" spans="11:13" x14ac:dyDescent="0.25">
      <c r="K4027" s="26" t="s">
        <v>112</v>
      </c>
      <c r="L4027" s="27" t="s">
        <v>115</v>
      </c>
      <c r="M4027" s="10">
        <v>2.2266313932980597E-5</v>
      </c>
    </row>
    <row r="4028" spans="11:13" x14ac:dyDescent="0.25">
      <c r="K4028" s="26" t="s">
        <v>112</v>
      </c>
      <c r="L4028" s="27" t="s">
        <v>116</v>
      </c>
      <c r="M4028" s="10">
        <v>200</v>
      </c>
    </row>
    <row r="4029" spans="11:13" x14ac:dyDescent="0.25">
      <c r="K4029" s="26" t="s">
        <v>112</v>
      </c>
      <c r="L4029" s="27" t="s">
        <v>117</v>
      </c>
      <c r="M4029" s="10">
        <v>35.273368606701936</v>
      </c>
    </row>
    <row r="4030" spans="11:13" x14ac:dyDescent="0.25">
      <c r="K4030" s="26" t="s">
        <v>112</v>
      </c>
      <c r="L4030" s="27" t="s">
        <v>118</v>
      </c>
      <c r="M4030" s="10">
        <v>66.137566137566139</v>
      </c>
    </row>
    <row r="4031" spans="11:13" x14ac:dyDescent="0.25">
      <c r="K4031" s="26" t="s">
        <v>112</v>
      </c>
      <c r="L4031" s="27" t="s">
        <v>119</v>
      </c>
      <c r="M4031" s="10">
        <v>40.121970791205264</v>
      </c>
    </row>
    <row r="4032" spans="11:13" x14ac:dyDescent="0.25">
      <c r="K4032" s="26" t="s">
        <v>112</v>
      </c>
      <c r="L4032" s="27" t="s">
        <v>115</v>
      </c>
      <c r="M4032" s="10">
        <v>12.064805239572561</v>
      </c>
    </row>
    <row r="4033" spans="11:13" x14ac:dyDescent="0.25">
      <c r="K4033" s="26" t="s">
        <v>112</v>
      </c>
      <c r="L4033" s="27" t="s">
        <v>116</v>
      </c>
      <c r="M4033" s="10">
        <v>55.153395380903135</v>
      </c>
    </row>
    <row r="4034" spans="11:13" x14ac:dyDescent="0.25">
      <c r="K4034" s="26" t="s">
        <v>112</v>
      </c>
      <c r="L4034" s="27" t="s">
        <v>117</v>
      </c>
      <c r="M4034" s="10">
        <v>154.43484288354898</v>
      </c>
    </row>
    <row r="4035" spans="11:13" x14ac:dyDescent="0.25">
      <c r="K4035" s="26" t="s">
        <v>112</v>
      </c>
      <c r="L4035" s="27" t="s">
        <v>118</v>
      </c>
      <c r="M4035" s="10">
        <v>159.34411583487369</v>
      </c>
    </row>
    <row r="4036" spans="11:13" x14ac:dyDescent="0.25">
      <c r="K4036" s="26" t="s">
        <v>112</v>
      </c>
      <c r="L4036" s="27" t="s">
        <v>119</v>
      </c>
      <c r="M4036" s="10">
        <v>176.3668430335097</v>
      </c>
    </row>
    <row r="4037" spans="11:13" x14ac:dyDescent="0.25">
      <c r="K4037" s="26" t="s">
        <v>112</v>
      </c>
      <c r="L4037" s="27" t="s">
        <v>115</v>
      </c>
      <c r="M4037" s="10">
        <v>211.02895871842267</v>
      </c>
    </row>
    <row r="4038" spans="11:13" x14ac:dyDescent="0.25">
      <c r="K4038" s="26" t="s">
        <v>112</v>
      </c>
      <c r="L4038" s="27" t="s">
        <v>116</v>
      </c>
      <c r="M4038" s="10">
        <v>164.85479040545121</v>
      </c>
    </row>
    <row r="4039" spans="11:13" x14ac:dyDescent="0.25">
      <c r="K4039" s="26" t="s">
        <v>112</v>
      </c>
      <c r="L4039" s="27" t="s">
        <v>117</v>
      </c>
      <c r="M4039" s="10">
        <v>46.210720887245841</v>
      </c>
    </row>
    <row r="4040" spans="11:13" x14ac:dyDescent="0.25">
      <c r="K4040" s="26" t="s">
        <v>112</v>
      </c>
      <c r="L4040" s="27" t="s">
        <v>118</v>
      </c>
      <c r="M4040" s="10">
        <v>50</v>
      </c>
    </row>
    <row r="4041" spans="11:13" x14ac:dyDescent="0.25">
      <c r="K4041" s="26" t="s">
        <v>112</v>
      </c>
      <c r="L4041" s="27" t="s">
        <v>119</v>
      </c>
      <c r="M4041" s="10">
        <v>41.365046535677351</v>
      </c>
    </row>
    <row r="4042" spans="11:13" x14ac:dyDescent="0.25">
      <c r="K4042" s="26" t="s">
        <v>112</v>
      </c>
      <c r="L4042" s="27" t="s">
        <v>115</v>
      </c>
      <c r="M4042" s="10">
        <v>155.69619093848172</v>
      </c>
    </row>
    <row r="4043" spans="11:13" x14ac:dyDescent="0.25">
      <c r="K4043" s="26" t="s">
        <v>112</v>
      </c>
      <c r="L4043" s="27" t="s">
        <v>116</v>
      </c>
      <c r="M4043" s="10">
        <v>23.29768082177274</v>
      </c>
    </row>
    <row r="4044" spans="11:13" x14ac:dyDescent="0.25">
      <c r="K4044" s="26" t="s">
        <v>112</v>
      </c>
      <c r="L4044" s="27" t="s">
        <v>117</v>
      </c>
      <c r="M4044" s="10">
        <v>46.210720887245841</v>
      </c>
    </row>
    <row r="4045" spans="11:13" x14ac:dyDescent="0.25">
      <c r="K4045" s="26" t="s">
        <v>112</v>
      </c>
      <c r="L4045" s="27" t="s">
        <v>118</v>
      </c>
      <c r="M4045" s="10">
        <v>308.07147258163894</v>
      </c>
    </row>
    <row r="4046" spans="11:13" x14ac:dyDescent="0.25">
      <c r="K4046" s="26" t="s">
        <v>112</v>
      </c>
      <c r="L4046" s="27" t="s">
        <v>119</v>
      </c>
      <c r="M4046" s="10">
        <v>105.89854918987609</v>
      </c>
    </row>
    <row r="4047" spans="11:13" x14ac:dyDescent="0.25">
      <c r="K4047" s="26" t="s">
        <v>112</v>
      </c>
      <c r="L4047" s="27" t="s">
        <v>115</v>
      </c>
      <c r="M4047" s="10">
        <v>137.37899200454268</v>
      </c>
    </row>
    <row r="4048" spans="11:13" x14ac:dyDescent="0.25">
      <c r="K4048" s="26" t="s">
        <v>112</v>
      </c>
      <c r="L4048" s="27" t="s">
        <v>116</v>
      </c>
      <c r="M4048" s="10">
        <v>123.22858903265558</v>
      </c>
    </row>
    <row r="4049" spans="11:13" x14ac:dyDescent="0.25">
      <c r="K4049" s="26" t="s">
        <v>112</v>
      </c>
      <c r="L4049" s="27" t="s">
        <v>117</v>
      </c>
      <c r="M4049" s="10">
        <v>50.372297068332315</v>
      </c>
    </row>
    <row r="4050" spans="11:13" x14ac:dyDescent="0.25">
      <c r="K4050" s="26" t="s">
        <v>112</v>
      </c>
      <c r="L4050" s="27" t="s">
        <v>118</v>
      </c>
      <c r="M4050" s="10">
        <v>123.22858903265558</v>
      </c>
    </row>
    <row r="4051" spans="11:13" x14ac:dyDescent="0.25">
      <c r="K4051" s="26" t="s">
        <v>112</v>
      </c>
      <c r="L4051" s="27" t="s">
        <v>119</v>
      </c>
      <c r="M4051" s="10">
        <v>17</v>
      </c>
    </row>
    <row r="4052" spans="11:13" x14ac:dyDescent="0.25">
      <c r="K4052" s="26" t="s">
        <v>112</v>
      </c>
      <c r="L4052" s="27" t="s">
        <v>115</v>
      </c>
      <c r="M4052" s="10">
        <v>26.455026455026456</v>
      </c>
    </row>
    <row r="4053" spans="11:13" x14ac:dyDescent="0.25">
      <c r="K4053" s="26" t="s">
        <v>112</v>
      </c>
      <c r="L4053" s="27" t="s">
        <v>116</v>
      </c>
      <c r="M4053" s="10">
        <v>66.137566137566139</v>
      </c>
    </row>
    <row r="4054" spans="11:13" x14ac:dyDescent="0.25">
      <c r="K4054" s="26" t="s">
        <v>113</v>
      </c>
      <c r="L4054" s="27" t="s">
        <v>117</v>
      </c>
      <c r="M4054" s="10">
        <v>66.137566137566139</v>
      </c>
    </row>
    <row r="4055" spans="11:13" x14ac:dyDescent="0.25">
      <c r="K4055" s="26" t="s">
        <v>109</v>
      </c>
      <c r="L4055" s="27" t="s">
        <v>118</v>
      </c>
      <c r="M4055" s="10">
        <v>66.137566137566139</v>
      </c>
    </row>
    <row r="4056" spans="11:13" x14ac:dyDescent="0.25">
      <c r="K4056" s="26" t="s">
        <v>112</v>
      </c>
      <c r="L4056" s="27" t="s">
        <v>119</v>
      </c>
      <c r="M4056" s="10">
        <v>211.79709837975219</v>
      </c>
    </row>
    <row r="4057" spans="11:13" x14ac:dyDescent="0.25">
      <c r="K4057" s="26" t="s">
        <v>112</v>
      </c>
      <c r="L4057" s="27" t="s">
        <v>115</v>
      </c>
      <c r="M4057" s="10">
        <v>146.65145836728044</v>
      </c>
    </row>
    <row r="4058" spans="11:13" x14ac:dyDescent="0.25">
      <c r="K4058" s="26" t="s">
        <v>112</v>
      </c>
      <c r="L4058" s="27" t="s">
        <v>116</v>
      </c>
      <c r="M4058" s="10">
        <v>162.0614212786646</v>
      </c>
    </row>
    <row r="4059" spans="11:13" x14ac:dyDescent="0.25">
      <c r="K4059" s="26" t="s">
        <v>112</v>
      </c>
      <c r="L4059" s="27" t="s">
        <v>117</v>
      </c>
      <c r="M4059" s="10">
        <v>162.0614212786646</v>
      </c>
    </row>
    <row r="4060" spans="11:13" x14ac:dyDescent="0.25">
      <c r="K4060" s="26" t="s">
        <v>112</v>
      </c>
      <c r="L4060" s="27" t="s">
        <v>118</v>
      </c>
      <c r="M4060" s="10">
        <v>132.27513227513228</v>
      </c>
    </row>
    <row r="4061" spans="11:13" x14ac:dyDescent="0.25">
      <c r="K4061" s="26" t="s">
        <v>112</v>
      </c>
      <c r="L4061" s="27" t="s">
        <v>119</v>
      </c>
      <c r="M4061" s="10">
        <v>384.66117761271948</v>
      </c>
    </row>
    <row r="4062" spans="11:13" x14ac:dyDescent="0.25">
      <c r="K4062" s="26" t="s">
        <v>112</v>
      </c>
      <c r="L4062" s="27" t="s">
        <v>115</v>
      </c>
      <c r="M4062" s="10">
        <v>366.3439786787805</v>
      </c>
    </row>
    <row r="4063" spans="11:13" x14ac:dyDescent="0.25">
      <c r="K4063" s="26" t="s">
        <v>112</v>
      </c>
      <c r="L4063" s="27" t="s">
        <v>116</v>
      </c>
      <c r="M4063" s="10">
        <v>55.114638447971785</v>
      </c>
    </row>
    <row r="4064" spans="11:13" x14ac:dyDescent="0.25">
      <c r="K4064" s="26" t="s">
        <v>112</v>
      </c>
      <c r="L4064" s="27" t="s">
        <v>117</v>
      </c>
      <c r="M4064" s="10">
        <v>220.45855379188714</v>
      </c>
    </row>
    <row r="4065" spans="11:13" x14ac:dyDescent="0.25">
      <c r="K4065" s="26" t="s">
        <v>112</v>
      </c>
      <c r="L4065" s="27" t="s">
        <v>118</v>
      </c>
      <c r="M4065" s="10">
        <v>21.179709837975221</v>
      </c>
    </row>
    <row r="4066" spans="11:13" x14ac:dyDescent="0.25">
      <c r="K4066" s="26" t="s">
        <v>112</v>
      </c>
      <c r="L4066" s="27" t="s">
        <v>119</v>
      </c>
      <c r="M4066" s="10">
        <v>104.90945674044265</v>
      </c>
    </row>
    <row r="4067" spans="11:13" x14ac:dyDescent="0.25">
      <c r="K4067" s="26" t="s">
        <v>112</v>
      </c>
      <c r="L4067" s="27" t="s">
        <v>115</v>
      </c>
      <c r="M4067" s="10">
        <v>255.99915281160648</v>
      </c>
    </row>
    <row r="4068" spans="11:13" x14ac:dyDescent="0.25">
      <c r="K4068" s="26" t="s">
        <v>112</v>
      </c>
      <c r="L4068" s="27" t="s">
        <v>116</v>
      </c>
      <c r="M4068" s="10">
        <v>211.79709837975219</v>
      </c>
    </row>
    <row r="4069" spans="11:13" x14ac:dyDescent="0.25">
      <c r="K4069" s="26" t="s">
        <v>112</v>
      </c>
      <c r="L4069" s="27" t="s">
        <v>117</v>
      </c>
      <c r="M4069" s="10">
        <v>52.949274594938046</v>
      </c>
    </row>
    <row r="4070" spans="11:13" x14ac:dyDescent="0.25">
      <c r="K4070" s="26" t="s">
        <v>112</v>
      </c>
      <c r="L4070" s="27" t="s">
        <v>118</v>
      </c>
      <c r="M4070" s="10">
        <v>211.79709837975219</v>
      </c>
    </row>
    <row r="4071" spans="11:13" x14ac:dyDescent="0.25">
      <c r="K4071" s="26" t="s">
        <v>112</v>
      </c>
      <c r="L4071" s="27" t="s">
        <v>119</v>
      </c>
      <c r="M4071" s="10">
        <v>423.59419675950437</v>
      </c>
    </row>
    <row r="4072" spans="11:13" x14ac:dyDescent="0.25">
      <c r="K4072" s="26" t="s">
        <v>112</v>
      </c>
      <c r="L4072" s="27" t="s">
        <v>115</v>
      </c>
      <c r="M4072" s="10">
        <v>158.84782378481412</v>
      </c>
    </row>
    <row r="4073" spans="11:13" x14ac:dyDescent="0.25">
      <c r="K4073" s="26" t="s">
        <v>112</v>
      </c>
      <c r="L4073" s="27" t="s">
        <v>116</v>
      </c>
      <c r="M4073" s="10">
        <v>56.721497447532613</v>
      </c>
    </row>
    <row r="4074" spans="11:13" x14ac:dyDescent="0.25">
      <c r="K4074" s="26" t="s">
        <v>112</v>
      </c>
      <c r="L4074" s="27" t="s">
        <v>117</v>
      </c>
      <c r="M4074" s="10">
        <v>300</v>
      </c>
    </row>
    <row r="4075" spans="11:13" x14ac:dyDescent="0.25">
      <c r="K4075" s="26" t="s">
        <v>112</v>
      </c>
      <c r="L4075" s="27" t="s">
        <v>118</v>
      </c>
      <c r="M4075" s="10">
        <v>48.618426383599385</v>
      </c>
    </row>
    <row r="4076" spans="11:13" x14ac:dyDescent="0.25">
      <c r="K4076" s="26" t="s">
        <v>112</v>
      </c>
      <c r="L4076" s="27" t="s">
        <v>119</v>
      </c>
      <c r="M4076" s="10">
        <v>77.017868145409736</v>
      </c>
    </row>
    <row r="4077" spans="11:13" x14ac:dyDescent="0.25">
      <c r="K4077" s="26" t="s">
        <v>112</v>
      </c>
      <c r="L4077" s="27" t="s">
        <v>115</v>
      </c>
      <c r="M4077" s="10">
        <v>13.775220808686493</v>
      </c>
    </row>
    <row r="4078" spans="11:13" x14ac:dyDescent="0.25">
      <c r="K4078" s="26" t="s">
        <v>112</v>
      </c>
      <c r="L4078" s="27" t="s">
        <v>116</v>
      </c>
      <c r="M4078" s="10">
        <v>34.843205574912893</v>
      </c>
    </row>
    <row r="4079" spans="11:13" x14ac:dyDescent="0.25">
      <c r="K4079" s="26" t="s">
        <v>112</v>
      </c>
      <c r="L4079" s="27" t="s">
        <v>117</v>
      </c>
      <c r="M4079" s="10">
        <v>52.669961915566006</v>
      </c>
    </row>
    <row r="4080" spans="11:13" x14ac:dyDescent="0.25">
      <c r="K4080" s="26" t="s">
        <v>112</v>
      </c>
      <c r="L4080" s="27" t="s">
        <v>118</v>
      </c>
      <c r="M4080" s="10">
        <v>7.2927639575399077</v>
      </c>
    </row>
    <row r="4081" spans="11:13" x14ac:dyDescent="0.25">
      <c r="K4081" s="26" t="s">
        <v>112</v>
      </c>
      <c r="L4081" s="27" t="s">
        <v>119</v>
      </c>
      <c r="M4081" s="10">
        <v>5.6721497447532618</v>
      </c>
    </row>
    <row r="4082" spans="11:13" x14ac:dyDescent="0.25">
      <c r="K4082" s="26" t="s">
        <v>112</v>
      </c>
      <c r="L4082" s="27" t="s">
        <v>115</v>
      </c>
      <c r="M4082" s="10">
        <v>48.082671957671955</v>
      </c>
    </row>
    <row r="4083" spans="11:13" x14ac:dyDescent="0.25">
      <c r="K4083" s="26" t="s">
        <v>112</v>
      </c>
      <c r="L4083" s="27" t="s">
        <v>116</v>
      </c>
      <c r="M4083" s="10">
        <v>45.792997334847563</v>
      </c>
    </row>
    <row r="4084" spans="11:13" x14ac:dyDescent="0.25">
      <c r="K4084" s="26" t="s">
        <v>112</v>
      </c>
      <c r="L4084" s="27" t="s">
        <v>117</v>
      </c>
      <c r="M4084" s="10">
        <v>40.121970791205264</v>
      </c>
    </row>
    <row r="4085" spans="11:13" x14ac:dyDescent="0.25">
      <c r="K4085" s="26" t="s">
        <v>112</v>
      </c>
      <c r="L4085" s="27" t="s">
        <v>118</v>
      </c>
      <c r="M4085" s="10">
        <v>40.121970791205264</v>
      </c>
    </row>
    <row r="4086" spans="11:13" x14ac:dyDescent="0.25">
      <c r="K4086" s="26" t="s">
        <v>112</v>
      </c>
      <c r="L4086" s="27" t="s">
        <v>119</v>
      </c>
      <c r="M4086" s="10">
        <v>105.89854918987609</v>
      </c>
    </row>
    <row r="4087" spans="11:13" x14ac:dyDescent="0.25">
      <c r="K4087" s="26" t="s">
        <v>112</v>
      </c>
      <c r="L4087" s="27" t="s">
        <v>115</v>
      </c>
      <c r="M4087" s="10">
        <v>132.37318648734512</v>
      </c>
    </row>
    <row r="4088" spans="11:13" x14ac:dyDescent="0.25">
      <c r="K4088" s="26" t="s">
        <v>112</v>
      </c>
      <c r="L4088" s="27" t="s">
        <v>116</v>
      </c>
      <c r="M4088" s="10">
        <v>92.421441774491683</v>
      </c>
    </row>
    <row r="4089" spans="11:13" x14ac:dyDescent="0.25">
      <c r="K4089" s="26" t="s">
        <v>112</v>
      </c>
      <c r="L4089" s="27" t="s">
        <v>117</v>
      </c>
      <c r="M4089" s="10">
        <v>92.421441774491683</v>
      </c>
    </row>
    <row r="4090" spans="11:13" x14ac:dyDescent="0.25">
      <c r="K4090" s="26" t="s">
        <v>112</v>
      </c>
      <c r="L4090" s="27" t="s">
        <v>118</v>
      </c>
      <c r="M4090" s="10">
        <v>50</v>
      </c>
    </row>
    <row r="4091" spans="11:13" x14ac:dyDescent="0.25">
      <c r="K4091" s="26" t="s">
        <v>112</v>
      </c>
      <c r="L4091" s="27" t="s">
        <v>119</v>
      </c>
      <c r="M4091" s="10">
        <v>160</v>
      </c>
    </row>
    <row r="4092" spans="11:13" x14ac:dyDescent="0.25">
      <c r="K4092" s="26" t="s">
        <v>113</v>
      </c>
      <c r="L4092" s="27" t="s">
        <v>115</v>
      </c>
      <c r="M4092" s="10">
        <v>59.530896535301828</v>
      </c>
    </row>
    <row r="4093" spans="11:13" x14ac:dyDescent="0.25">
      <c r="K4093" s="26" t="s">
        <v>113</v>
      </c>
      <c r="L4093" s="27" t="s">
        <v>116</v>
      </c>
      <c r="M4093" s="10">
        <v>164.85479040545121</v>
      </c>
    </row>
    <row r="4094" spans="11:13" x14ac:dyDescent="0.25">
      <c r="K4094" s="26" t="s">
        <v>113</v>
      </c>
      <c r="L4094" s="27" t="s">
        <v>117</v>
      </c>
      <c r="M4094" s="10">
        <v>73.2687957357561</v>
      </c>
    </row>
    <row r="4095" spans="11:13" x14ac:dyDescent="0.25">
      <c r="K4095" s="26" t="s">
        <v>109</v>
      </c>
      <c r="L4095" s="27" t="s">
        <v>118</v>
      </c>
      <c r="M4095" s="10">
        <v>46.210720887245841</v>
      </c>
    </row>
    <row r="4096" spans="11:13" x14ac:dyDescent="0.25">
      <c r="K4096" s="26" t="s">
        <v>112</v>
      </c>
      <c r="L4096" s="27" t="s">
        <v>119</v>
      </c>
      <c r="M4096" s="10">
        <v>154.10713465337437</v>
      </c>
    </row>
    <row r="4097" spans="11:13" x14ac:dyDescent="0.25">
      <c r="K4097" s="26" t="s">
        <v>112</v>
      </c>
      <c r="L4097" s="27" t="s">
        <v>115</v>
      </c>
      <c r="M4097" s="10">
        <v>183.17198933939025</v>
      </c>
    </row>
    <row r="4098" spans="11:13" x14ac:dyDescent="0.25">
      <c r="K4098" s="26" t="s">
        <v>112</v>
      </c>
      <c r="L4098" s="27" t="s">
        <v>116</v>
      </c>
      <c r="M4098" s="10">
        <v>56.993222427603207</v>
      </c>
    </row>
    <row r="4099" spans="11:13" x14ac:dyDescent="0.25">
      <c r="K4099" s="26" t="s">
        <v>112</v>
      </c>
      <c r="L4099" s="27" t="s">
        <v>117</v>
      </c>
      <c r="M4099" s="10">
        <v>427.48783117683303</v>
      </c>
    </row>
    <row r="4100" spans="11:13" x14ac:dyDescent="0.25">
      <c r="K4100" s="26" t="s">
        <v>112</v>
      </c>
      <c r="L4100" s="27" t="s">
        <v>118</v>
      </c>
      <c r="M4100" s="10">
        <v>154.03573629081947</v>
      </c>
    </row>
    <row r="4101" spans="11:13" x14ac:dyDescent="0.25">
      <c r="K4101" s="26" t="s">
        <v>112</v>
      </c>
      <c r="L4101" s="27" t="s">
        <v>119</v>
      </c>
      <c r="M4101" s="10">
        <v>693.16081330868769</v>
      </c>
    </row>
    <row r="4102" spans="11:13" x14ac:dyDescent="0.25">
      <c r="K4102" s="26" t="s">
        <v>112</v>
      </c>
      <c r="L4102" s="27" t="s">
        <v>115</v>
      </c>
      <c r="M4102" s="10">
        <v>48.50319290669362</v>
      </c>
    </row>
    <row r="4103" spans="11:13" x14ac:dyDescent="0.25">
      <c r="K4103" s="26" t="s">
        <v>112</v>
      </c>
      <c r="L4103" s="27" t="s">
        <v>116</v>
      </c>
      <c r="M4103" s="10">
        <v>65.178425941013529</v>
      </c>
    </row>
    <row r="4104" spans="11:13" x14ac:dyDescent="0.25">
      <c r="K4104" s="26" t="s">
        <v>112</v>
      </c>
      <c r="L4104" s="27" t="s">
        <v>117</v>
      </c>
      <c r="M4104" s="10">
        <v>103.41261633919338</v>
      </c>
    </row>
    <row r="4105" spans="11:13" x14ac:dyDescent="0.25">
      <c r="K4105" s="26" t="s">
        <v>112</v>
      </c>
      <c r="L4105" s="27" t="s">
        <v>118</v>
      </c>
      <c r="M4105" s="10">
        <v>266</v>
      </c>
    </row>
    <row r="4106" spans="11:13" x14ac:dyDescent="0.25">
      <c r="K4106" s="26" t="s">
        <v>112</v>
      </c>
      <c r="L4106" s="27" t="s">
        <v>119</v>
      </c>
      <c r="M4106" s="10">
        <v>37.850875178021781</v>
      </c>
    </row>
    <row r="4107" spans="11:13" x14ac:dyDescent="0.25">
      <c r="K4107" s="26" t="s">
        <v>112</v>
      </c>
      <c r="L4107" s="27" t="s">
        <v>115</v>
      </c>
      <c r="M4107" s="10">
        <v>13.59954622802042</v>
      </c>
    </row>
    <row r="4108" spans="11:13" x14ac:dyDescent="0.25">
      <c r="K4108" s="26" t="s">
        <v>112</v>
      </c>
      <c r="L4108" s="27" t="s">
        <v>116</v>
      </c>
      <c r="M4108" s="10">
        <v>154.03573629081947</v>
      </c>
    </row>
    <row r="4109" spans="11:13" x14ac:dyDescent="0.25">
      <c r="K4109" s="26" t="s">
        <v>112</v>
      </c>
      <c r="L4109" s="27" t="s">
        <v>117</v>
      </c>
      <c r="M4109" s="10">
        <v>154.03573629081947</v>
      </c>
    </row>
    <row r="4110" spans="11:13" x14ac:dyDescent="0.25">
      <c r="K4110" s="26" t="s">
        <v>112</v>
      </c>
      <c r="L4110" s="27" t="s">
        <v>118</v>
      </c>
      <c r="M4110" s="10">
        <v>7.4429355157837938</v>
      </c>
    </row>
    <row r="4111" spans="11:13" x14ac:dyDescent="0.25">
      <c r="K4111" s="26" t="s">
        <v>112</v>
      </c>
      <c r="L4111" s="27" t="s">
        <v>119</v>
      </c>
      <c r="M4111" s="10">
        <v>8.5978835978835981</v>
      </c>
    </row>
    <row r="4112" spans="11:13" x14ac:dyDescent="0.25">
      <c r="K4112" s="26" t="s">
        <v>112</v>
      </c>
      <c r="L4112" s="27" t="s">
        <v>115</v>
      </c>
      <c r="M4112" s="10">
        <v>27.576697690451567</v>
      </c>
    </row>
    <row r="4113" spans="11:13" x14ac:dyDescent="0.25">
      <c r="K4113" s="26" t="s">
        <v>112</v>
      </c>
      <c r="L4113" s="27" t="s">
        <v>116</v>
      </c>
      <c r="M4113" s="10">
        <v>68.941744226128904</v>
      </c>
    </row>
    <row r="4114" spans="11:13" x14ac:dyDescent="0.25">
      <c r="K4114" s="26" t="s">
        <v>112</v>
      </c>
      <c r="L4114" s="27" t="s">
        <v>117</v>
      </c>
      <c r="M4114" s="10">
        <v>45.792997334847563</v>
      </c>
    </row>
    <row r="4115" spans="11:13" x14ac:dyDescent="0.25">
      <c r="K4115" s="26" t="s">
        <v>112</v>
      </c>
      <c r="L4115" s="27" t="s">
        <v>118</v>
      </c>
      <c r="M4115" s="10">
        <v>48.259220958290243</v>
      </c>
    </row>
    <row r="4116" spans="11:13" x14ac:dyDescent="0.25">
      <c r="K4116" s="26" t="s">
        <v>112</v>
      </c>
      <c r="L4116" s="27" t="s">
        <v>119</v>
      </c>
      <c r="M4116" s="10">
        <v>68.941744226128904</v>
      </c>
    </row>
    <row r="4117" spans="11:13" x14ac:dyDescent="0.25">
      <c r="K4117" s="26" t="s">
        <v>112</v>
      </c>
      <c r="L4117" s="27" t="s">
        <v>115</v>
      </c>
      <c r="M4117" s="10">
        <v>22.045855379188712</v>
      </c>
    </row>
    <row r="4118" spans="11:13" x14ac:dyDescent="0.25">
      <c r="K4118" s="26" t="s">
        <v>112</v>
      </c>
      <c r="L4118" s="27" t="s">
        <v>116</v>
      </c>
      <c r="M4118" s="10">
        <v>1410.9347442680776</v>
      </c>
    </row>
    <row r="4119" spans="11:13" x14ac:dyDescent="0.25">
      <c r="K4119" s="26" t="s">
        <v>112</v>
      </c>
      <c r="L4119" s="27" t="s">
        <v>117</v>
      </c>
      <c r="M4119" s="10">
        <v>661.37566137566137</v>
      </c>
    </row>
    <row r="4120" spans="11:13" x14ac:dyDescent="0.25">
      <c r="K4120" s="26" t="s">
        <v>112</v>
      </c>
      <c r="L4120" s="27" t="s">
        <v>118</v>
      </c>
      <c r="M4120" s="10">
        <v>30</v>
      </c>
    </row>
    <row r="4121" spans="11:13" x14ac:dyDescent="0.25">
      <c r="K4121" s="26" t="s">
        <v>112</v>
      </c>
      <c r="L4121" s="27" t="s">
        <v>119</v>
      </c>
      <c r="M4121" s="10">
        <v>66.137566137566139</v>
      </c>
    </row>
    <row r="4122" spans="11:13" x14ac:dyDescent="0.25">
      <c r="K4122" s="26" t="s">
        <v>113</v>
      </c>
      <c r="L4122" s="27" t="s">
        <v>115</v>
      </c>
      <c r="M4122" s="10">
        <v>66.137566137566139</v>
      </c>
    </row>
    <row r="4123" spans="11:13" x14ac:dyDescent="0.25">
      <c r="K4123" s="26" t="s">
        <v>109</v>
      </c>
      <c r="L4123" s="27" t="s">
        <v>116</v>
      </c>
      <c r="M4123" s="10">
        <v>110.22927689594357</v>
      </c>
    </row>
    <row r="4124" spans="11:13" x14ac:dyDescent="0.25">
      <c r="K4124" s="26" t="s">
        <v>110</v>
      </c>
      <c r="L4124" s="27" t="s">
        <v>117</v>
      </c>
      <c r="M4124" s="10">
        <v>66.137566137566139</v>
      </c>
    </row>
    <row r="4125" spans="11:13" x14ac:dyDescent="0.25">
      <c r="K4125" s="26" t="s">
        <v>112</v>
      </c>
      <c r="L4125" s="27" t="s">
        <v>118</v>
      </c>
      <c r="M4125" s="10">
        <v>66.137566137566139</v>
      </c>
    </row>
    <row r="4126" spans="11:13" x14ac:dyDescent="0.25">
      <c r="K4126" s="26" t="s">
        <v>112</v>
      </c>
      <c r="L4126" s="27" t="s">
        <v>119</v>
      </c>
      <c r="M4126" s="10">
        <v>66.137566137566139</v>
      </c>
    </row>
    <row r="4127" spans="11:13" x14ac:dyDescent="0.25">
      <c r="K4127" s="26" t="s">
        <v>112</v>
      </c>
      <c r="L4127" s="27" t="s">
        <v>115</v>
      </c>
      <c r="M4127" s="10">
        <v>66.137566137566139</v>
      </c>
    </row>
    <row r="4128" spans="11:13" x14ac:dyDescent="0.25">
      <c r="K4128" s="26" t="s">
        <v>112</v>
      </c>
      <c r="L4128" s="27" t="s">
        <v>116</v>
      </c>
      <c r="M4128" s="10">
        <v>66.137566137566139</v>
      </c>
    </row>
    <row r="4129" spans="11:13" x14ac:dyDescent="0.25">
      <c r="K4129" s="26" t="s">
        <v>112</v>
      </c>
      <c r="L4129" s="27" t="s">
        <v>117</v>
      </c>
      <c r="M4129" s="10">
        <v>269.99229821318545</v>
      </c>
    </row>
    <row r="4130" spans="11:13" x14ac:dyDescent="0.25">
      <c r="K4130" s="26" t="s">
        <v>112</v>
      </c>
      <c r="L4130" s="27" t="s">
        <v>118</v>
      </c>
      <c r="M4130" s="10">
        <v>100</v>
      </c>
    </row>
    <row r="4131" spans="11:13" x14ac:dyDescent="0.25">
      <c r="K4131" s="26" t="s">
        <v>112</v>
      </c>
      <c r="L4131" s="27" t="s">
        <v>119</v>
      </c>
      <c r="M4131" s="10">
        <v>36.0810405643739</v>
      </c>
    </row>
    <row r="4132" spans="11:13" x14ac:dyDescent="0.25">
      <c r="K4132" s="26" t="s">
        <v>112</v>
      </c>
      <c r="L4132" s="27" t="s">
        <v>115</v>
      </c>
      <c r="M4132" s="10">
        <v>80</v>
      </c>
    </row>
    <row r="4133" spans="11:13" x14ac:dyDescent="0.25">
      <c r="K4133" s="26" t="s">
        <v>112</v>
      </c>
      <c r="L4133" s="27" t="s">
        <v>116</v>
      </c>
      <c r="M4133" s="10">
        <v>100</v>
      </c>
    </row>
    <row r="4134" spans="11:13" x14ac:dyDescent="0.25">
      <c r="K4134" s="26" t="s">
        <v>112</v>
      </c>
      <c r="L4134" s="27" t="s">
        <v>117</v>
      </c>
      <c r="M4134" s="10">
        <v>110.22927689594357</v>
      </c>
    </row>
    <row r="4135" spans="11:13" x14ac:dyDescent="0.25">
      <c r="K4135" s="26" t="s">
        <v>112</v>
      </c>
      <c r="L4135" s="27" t="s">
        <v>118</v>
      </c>
      <c r="M4135" s="10">
        <v>220.45855379188714</v>
      </c>
    </row>
    <row r="4136" spans="11:13" x14ac:dyDescent="0.25">
      <c r="K4136" s="26" t="s">
        <v>112</v>
      </c>
      <c r="L4136" s="27" t="s">
        <v>119</v>
      </c>
      <c r="M4136" s="10">
        <v>12.848020762401553</v>
      </c>
    </row>
    <row r="4137" spans="11:13" x14ac:dyDescent="0.25">
      <c r="K4137" s="26" t="s">
        <v>112</v>
      </c>
      <c r="L4137" s="27" t="s">
        <v>115</v>
      </c>
      <c r="M4137" s="10">
        <v>77.160493827160494</v>
      </c>
    </row>
    <row r="4138" spans="11:13" x14ac:dyDescent="0.25">
      <c r="K4138" s="26" t="s">
        <v>112</v>
      </c>
      <c r="L4138" s="27" t="s">
        <v>116</v>
      </c>
      <c r="M4138" s="10">
        <v>6.8939221117810012</v>
      </c>
    </row>
    <row r="4139" spans="11:13" x14ac:dyDescent="0.25">
      <c r="K4139" s="26" t="s">
        <v>112</v>
      </c>
      <c r="L4139" s="27" t="s">
        <v>117</v>
      </c>
      <c r="M4139" s="10">
        <v>379.14290369887567</v>
      </c>
    </row>
    <row r="4140" spans="11:13" x14ac:dyDescent="0.25">
      <c r="K4140" s="26" t="s">
        <v>112</v>
      </c>
      <c r="L4140" s="27" t="s">
        <v>118</v>
      </c>
      <c r="M4140" s="10">
        <v>6.8939221117810012</v>
      </c>
    </row>
    <row r="4141" spans="11:13" x14ac:dyDescent="0.25">
      <c r="K4141" s="26" t="s">
        <v>112</v>
      </c>
      <c r="L4141" s="27" t="s">
        <v>119</v>
      </c>
      <c r="M4141" s="10">
        <v>17.993795243019648</v>
      </c>
    </row>
    <row r="4142" spans="11:13" x14ac:dyDescent="0.25">
      <c r="K4142" s="26" t="s">
        <v>112</v>
      </c>
      <c r="L4142" s="27" t="s">
        <v>115</v>
      </c>
      <c r="M4142" s="10">
        <v>34.470872113064452</v>
      </c>
    </row>
    <row r="4143" spans="11:13" x14ac:dyDescent="0.25">
      <c r="K4143" s="26" t="s">
        <v>113</v>
      </c>
      <c r="L4143" s="27" t="s">
        <v>116</v>
      </c>
      <c r="M4143" s="10">
        <v>689.41744226128924</v>
      </c>
    </row>
    <row r="4144" spans="11:13" x14ac:dyDescent="0.25">
      <c r="K4144" s="26" t="s">
        <v>110</v>
      </c>
      <c r="L4144" s="27" t="s">
        <v>117</v>
      </c>
      <c r="M4144" s="10">
        <v>5.2395725611857982</v>
      </c>
    </row>
    <row r="4145" spans="11:13" x14ac:dyDescent="0.25">
      <c r="K4145" s="26" t="s">
        <v>112</v>
      </c>
      <c r="L4145" s="27" t="s">
        <v>118</v>
      </c>
      <c r="M4145" s="10">
        <v>7.4128984432913265</v>
      </c>
    </row>
    <row r="4146" spans="11:13" x14ac:dyDescent="0.25">
      <c r="K4146" s="26" t="s">
        <v>112</v>
      </c>
      <c r="L4146" s="27" t="s">
        <v>119</v>
      </c>
      <c r="M4146" s="10">
        <v>11.022927689594356</v>
      </c>
    </row>
    <row r="4147" spans="11:13" x14ac:dyDescent="0.25">
      <c r="K4147" s="26" t="s">
        <v>112</v>
      </c>
      <c r="L4147" s="27" t="s">
        <v>115</v>
      </c>
      <c r="M4147" s="10">
        <v>35.273368606701936</v>
      </c>
    </row>
    <row r="4148" spans="11:13" x14ac:dyDescent="0.25">
      <c r="K4148" s="26" t="s">
        <v>112</v>
      </c>
      <c r="L4148" s="27" t="s">
        <v>116</v>
      </c>
      <c r="M4148" s="10">
        <v>15.403573629081947</v>
      </c>
    </row>
    <row r="4149" spans="11:13" x14ac:dyDescent="0.25">
      <c r="K4149" s="26" t="s">
        <v>112</v>
      </c>
      <c r="L4149" s="27" t="s">
        <v>117</v>
      </c>
      <c r="M4149" s="10">
        <v>9.1585994669695125</v>
      </c>
    </row>
    <row r="4150" spans="11:13" x14ac:dyDescent="0.25">
      <c r="K4150" s="26" t="s">
        <v>112</v>
      </c>
      <c r="L4150" s="27" t="s">
        <v>118</v>
      </c>
      <c r="M4150" s="10">
        <v>45.792997334847563</v>
      </c>
    </row>
    <row r="4151" spans="11:13" x14ac:dyDescent="0.25">
      <c r="K4151" s="26" t="s">
        <v>112</v>
      </c>
      <c r="L4151" s="27" t="s">
        <v>119</v>
      </c>
      <c r="M4151" s="10">
        <v>45.792997334847563</v>
      </c>
    </row>
    <row r="4152" spans="11:13" x14ac:dyDescent="0.25">
      <c r="K4152" s="26" t="s">
        <v>112</v>
      </c>
      <c r="L4152" s="27" t="s">
        <v>115</v>
      </c>
      <c r="M4152" s="10">
        <v>109.90319360363415</v>
      </c>
    </row>
    <row r="4153" spans="11:13" x14ac:dyDescent="0.25">
      <c r="K4153" s="26" t="s">
        <v>112</v>
      </c>
      <c r="L4153" s="27" t="s">
        <v>116</v>
      </c>
      <c r="M4153" s="10">
        <v>80</v>
      </c>
    </row>
    <row r="4154" spans="11:13" x14ac:dyDescent="0.25">
      <c r="K4154" s="26" t="s">
        <v>112</v>
      </c>
      <c r="L4154" s="27" t="s">
        <v>117</v>
      </c>
      <c r="M4154" s="10">
        <v>91.585994669695125</v>
      </c>
    </row>
    <row r="4155" spans="11:13" x14ac:dyDescent="0.25">
      <c r="K4155" s="26" t="s">
        <v>112</v>
      </c>
      <c r="L4155" s="27" t="s">
        <v>118</v>
      </c>
      <c r="M4155" s="10">
        <v>183.17198933939025</v>
      </c>
    </row>
    <row r="4156" spans="11:13" x14ac:dyDescent="0.25">
      <c r="K4156" s="26" t="s">
        <v>112</v>
      </c>
      <c r="L4156" s="27" t="s">
        <v>119</v>
      </c>
      <c r="M4156" s="10">
        <v>45.792997334847563</v>
      </c>
    </row>
    <row r="4157" spans="11:13" x14ac:dyDescent="0.25">
      <c r="K4157" s="26" t="s">
        <v>112</v>
      </c>
      <c r="L4157" s="27" t="s">
        <v>115</v>
      </c>
      <c r="M4157" s="10">
        <v>79.026792332945035</v>
      </c>
    </row>
    <row r="4158" spans="11:13" x14ac:dyDescent="0.25">
      <c r="K4158" s="26" t="s">
        <v>112</v>
      </c>
      <c r="L4158" s="27" t="s">
        <v>116</v>
      </c>
      <c r="M4158" s="10">
        <v>52.949274594938046</v>
      </c>
    </row>
    <row r="4159" spans="11:13" x14ac:dyDescent="0.25">
      <c r="K4159" s="26" t="s">
        <v>112</v>
      </c>
      <c r="L4159" s="27" t="s">
        <v>117</v>
      </c>
      <c r="M4159" s="10">
        <v>7.4128984432913265</v>
      </c>
    </row>
    <row r="4160" spans="11:13" x14ac:dyDescent="0.25">
      <c r="K4160" s="26" t="s">
        <v>112</v>
      </c>
      <c r="L4160" s="27" t="s">
        <v>118</v>
      </c>
      <c r="M4160" s="10">
        <v>64</v>
      </c>
    </row>
    <row r="4161" spans="11:13" x14ac:dyDescent="0.25">
      <c r="K4161" s="26" t="s">
        <v>112</v>
      </c>
      <c r="L4161" s="27" t="s">
        <v>119</v>
      </c>
      <c r="M4161" s="10">
        <v>66.137566137566139</v>
      </c>
    </row>
    <row r="4162" spans="11:13" x14ac:dyDescent="0.25">
      <c r="K4162" s="26" t="s">
        <v>112</v>
      </c>
      <c r="L4162" s="27" t="s">
        <v>115</v>
      </c>
      <c r="M4162" s="10">
        <v>66.137566137566139</v>
      </c>
    </row>
    <row r="4163" spans="11:13" x14ac:dyDescent="0.25">
      <c r="K4163" s="26" t="s">
        <v>112</v>
      </c>
      <c r="L4163" s="27" t="s">
        <v>116</v>
      </c>
      <c r="M4163" s="10">
        <v>66.137566137566139</v>
      </c>
    </row>
    <row r="4164" spans="11:13" x14ac:dyDescent="0.25">
      <c r="K4164" s="26" t="s">
        <v>112</v>
      </c>
      <c r="L4164" s="27" t="s">
        <v>117</v>
      </c>
      <c r="M4164" s="10">
        <v>110.22927689594357</v>
      </c>
    </row>
    <row r="4165" spans="11:13" x14ac:dyDescent="0.25">
      <c r="K4165" s="26" t="s">
        <v>112</v>
      </c>
      <c r="L4165" s="27" t="s">
        <v>118</v>
      </c>
      <c r="M4165" s="10">
        <v>66.137566137566139</v>
      </c>
    </row>
    <row r="4166" spans="11:13" x14ac:dyDescent="0.25">
      <c r="K4166" s="26" t="s">
        <v>112</v>
      </c>
      <c r="L4166" s="27" t="s">
        <v>119</v>
      </c>
      <c r="M4166" s="10">
        <v>385.44062287204662</v>
      </c>
    </row>
    <row r="4167" spans="11:13" x14ac:dyDescent="0.25">
      <c r="K4167" s="26" t="s">
        <v>112</v>
      </c>
      <c r="L4167" s="27" t="s">
        <v>115</v>
      </c>
      <c r="M4167" s="10">
        <v>55.114638447971785</v>
      </c>
    </row>
    <row r="4168" spans="11:13" x14ac:dyDescent="0.25">
      <c r="K4168" s="26" t="s">
        <v>112</v>
      </c>
      <c r="L4168" s="27" t="s">
        <v>116</v>
      </c>
      <c r="M4168" s="10">
        <v>40.515355319666149</v>
      </c>
    </row>
    <row r="4169" spans="11:13" x14ac:dyDescent="0.25">
      <c r="K4169" s="26" t="s">
        <v>112</v>
      </c>
      <c r="L4169" s="27" t="s">
        <v>117</v>
      </c>
      <c r="M4169" s="10">
        <v>88.183421516754848</v>
      </c>
    </row>
    <row r="4170" spans="11:13" x14ac:dyDescent="0.25">
      <c r="K4170" s="26" t="s">
        <v>112</v>
      </c>
      <c r="L4170" s="27" t="s">
        <v>118</v>
      </c>
      <c r="M4170" s="10">
        <v>55.114638447971785</v>
      </c>
    </row>
    <row r="4171" spans="11:13" x14ac:dyDescent="0.25">
      <c r="K4171" s="26" t="s">
        <v>112</v>
      </c>
      <c r="L4171" s="27" t="s">
        <v>119</v>
      </c>
      <c r="M4171" s="10">
        <v>167.02426991122019</v>
      </c>
    </row>
    <row r="4172" spans="11:13" x14ac:dyDescent="0.25">
      <c r="K4172" s="26" t="s">
        <v>112</v>
      </c>
      <c r="L4172" s="27" t="s">
        <v>115</v>
      </c>
      <c r="M4172" s="10">
        <v>164.52022611659876</v>
      </c>
    </row>
    <row r="4173" spans="11:13" x14ac:dyDescent="0.25">
      <c r="K4173" s="26" t="s">
        <v>112</v>
      </c>
      <c r="L4173" s="27" t="s">
        <v>116</v>
      </c>
      <c r="M4173" s="10">
        <v>69.241581334395434</v>
      </c>
    </row>
    <row r="4174" spans="11:13" x14ac:dyDescent="0.25">
      <c r="K4174" s="26" t="s">
        <v>112</v>
      </c>
      <c r="L4174" s="27" t="s">
        <v>117</v>
      </c>
      <c r="M4174" s="10">
        <v>77.160493827160494</v>
      </c>
    </row>
    <row r="4175" spans="11:13" x14ac:dyDescent="0.25">
      <c r="K4175" s="26" t="s">
        <v>112</v>
      </c>
      <c r="L4175" s="27" t="s">
        <v>118</v>
      </c>
      <c r="M4175" s="10">
        <v>44.091710758377424</v>
      </c>
    </row>
    <row r="4176" spans="11:13" x14ac:dyDescent="0.25">
      <c r="K4176" s="26" t="s">
        <v>113</v>
      </c>
      <c r="L4176" s="27" t="s">
        <v>119</v>
      </c>
      <c r="M4176" s="10">
        <v>41.365046535677351</v>
      </c>
    </row>
    <row r="4177" spans="11:13" x14ac:dyDescent="0.25">
      <c r="K4177" s="26" t="s">
        <v>113</v>
      </c>
      <c r="L4177" s="27" t="s">
        <v>115</v>
      </c>
      <c r="M4177" s="10">
        <v>344.70872113064462</v>
      </c>
    </row>
    <row r="4178" spans="11:13" x14ac:dyDescent="0.25">
      <c r="K4178" s="26" t="s">
        <v>112</v>
      </c>
      <c r="L4178" s="27" t="s">
        <v>116</v>
      </c>
      <c r="M4178" s="10">
        <v>165.34391534391534</v>
      </c>
    </row>
    <row r="4179" spans="11:13" x14ac:dyDescent="0.25">
      <c r="K4179" s="26" t="s">
        <v>112</v>
      </c>
      <c r="L4179" s="27" t="s">
        <v>117</v>
      </c>
      <c r="M4179" s="10">
        <v>61.614294516327789</v>
      </c>
    </row>
    <row r="4180" spans="11:13" x14ac:dyDescent="0.25">
      <c r="K4180" s="26" t="s">
        <v>112</v>
      </c>
      <c r="L4180" s="27" t="s">
        <v>118</v>
      </c>
      <c r="M4180" s="10">
        <v>308.07147258163894</v>
      </c>
    </row>
    <row r="4181" spans="11:13" x14ac:dyDescent="0.25">
      <c r="K4181" s="26" t="s">
        <v>112</v>
      </c>
      <c r="L4181" s="27" t="s">
        <v>119</v>
      </c>
      <c r="M4181" s="10">
        <v>154.03573629081947</v>
      </c>
    </row>
    <row r="4182" spans="11:13" x14ac:dyDescent="0.25">
      <c r="K4182" s="26" t="s">
        <v>112</v>
      </c>
      <c r="L4182" s="27" t="s">
        <v>115</v>
      </c>
      <c r="M4182" s="10">
        <v>194.64751455038353</v>
      </c>
    </row>
    <row r="4183" spans="11:13" x14ac:dyDescent="0.25">
      <c r="K4183" s="26" t="s">
        <v>112</v>
      </c>
      <c r="L4183" s="27" t="s">
        <v>116</v>
      </c>
      <c r="M4183" s="10">
        <v>123.22858903265558</v>
      </c>
    </row>
    <row r="4184" spans="11:13" x14ac:dyDescent="0.25">
      <c r="K4184" s="26" t="s">
        <v>112</v>
      </c>
      <c r="L4184" s="27" t="s">
        <v>117</v>
      </c>
      <c r="M4184" s="10">
        <v>18.957145184943784</v>
      </c>
    </row>
    <row r="4185" spans="11:13" x14ac:dyDescent="0.25">
      <c r="K4185" s="26" t="s">
        <v>112</v>
      </c>
      <c r="L4185" s="27" t="s">
        <v>118</v>
      </c>
      <c r="M4185" s="10">
        <v>391.73686067019401</v>
      </c>
    </row>
    <row r="4186" spans="11:13" x14ac:dyDescent="0.25">
      <c r="K4186" s="26" t="s">
        <v>112</v>
      </c>
      <c r="L4186" s="27" t="s">
        <v>119</v>
      </c>
      <c r="M4186" s="10">
        <v>33.06878306878307</v>
      </c>
    </row>
    <row r="4187" spans="11:13" x14ac:dyDescent="0.25">
      <c r="K4187" s="26" t="s">
        <v>112</v>
      </c>
      <c r="L4187" s="27" t="s">
        <v>115</v>
      </c>
      <c r="M4187" s="10">
        <v>435.61906962415281</v>
      </c>
    </row>
    <row r="4188" spans="11:13" x14ac:dyDescent="0.25">
      <c r="K4188" s="26" t="s">
        <v>112</v>
      </c>
      <c r="L4188" s="27" t="s">
        <v>116</v>
      </c>
      <c r="M4188" s="10">
        <v>220.45855379188714</v>
      </c>
    </row>
    <row r="4189" spans="11:13" x14ac:dyDescent="0.25">
      <c r="K4189" s="26" t="s">
        <v>112</v>
      </c>
      <c r="L4189" s="27" t="s">
        <v>117</v>
      </c>
      <c r="M4189" s="10">
        <v>1.8077601410934742E-5</v>
      </c>
    </row>
    <row r="4190" spans="11:13" x14ac:dyDescent="0.25">
      <c r="K4190" s="26" t="s">
        <v>112</v>
      </c>
      <c r="L4190" s="27" t="s">
        <v>118</v>
      </c>
      <c r="M4190" s="10">
        <v>107.93678474831697</v>
      </c>
    </row>
    <row r="4191" spans="11:13" x14ac:dyDescent="0.25">
      <c r="K4191" s="26" t="s">
        <v>112</v>
      </c>
      <c r="L4191" s="27" t="s">
        <v>119</v>
      </c>
      <c r="M4191" s="10">
        <v>105.89854918987609</v>
      </c>
    </row>
    <row r="4192" spans="11:13" x14ac:dyDescent="0.25">
      <c r="K4192" s="26" t="s">
        <v>112</v>
      </c>
      <c r="L4192" s="27" t="s">
        <v>115</v>
      </c>
      <c r="M4192" s="10">
        <v>176.3668430335097</v>
      </c>
    </row>
    <row r="4193" spans="11:13" x14ac:dyDescent="0.25">
      <c r="K4193" s="26" t="s">
        <v>112</v>
      </c>
      <c r="L4193" s="27" t="s">
        <v>116</v>
      </c>
      <c r="M4193" s="10">
        <v>220.45855379188714</v>
      </c>
    </row>
    <row r="4194" spans="11:13" x14ac:dyDescent="0.25">
      <c r="K4194" s="26" t="s">
        <v>112</v>
      </c>
      <c r="L4194" s="27" t="s">
        <v>117</v>
      </c>
      <c r="M4194" s="10">
        <v>154.32098765432099</v>
      </c>
    </row>
    <row r="4195" spans="11:13" x14ac:dyDescent="0.25">
      <c r="K4195" s="26" t="s">
        <v>112</v>
      </c>
      <c r="L4195" s="27" t="s">
        <v>118</v>
      </c>
      <c r="M4195" s="10">
        <v>154.32098765432099</v>
      </c>
    </row>
    <row r="4196" spans="11:13" x14ac:dyDescent="0.25">
      <c r="K4196" s="26" t="s">
        <v>112</v>
      </c>
      <c r="L4196" s="27" t="s">
        <v>119</v>
      </c>
      <c r="M4196" s="10">
        <v>154.32098765432099</v>
      </c>
    </row>
    <row r="4197" spans="11:13" x14ac:dyDescent="0.25">
      <c r="K4197" s="26" t="s">
        <v>112</v>
      </c>
      <c r="L4197" s="27" t="s">
        <v>115</v>
      </c>
      <c r="M4197" s="10">
        <v>46.957671957671955</v>
      </c>
    </row>
    <row r="4198" spans="11:13" x14ac:dyDescent="0.25">
      <c r="K4198" s="26" t="s">
        <v>112</v>
      </c>
      <c r="L4198" s="27" t="s">
        <v>116</v>
      </c>
      <c r="M4198" s="10">
        <v>0.88183421516754856</v>
      </c>
    </row>
    <row r="4199" spans="11:13" x14ac:dyDescent="0.25">
      <c r="K4199" s="26" t="s">
        <v>112</v>
      </c>
      <c r="L4199" s="27" t="s">
        <v>117</v>
      </c>
      <c r="M4199" s="10">
        <v>100</v>
      </c>
    </row>
    <row r="4200" spans="11:13" x14ac:dyDescent="0.25">
      <c r="K4200" s="26" t="s">
        <v>112</v>
      </c>
      <c r="L4200" s="27" t="s">
        <v>118</v>
      </c>
      <c r="M4200" s="10">
        <v>30</v>
      </c>
    </row>
    <row r="4201" spans="11:13" x14ac:dyDescent="0.25">
      <c r="K4201" s="26" t="s">
        <v>112</v>
      </c>
      <c r="L4201" s="27" t="s">
        <v>119</v>
      </c>
      <c r="M4201" s="10">
        <v>176.3668430335097</v>
      </c>
    </row>
    <row r="4202" spans="11:13" x14ac:dyDescent="0.25">
      <c r="K4202" s="26" t="s">
        <v>112</v>
      </c>
      <c r="L4202" s="27" t="s">
        <v>115</v>
      </c>
      <c r="M4202" s="10">
        <v>70.546737213403873</v>
      </c>
    </row>
    <row r="4203" spans="11:13" x14ac:dyDescent="0.25">
      <c r="K4203" s="26" t="s">
        <v>112</v>
      </c>
      <c r="L4203" s="27" t="s">
        <v>116</v>
      </c>
      <c r="M4203" s="10">
        <v>220.45855379188714</v>
      </c>
    </row>
    <row r="4204" spans="11:13" x14ac:dyDescent="0.25">
      <c r="K4204" s="26" t="s">
        <v>112</v>
      </c>
      <c r="L4204" s="27" t="s">
        <v>117</v>
      </c>
      <c r="M4204" s="10">
        <v>132.27513227513228</v>
      </c>
    </row>
    <row r="4205" spans="11:13" x14ac:dyDescent="0.25">
      <c r="K4205" s="26" t="s">
        <v>112</v>
      </c>
      <c r="L4205" s="27" t="s">
        <v>118</v>
      </c>
      <c r="M4205" s="10">
        <v>38.54406228720466</v>
      </c>
    </row>
    <row r="4206" spans="11:13" x14ac:dyDescent="0.25">
      <c r="K4206" s="26" t="s">
        <v>112</v>
      </c>
      <c r="L4206" s="27" t="s">
        <v>119</v>
      </c>
      <c r="M4206" s="10">
        <v>200.61728395061726</v>
      </c>
    </row>
    <row r="4207" spans="11:13" x14ac:dyDescent="0.25">
      <c r="K4207" s="26" t="s">
        <v>112</v>
      </c>
      <c r="L4207" s="27" t="s">
        <v>115</v>
      </c>
      <c r="M4207" s="10">
        <v>66.137566137566139</v>
      </c>
    </row>
    <row r="4208" spans="11:13" x14ac:dyDescent="0.25">
      <c r="K4208" s="26" t="s">
        <v>112</v>
      </c>
      <c r="L4208" s="27" t="s">
        <v>116</v>
      </c>
      <c r="M4208" s="10">
        <v>104.74430067775724</v>
      </c>
    </row>
    <row r="4209" spans="11:13" x14ac:dyDescent="0.25">
      <c r="K4209" s="26" t="s">
        <v>112</v>
      </c>
      <c r="L4209" s="27" t="s">
        <v>117</v>
      </c>
      <c r="M4209" s="10">
        <v>61.614294516327789</v>
      </c>
    </row>
    <row r="4210" spans="11:13" x14ac:dyDescent="0.25">
      <c r="K4210" s="26" t="s">
        <v>112</v>
      </c>
      <c r="L4210" s="27" t="s">
        <v>118</v>
      </c>
      <c r="M4210" s="10">
        <v>10.341261633919338</v>
      </c>
    </row>
    <row r="4211" spans="11:13" x14ac:dyDescent="0.25">
      <c r="K4211" s="26" t="s">
        <v>112</v>
      </c>
      <c r="L4211" s="27" t="s">
        <v>119</v>
      </c>
      <c r="M4211" s="10">
        <v>308.07147258163894</v>
      </c>
    </row>
    <row r="4212" spans="11:13" x14ac:dyDescent="0.25">
      <c r="K4212" s="26" t="s">
        <v>113</v>
      </c>
      <c r="L4212" s="27" t="s">
        <v>115</v>
      </c>
      <c r="M4212" s="10">
        <v>107.70596346087555</v>
      </c>
    </row>
    <row r="4213" spans="11:13" x14ac:dyDescent="0.25">
      <c r="K4213" s="26" t="s">
        <v>112</v>
      </c>
      <c r="L4213" s="27" t="s">
        <v>116</v>
      </c>
      <c r="M4213" s="10">
        <v>385.08934072704869</v>
      </c>
    </row>
    <row r="4214" spans="11:13" x14ac:dyDescent="0.25">
      <c r="K4214" s="26" t="s">
        <v>113</v>
      </c>
      <c r="L4214" s="27" t="s">
        <v>117</v>
      </c>
      <c r="M4214" s="10">
        <v>462.10720887245844</v>
      </c>
    </row>
    <row r="4215" spans="11:13" x14ac:dyDescent="0.25">
      <c r="K4215" s="26" t="s">
        <v>113</v>
      </c>
      <c r="L4215" s="27" t="s">
        <v>118</v>
      </c>
      <c r="M4215" s="10">
        <v>79.283005860048263</v>
      </c>
    </row>
    <row r="4216" spans="11:13" x14ac:dyDescent="0.25">
      <c r="K4216" s="26" t="s">
        <v>109</v>
      </c>
      <c r="L4216" s="27" t="s">
        <v>119</v>
      </c>
      <c r="M4216" s="10">
        <v>40.515355319666149</v>
      </c>
    </row>
    <row r="4217" spans="11:13" x14ac:dyDescent="0.25">
      <c r="K4217" s="26" t="s">
        <v>112</v>
      </c>
      <c r="L4217" s="27" t="s">
        <v>115</v>
      </c>
      <c r="M4217" s="10">
        <v>54.951596801817075</v>
      </c>
    </row>
    <row r="4218" spans="11:13" x14ac:dyDescent="0.25">
      <c r="K4218" s="26" t="s">
        <v>112</v>
      </c>
      <c r="L4218" s="27" t="s">
        <v>116</v>
      </c>
      <c r="M4218" s="10">
        <v>183.17198933939025</v>
      </c>
    </row>
    <row r="4219" spans="11:13" x14ac:dyDescent="0.25">
      <c r="K4219" s="26" t="s">
        <v>112</v>
      </c>
      <c r="L4219" s="27" t="s">
        <v>117</v>
      </c>
      <c r="M4219" s="10">
        <v>164.85479040545121</v>
      </c>
    </row>
    <row r="4220" spans="11:13" x14ac:dyDescent="0.25">
      <c r="K4220" s="26" t="s">
        <v>112</v>
      </c>
      <c r="L4220" s="27" t="s">
        <v>118</v>
      </c>
      <c r="M4220" s="10">
        <v>53.912507701786815</v>
      </c>
    </row>
    <row r="4221" spans="11:13" x14ac:dyDescent="0.25">
      <c r="K4221" s="26" t="s">
        <v>112</v>
      </c>
      <c r="L4221" s="27" t="s">
        <v>119</v>
      </c>
      <c r="M4221" s="10">
        <v>231.05360443622922</v>
      </c>
    </row>
    <row r="4222" spans="11:13" x14ac:dyDescent="0.25">
      <c r="K4222" s="26" t="s">
        <v>112</v>
      </c>
      <c r="L4222" s="27" t="s">
        <v>115</v>
      </c>
      <c r="M4222" s="10">
        <v>77.017868145409736</v>
      </c>
    </row>
    <row r="4223" spans="11:13" x14ac:dyDescent="0.25">
      <c r="K4223" s="26" t="s">
        <v>112</v>
      </c>
      <c r="L4223" s="27" t="s">
        <v>116</v>
      </c>
      <c r="M4223" s="10">
        <v>440.91710758377428</v>
      </c>
    </row>
    <row r="4224" spans="11:13" x14ac:dyDescent="0.25">
      <c r="K4224" s="26" t="s">
        <v>112</v>
      </c>
      <c r="L4224" s="27" t="s">
        <v>117</v>
      </c>
      <c r="M4224" s="10">
        <v>52.949274594938046</v>
      </c>
    </row>
    <row r="4225" spans="11:13" x14ac:dyDescent="0.25">
      <c r="K4225" s="26" t="s">
        <v>112</v>
      </c>
      <c r="L4225" s="27" t="s">
        <v>118</v>
      </c>
      <c r="M4225" s="10">
        <v>100</v>
      </c>
    </row>
    <row r="4226" spans="11:13" x14ac:dyDescent="0.25">
      <c r="K4226" s="26" t="s">
        <v>112</v>
      </c>
      <c r="L4226" s="27" t="s">
        <v>119</v>
      </c>
      <c r="M4226" s="10">
        <v>50</v>
      </c>
    </row>
    <row r="4227" spans="11:13" x14ac:dyDescent="0.25">
      <c r="K4227" s="26" t="s">
        <v>112</v>
      </c>
      <c r="L4227" s="27" t="s">
        <v>115</v>
      </c>
      <c r="M4227" s="10">
        <v>154.03573629081947</v>
      </c>
    </row>
    <row r="4228" spans="11:13" x14ac:dyDescent="0.25">
      <c r="K4228" s="26" t="s">
        <v>112</v>
      </c>
      <c r="L4228" s="27" t="s">
        <v>116</v>
      </c>
      <c r="M4228" s="10">
        <v>231.05360443622922</v>
      </c>
    </row>
    <row r="4229" spans="11:13" x14ac:dyDescent="0.25">
      <c r="K4229" s="26" t="s">
        <v>112</v>
      </c>
      <c r="L4229" s="27" t="s">
        <v>117</v>
      </c>
      <c r="M4229" s="10">
        <v>154.03573629081947</v>
      </c>
    </row>
    <row r="4230" spans="11:13" x14ac:dyDescent="0.25">
      <c r="K4230" s="26" t="s">
        <v>112</v>
      </c>
      <c r="L4230" s="27" t="s">
        <v>118</v>
      </c>
      <c r="M4230" s="10">
        <v>77.017868145409736</v>
      </c>
    </row>
    <row r="4231" spans="11:13" x14ac:dyDescent="0.25">
      <c r="K4231" s="26" t="s">
        <v>112</v>
      </c>
      <c r="L4231" s="27" t="s">
        <v>119</v>
      </c>
      <c r="M4231" s="10">
        <v>110.22927689594357</v>
      </c>
    </row>
    <row r="4232" spans="11:13" x14ac:dyDescent="0.25">
      <c r="K4232" s="26" t="s">
        <v>112</v>
      </c>
      <c r="L4232" s="27" t="s">
        <v>115</v>
      </c>
      <c r="M4232" s="10">
        <v>37.47795414462081</v>
      </c>
    </row>
    <row r="4233" spans="11:13" x14ac:dyDescent="0.25">
      <c r="K4233" s="26" t="s">
        <v>112</v>
      </c>
      <c r="L4233" s="27" t="s">
        <v>116</v>
      </c>
      <c r="M4233" s="10">
        <v>1.5403573629081948</v>
      </c>
    </row>
    <row r="4234" spans="11:13" x14ac:dyDescent="0.25">
      <c r="K4234" s="26" t="s">
        <v>112</v>
      </c>
      <c r="L4234" s="27" t="s">
        <v>117</v>
      </c>
      <c r="M4234" s="10">
        <v>46.210720887245841</v>
      </c>
    </row>
    <row r="4235" spans="11:13" x14ac:dyDescent="0.25">
      <c r="K4235" s="26" t="s">
        <v>112</v>
      </c>
      <c r="L4235" s="27" t="s">
        <v>118</v>
      </c>
      <c r="M4235" s="10">
        <v>7.7017868145409736</v>
      </c>
    </row>
    <row r="4236" spans="11:13" x14ac:dyDescent="0.25">
      <c r="K4236" s="26" t="s">
        <v>112</v>
      </c>
      <c r="L4236" s="27" t="s">
        <v>119</v>
      </c>
      <c r="M4236" s="10">
        <v>77.017868145409736</v>
      </c>
    </row>
    <row r="4237" spans="11:13" x14ac:dyDescent="0.25">
      <c r="K4237" s="26" t="s">
        <v>112</v>
      </c>
      <c r="L4237" s="27" t="s">
        <v>115</v>
      </c>
      <c r="M4237" s="10">
        <v>32.85032747328507</v>
      </c>
    </row>
    <row r="4238" spans="11:13" x14ac:dyDescent="0.25">
      <c r="K4238" s="26" t="s">
        <v>112</v>
      </c>
      <c r="L4238" s="27" t="s">
        <v>116</v>
      </c>
      <c r="M4238" s="10">
        <v>72.134038800705468</v>
      </c>
    </row>
    <row r="4239" spans="11:13" x14ac:dyDescent="0.25">
      <c r="K4239" s="26" t="s">
        <v>112</v>
      </c>
      <c r="L4239" s="27" t="s">
        <v>117</v>
      </c>
      <c r="M4239" s="10">
        <v>158.84782378481412</v>
      </c>
    </row>
    <row r="4240" spans="11:13" x14ac:dyDescent="0.25">
      <c r="K4240" s="26" t="s">
        <v>112</v>
      </c>
      <c r="L4240" s="27" t="s">
        <v>118</v>
      </c>
      <c r="M4240" s="10">
        <v>1102.2927689594355</v>
      </c>
    </row>
    <row r="4241" spans="11:13" x14ac:dyDescent="0.25">
      <c r="K4241" s="26" t="s">
        <v>112</v>
      </c>
      <c r="L4241" s="27" t="s">
        <v>119</v>
      </c>
      <c r="M4241" s="10">
        <v>1102.2927689594355</v>
      </c>
    </row>
    <row r="4242" spans="11:13" x14ac:dyDescent="0.25">
      <c r="K4242" s="26" t="s">
        <v>112</v>
      </c>
      <c r="L4242" s="27" t="s">
        <v>115</v>
      </c>
      <c r="M4242" s="10">
        <v>154.32098765432099</v>
      </c>
    </row>
    <row r="4243" spans="11:13" x14ac:dyDescent="0.25">
      <c r="K4243" s="26" t="s">
        <v>112</v>
      </c>
      <c r="L4243" s="27" t="s">
        <v>116</v>
      </c>
      <c r="M4243" s="10">
        <v>88.183421516754848</v>
      </c>
    </row>
    <row r="4244" spans="11:13" x14ac:dyDescent="0.25">
      <c r="K4244" s="26" t="s">
        <v>112</v>
      </c>
      <c r="L4244" s="27" t="s">
        <v>117</v>
      </c>
      <c r="M4244" s="10">
        <v>110.22927689594357</v>
      </c>
    </row>
    <row r="4245" spans="11:13" x14ac:dyDescent="0.25">
      <c r="K4245" s="26" t="s">
        <v>112</v>
      </c>
      <c r="L4245" s="27" t="s">
        <v>118</v>
      </c>
      <c r="M4245" s="10">
        <v>115.52680221811461</v>
      </c>
    </row>
    <row r="4246" spans="11:13" x14ac:dyDescent="0.25">
      <c r="K4246" s="26" t="s">
        <v>112</v>
      </c>
      <c r="L4246" s="27" t="s">
        <v>119</v>
      </c>
      <c r="M4246" s="10">
        <v>115.52680221811461</v>
      </c>
    </row>
    <row r="4247" spans="11:13" x14ac:dyDescent="0.25">
      <c r="K4247" s="26" t="s">
        <v>112</v>
      </c>
      <c r="L4247" s="27" t="s">
        <v>115</v>
      </c>
      <c r="M4247" s="10">
        <v>264.74637297469025</v>
      </c>
    </row>
    <row r="4248" spans="11:13" x14ac:dyDescent="0.25">
      <c r="K4248" s="26" t="s">
        <v>112</v>
      </c>
      <c r="L4248" s="27" t="s">
        <v>116</v>
      </c>
      <c r="M4248" s="10">
        <v>52.949274594938046</v>
      </c>
    </row>
    <row r="4249" spans="11:13" x14ac:dyDescent="0.25">
      <c r="K4249" s="26" t="s">
        <v>112</v>
      </c>
      <c r="L4249" s="27" t="s">
        <v>117</v>
      </c>
      <c r="M4249" s="10">
        <v>264.74637297469025</v>
      </c>
    </row>
    <row r="4250" spans="11:13" x14ac:dyDescent="0.25">
      <c r="K4250" s="26" t="s">
        <v>113</v>
      </c>
      <c r="L4250" s="27" t="s">
        <v>118</v>
      </c>
      <c r="M4250" s="10">
        <v>44.091710758377424</v>
      </c>
    </row>
    <row r="4251" spans="11:13" x14ac:dyDescent="0.25">
      <c r="K4251" s="26" t="s">
        <v>113</v>
      </c>
      <c r="L4251" s="27" t="s">
        <v>119</v>
      </c>
      <c r="M4251" s="10">
        <v>88.183421516754848</v>
      </c>
    </row>
    <row r="4252" spans="11:13" x14ac:dyDescent="0.25">
      <c r="K4252" s="26" t="s">
        <v>109</v>
      </c>
      <c r="L4252" s="27" t="s">
        <v>115</v>
      </c>
      <c r="M4252" s="10">
        <v>141.09347442680775</v>
      </c>
    </row>
    <row r="4253" spans="11:13" x14ac:dyDescent="0.25">
      <c r="K4253" s="26" t="s">
        <v>112</v>
      </c>
      <c r="L4253" s="27" t="s">
        <v>116</v>
      </c>
      <c r="M4253" s="10">
        <v>6.9316081330868764</v>
      </c>
    </row>
    <row r="4254" spans="11:13" x14ac:dyDescent="0.25">
      <c r="K4254" s="26" t="s">
        <v>112</v>
      </c>
      <c r="L4254" s="27" t="s">
        <v>117</v>
      </c>
      <c r="M4254" s="10">
        <v>123.22858903265558</v>
      </c>
    </row>
    <row r="4255" spans="11:13" x14ac:dyDescent="0.25">
      <c r="K4255" s="26" t="s">
        <v>112</v>
      </c>
      <c r="L4255" s="27" t="s">
        <v>118</v>
      </c>
      <c r="M4255" s="10">
        <v>539.12507701786819</v>
      </c>
    </row>
    <row r="4256" spans="11:13" x14ac:dyDescent="0.25">
      <c r="K4256" s="26" t="s">
        <v>113</v>
      </c>
      <c r="L4256" s="27" t="s">
        <v>119</v>
      </c>
      <c r="M4256" s="10">
        <v>110.30679076180627</v>
      </c>
    </row>
    <row r="4257" spans="11:13" x14ac:dyDescent="0.25">
      <c r="K4257" s="26" t="s">
        <v>112</v>
      </c>
      <c r="L4257" s="27" t="s">
        <v>115</v>
      </c>
      <c r="M4257" s="10">
        <v>3.306878306878307</v>
      </c>
    </row>
    <row r="4258" spans="11:13" x14ac:dyDescent="0.25">
      <c r="K4258" s="26" t="s">
        <v>112</v>
      </c>
      <c r="L4258" s="27" t="s">
        <v>116</v>
      </c>
      <c r="M4258" s="10">
        <v>180.77601410934744</v>
      </c>
    </row>
    <row r="4259" spans="11:13" x14ac:dyDescent="0.25">
      <c r="K4259" s="26" t="s">
        <v>112</v>
      </c>
      <c r="L4259" s="27" t="s">
        <v>117</v>
      </c>
      <c r="M4259" s="10">
        <v>40.121970791205264</v>
      </c>
    </row>
    <row r="4260" spans="11:13" x14ac:dyDescent="0.25">
      <c r="K4260" s="26" t="s">
        <v>112</v>
      </c>
      <c r="L4260" s="27" t="s">
        <v>118</v>
      </c>
      <c r="M4260" s="10">
        <v>40.121970791205264</v>
      </c>
    </row>
    <row r="4261" spans="11:13" x14ac:dyDescent="0.25">
      <c r="K4261" s="26" t="s">
        <v>112</v>
      </c>
      <c r="L4261" s="27" t="s">
        <v>119</v>
      </c>
      <c r="M4261" s="10">
        <v>220.45855379188714</v>
      </c>
    </row>
    <row r="4262" spans="11:13" x14ac:dyDescent="0.25">
      <c r="K4262" s="26" t="s">
        <v>112</v>
      </c>
      <c r="L4262" s="27" t="s">
        <v>115</v>
      </c>
      <c r="M4262" s="10">
        <v>60</v>
      </c>
    </row>
    <row r="4263" spans="11:13" x14ac:dyDescent="0.25">
      <c r="K4263" s="26" t="s">
        <v>112</v>
      </c>
      <c r="L4263" s="27" t="s">
        <v>116</v>
      </c>
      <c r="M4263" s="10">
        <v>16.943930991990143</v>
      </c>
    </row>
    <row r="4264" spans="11:13" x14ac:dyDescent="0.25">
      <c r="K4264" s="26" t="s">
        <v>112</v>
      </c>
      <c r="L4264" s="27" t="s">
        <v>117</v>
      </c>
      <c r="M4264" s="10">
        <v>77.017868145409736</v>
      </c>
    </row>
    <row r="4265" spans="11:13" x14ac:dyDescent="0.25">
      <c r="K4265" s="26" t="s">
        <v>112</v>
      </c>
      <c r="L4265" s="27" t="s">
        <v>118</v>
      </c>
      <c r="M4265" s="10">
        <v>644</v>
      </c>
    </row>
    <row r="4266" spans="11:13" x14ac:dyDescent="0.25">
      <c r="K4266" s="26" t="s">
        <v>112</v>
      </c>
      <c r="L4266" s="27" t="s">
        <v>119</v>
      </c>
      <c r="M4266" s="10">
        <v>400</v>
      </c>
    </row>
    <row r="4267" spans="11:13" x14ac:dyDescent="0.25">
      <c r="K4267" s="26" t="s">
        <v>112</v>
      </c>
      <c r="L4267" s="27" t="s">
        <v>115</v>
      </c>
      <c r="M4267" s="10">
        <v>141.09347442680775</v>
      </c>
    </row>
    <row r="4268" spans="11:13" x14ac:dyDescent="0.25">
      <c r="K4268" s="26" t="s">
        <v>112</v>
      </c>
      <c r="L4268" s="27" t="s">
        <v>116</v>
      </c>
      <c r="M4268" s="10">
        <v>55.114638447971785</v>
      </c>
    </row>
    <row r="4269" spans="11:13" x14ac:dyDescent="0.25">
      <c r="K4269" s="26" t="s">
        <v>112</v>
      </c>
      <c r="L4269" s="27" t="s">
        <v>117</v>
      </c>
      <c r="M4269" s="10">
        <v>66.137566137566139</v>
      </c>
    </row>
    <row r="4270" spans="11:13" x14ac:dyDescent="0.25">
      <c r="K4270" s="26" t="s">
        <v>112</v>
      </c>
      <c r="L4270" s="27" t="s">
        <v>118</v>
      </c>
      <c r="M4270" s="10">
        <v>176.07548500881833</v>
      </c>
    </row>
    <row r="4271" spans="11:13" x14ac:dyDescent="0.25">
      <c r="K4271" s="26" t="s">
        <v>112</v>
      </c>
      <c r="L4271" s="27" t="s">
        <v>119</v>
      </c>
      <c r="M4271" s="10">
        <v>74.518520421928997</v>
      </c>
    </row>
    <row r="4272" spans="11:13" x14ac:dyDescent="0.25">
      <c r="K4272" s="26" t="s">
        <v>112</v>
      </c>
      <c r="L4272" s="27" t="s">
        <v>115</v>
      </c>
      <c r="M4272" s="10">
        <v>45.5</v>
      </c>
    </row>
    <row r="4273" spans="11:13" x14ac:dyDescent="0.25">
      <c r="K4273" s="26" t="s">
        <v>112</v>
      </c>
      <c r="L4273" s="27" t="s">
        <v>116</v>
      </c>
      <c r="M4273" s="10">
        <v>1.7549999999999999</v>
      </c>
    </row>
    <row r="4274" spans="11:13" x14ac:dyDescent="0.25">
      <c r="K4274" s="26" t="s">
        <v>112</v>
      </c>
      <c r="L4274" s="27" t="s">
        <v>117</v>
      </c>
      <c r="M4274" s="10">
        <v>61.75</v>
      </c>
    </row>
    <row r="4275" spans="11:13" x14ac:dyDescent="0.25">
      <c r="K4275" s="26" t="s">
        <v>112</v>
      </c>
      <c r="L4275" s="27" t="s">
        <v>118</v>
      </c>
      <c r="M4275" s="10">
        <v>2.2749999999999999</v>
      </c>
    </row>
    <row r="4276" spans="11:13" x14ac:dyDescent="0.25">
      <c r="K4276" s="26" t="s">
        <v>112</v>
      </c>
      <c r="L4276" s="27" t="s">
        <v>119</v>
      </c>
      <c r="M4276" s="10">
        <v>95.664902998236329</v>
      </c>
    </row>
    <row r="4277" spans="11:13" x14ac:dyDescent="0.25">
      <c r="K4277" s="26" t="s">
        <v>112</v>
      </c>
      <c r="L4277" s="27" t="s">
        <v>115</v>
      </c>
      <c r="M4277" s="10">
        <v>66.137566137566139</v>
      </c>
    </row>
    <row r="4278" spans="11:13" x14ac:dyDescent="0.25">
      <c r="K4278" s="26" t="s">
        <v>112</v>
      </c>
      <c r="L4278" s="27" t="s">
        <v>116</v>
      </c>
      <c r="M4278" s="10">
        <v>66.137566137566139</v>
      </c>
    </row>
    <row r="4279" spans="11:13" x14ac:dyDescent="0.25">
      <c r="K4279" s="26" t="s">
        <v>112</v>
      </c>
      <c r="L4279" s="27" t="s">
        <v>117</v>
      </c>
      <c r="M4279" s="10">
        <v>66.137566137566139</v>
      </c>
    </row>
    <row r="4280" spans="11:13" x14ac:dyDescent="0.25">
      <c r="K4280" s="26" t="s">
        <v>112</v>
      </c>
      <c r="L4280" s="27" t="s">
        <v>118</v>
      </c>
      <c r="M4280" s="10">
        <v>66.137566137566139</v>
      </c>
    </row>
    <row r="4281" spans="11:13" x14ac:dyDescent="0.25">
      <c r="K4281" s="26" t="s">
        <v>112</v>
      </c>
      <c r="L4281" s="27" t="s">
        <v>119</v>
      </c>
      <c r="M4281" s="10">
        <v>66.137566137566139</v>
      </c>
    </row>
    <row r="4282" spans="11:13" x14ac:dyDescent="0.25">
      <c r="K4282" s="26" t="s">
        <v>112</v>
      </c>
      <c r="L4282" s="27" t="s">
        <v>115</v>
      </c>
      <c r="M4282" s="10">
        <v>66.137566137566139</v>
      </c>
    </row>
    <row r="4283" spans="11:13" x14ac:dyDescent="0.25">
      <c r="K4283" s="26" t="s">
        <v>112</v>
      </c>
      <c r="L4283" s="27" t="s">
        <v>116</v>
      </c>
      <c r="M4283" s="10">
        <v>55.114638447971785</v>
      </c>
    </row>
    <row r="4284" spans="11:13" x14ac:dyDescent="0.25">
      <c r="K4284" s="26" t="s">
        <v>112</v>
      </c>
      <c r="L4284" s="27" t="s">
        <v>117</v>
      </c>
      <c r="M4284" s="10">
        <v>55.114638447971785</v>
      </c>
    </row>
    <row r="4285" spans="11:13" x14ac:dyDescent="0.25">
      <c r="K4285" s="26" t="s">
        <v>112</v>
      </c>
      <c r="L4285" s="27" t="s">
        <v>118</v>
      </c>
      <c r="M4285" s="10">
        <v>66.137566137566139</v>
      </c>
    </row>
    <row r="4286" spans="11:13" x14ac:dyDescent="0.25">
      <c r="K4286" s="26" t="s">
        <v>112</v>
      </c>
      <c r="L4286" s="27" t="s">
        <v>119</v>
      </c>
      <c r="M4286" s="10">
        <v>149.97473544973545</v>
      </c>
    </row>
    <row r="4287" spans="11:13" x14ac:dyDescent="0.25">
      <c r="K4287" s="26" t="s">
        <v>112</v>
      </c>
      <c r="L4287" s="27" t="s">
        <v>115</v>
      </c>
      <c r="M4287" s="10">
        <v>52.949274594938046</v>
      </c>
    </row>
    <row r="4288" spans="11:13" x14ac:dyDescent="0.25">
      <c r="K4288" s="26" t="s">
        <v>112</v>
      </c>
      <c r="L4288" s="27" t="s">
        <v>116</v>
      </c>
      <c r="M4288" s="10">
        <v>22.970551752653101</v>
      </c>
    </row>
    <row r="4289" spans="11:13" x14ac:dyDescent="0.25">
      <c r="K4289" s="26" t="s">
        <v>112</v>
      </c>
      <c r="L4289" s="27" t="s">
        <v>117</v>
      </c>
      <c r="M4289" s="10">
        <v>330.68783068783068</v>
      </c>
    </row>
    <row r="4290" spans="11:13" x14ac:dyDescent="0.25">
      <c r="K4290" s="26" t="s">
        <v>112</v>
      </c>
      <c r="L4290" s="27" t="s">
        <v>118</v>
      </c>
      <c r="M4290" s="10">
        <v>80</v>
      </c>
    </row>
    <row r="4291" spans="11:13" x14ac:dyDescent="0.25">
      <c r="K4291" s="26" t="s">
        <v>112</v>
      </c>
      <c r="L4291" s="27" t="s">
        <v>119</v>
      </c>
      <c r="M4291" s="10">
        <v>80</v>
      </c>
    </row>
    <row r="4292" spans="11:13" x14ac:dyDescent="0.25">
      <c r="K4292" s="26" t="s">
        <v>112</v>
      </c>
      <c r="L4292" s="27" t="s">
        <v>115</v>
      </c>
      <c r="M4292" s="10">
        <v>50</v>
      </c>
    </row>
    <row r="4293" spans="11:13" x14ac:dyDescent="0.25">
      <c r="K4293" s="26" t="s">
        <v>112</v>
      </c>
      <c r="L4293" s="27" t="s">
        <v>116</v>
      </c>
      <c r="M4293" s="10">
        <v>50</v>
      </c>
    </row>
    <row r="4294" spans="11:13" x14ac:dyDescent="0.25">
      <c r="K4294" s="26" t="s">
        <v>112</v>
      </c>
      <c r="L4294" s="27" t="s">
        <v>117</v>
      </c>
      <c r="M4294" s="10">
        <v>50</v>
      </c>
    </row>
    <row r="4295" spans="11:13" x14ac:dyDescent="0.25">
      <c r="K4295" s="26" t="s">
        <v>113</v>
      </c>
      <c r="L4295" s="27" t="s">
        <v>118</v>
      </c>
      <c r="M4295" s="10">
        <v>50</v>
      </c>
    </row>
    <row r="4296" spans="11:13" x14ac:dyDescent="0.25">
      <c r="K4296" s="26" t="s">
        <v>110</v>
      </c>
      <c r="L4296" s="27" t="s">
        <v>119</v>
      </c>
      <c r="M4296" s="10">
        <v>50</v>
      </c>
    </row>
    <row r="4297" spans="11:13" x14ac:dyDescent="0.25">
      <c r="K4297" s="26" t="s">
        <v>113</v>
      </c>
      <c r="L4297" s="27" t="s">
        <v>115</v>
      </c>
      <c r="M4297" s="10">
        <v>55.114638447971785</v>
      </c>
    </row>
    <row r="4298" spans="11:13" x14ac:dyDescent="0.25">
      <c r="K4298" s="26" t="s">
        <v>113</v>
      </c>
      <c r="L4298" s="27" t="s">
        <v>116</v>
      </c>
      <c r="M4298" s="10">
        <v>55.114638447971785</v>
      </c>
    </row>
    <row r="4299" spans="11:13" x14ac:dyDescent="0.25">
      <c r="K4299" s="26" t="s">
        <v>113</v>
      </c>
      <c r="L4299" s="27" t="s">
        <v>117</v>
      </c>
      <c r="M4299" s="10">
        <v>66.137566137566139</v>
      </c>
    </row>
    <row r="4300" spans="11:13" x14ac:dyDescent="0.25">
      <c r="K4300" s="26" t="s">
        <v>112</v>
      </c>
      <c r="L4300" s="27" t="s">
        <v>118</v>
      </c>
      <c r="M4300" s="10">
        <v>66.137566137566139</v>
      </c>
    </row>
    <row r="4301" spans="11:13" x14ac:dyDescent="0.25">
      <c r="K4301" s="26" t="s">
        <v>112</v>
      </c>
      <c r="L4301" s="27" t="s">
        <v>119</v>
      </c>
      <c r="M4301" s="10">
        <v>66.137566137566139</v>
      </c>
    </row>
    <row r="4302" spans="11:13" x14ac:dyDescent="0.25">
      <c r="K4302" s="26" t="s">
        <v>112</v>
      </c>
      <c r="L4302" s="27" t="s">
        <v>115</v>
      </c>
      <c r="M4302" s="10">
        <v>110.22927689594357</v>
      </c>
    </row>
    <row r="4303" spans="11:13" x14ac:dyDescent="0.25">
      <c r="K4303" s="26" t="s">
        <v>112</v>
      </c>
      <c r="L4303" s="27" t="s">
        <v>116</v>
      </c>
      <c r="M4303" s="10">
        <v>48.883819455760147</v>
      </c>
    </row>
    <row r="4304" spans="11:13" x14ac:dyDescent="0.25">
      <c r="K4304" s="26" t="s">
        <v>112</v>
      </c>
      <c r="L4304" s="27" t="s">
        <v>117</v>
      </c>
      <c r="M4304" s="10">
        <v>66.137566137566139</v>
      </c>
    </row>
    <row r="4305" spans="11:13" x14ac:dyDescent="0.25">
      <c r="K4305" s="26" t="s">
        <v>112</v>
      </c>
      <c r="L4305" s="27" t="s">
        <v>118</v>
      </c>
      <c r="M4305" s="10">
        <v>66.137566137566139</v>
      </c>
    </row>
    <row r="4306" spans="11:13" x14ac:dyDescent="0.25">
      <c r="K4306" s="26" t="s">
        <v>112</v>
      </c>
      <c r="L4306" s="27" t="s">
        <v>119</v>
      </c>
      <c r="M4306" s="10">
        <v>66.137566137566139</v>
      </c>
    </row>
    <row r="4307" spans="11:13" x14ac:dyDescent="0.25">
      <c r="K4307" s="26" t="s">
        <v>112</v>
      </c>
      <c r="L4307" s="27" t="s">
        <v>115</v>
      </c>
      <c r="M4307" s="10">
        <v>110.22927689594357</v>
      </c>
    </row>
    <row r="4308" spans="11:13" x14ac:dyDescent="0.25">
      <c r="K4308" s="26" t="s">
        <v>112</v>
      </c>
      <c r="L4308" s="27" t="s">
        <v>116</v>
      </c>
      <c r="M4308" s="10">
        <v>66.137566137566139</v>
      </c>
    </row>
    <row r="4309" spans="11:13" x14ac:dyDescent="0.25">
      <c r="K4309" s="26" t="s">
        <v>112</v>
      </c>
      <c r="L4309" s="27" t="s">
        <v>117</v>
      </c>
      <c r="M4309" s="10">
        <v>1102.2927689594355</v>
      </c>
    </row>
    <row r="4310" spans="11:13" x14ac:dyDescent="0.25">
      <c r="K4310" s="26" t="s">
        <v>112</v>
      </c>
      <c r="L4310" s="27" t="s">
        <v>118</v>
      </c>
      <c r="M4310" s="10">
        <v>55.114638447971785</v>
      </c>
    </row>
    <row r="4311" spans="11:13" x14ac:dyDescent="0.25">
      <c r="K4311" s="26" t="s">
        <v>112</v>
      </c>
      <c r="L4311" s="27" t="s">
        <v>119</v>
      </c>
      <c r="M4311" s="10">
        <v>22.970551752653101</v>
      </c>
    </row>
    <row r="4312" spans="11:13" x14ac:dyDescent="0.25">
      <c r="K4312" s="26" t="s">
        <v>112</v>
      </c>
      <c r="L4312" s="27" t="s">
        <v>115</v>
      </c>
      <c r="M4312" s="10">
        <v>2.2970551752653101</v>
      </c>
    </row>
    <row r="4313" spans="11:13" x14ac:dyDescent="0.25">
      <c r="K4313" s="26" t="s">
        <v>112</v>
      </c>
      <c r="L4313" s="27" t="s">
        <v>116</v>
      </c>
      <c r="M4313" s="10">
        <v>2.2970551752653101</v>
      </c>
    </row>
    <row r="4314" spans="11:13" x14ac:dyDescent="0.25">
      <c r="K4314" s="26" t="s">
        <v>112</v>
      </c>
      <c r="L4314" s="27" t="s">
        <v>117</v>
      </c>
      <c r="M4314" s="10">
        <v>22.970551752653101</v>
      </c>
    </row>
    <row r="4315" spans="11:13" x14ac:dyDescent="0.25">
      <c r="K4315" s="26" t="s">
        <v>112</v>
      </c>
      <c r="L4315" s="27" t="s">
        <v>118</v>
      </c>
      <c r="M4315" s="10">
        <v>66.137566137566139</v>
      </c>
    </row>
    <row r="4316" spans="11:13" x14ac:dyDescent="0.25">
      <c r="K4316" s="26" t="s">
        <v>112</v>
      </c>
      <c r="L4316" s="27" t="s">
        <v>119</v>
      </c>
      <c r="M4316" s="10">
        <v>43.786129629629407</v>
      </c>
    </row>
    <row r="4317" spans="11:13" x14ac:dyDescent="0.25">
      <c r="K4317" s="26" t="s">
        <v>112</v>
      </c>
      <c r="L4317" s="27" t="s">
        <v>115</v>
      </c>
      <c r="M4317" s="10">
        <v>100.12322858903266</v>
      </c>
    </row>
    <row r="4318" spans="11:13" x14ac:dyDescent="0.25">
      <c r="K4318" s="26" t="s">
        <v>112</v>
      </c>
      <c r="L4318" s="27" t="s">
        <v>116</v>
      </c>
      <c r="M4318" s="10">
        <v>105.89854918987609</v>
      </c>
    </row>
    <row r="4319" spans="11:13" x14ac:dyDescent="0.25">
      <c r="K4319" s="26" t="s">
        <v>112</v>
      </c>
      <c r="L4319" s="27" t="s">
        <v>117</v>
      </c>
      <c r="M4319" s="10">
        <v>28.712261244608747</v>
      </c>
    </row>
    <row r="4320" spans="11:13" x14ac:dyDescent="0.25">
      <c r="K4320" s="26" t="s">
        <v>112</v>
      </c>
      <c r="L4320" s="27" t="s">
        <v>118</v>
      </c>
      <c r="M4320" s="10">
        <v>107.82501540357363</v>
      </c>
    </row>
    <row r="4321" spans="11:13" x14ac:dyDescent="0.25">
      <c r="K4321" s="26" t="s">
        <v>112</v>
      </c>
      <c r="L4321" s="27" t="s">
        <v>119</v>
      </c>
      <c r="M4321" s="10">
        <v>66.137566137566139</v>
      </c>
    </row>
    <row r="4322" spans="11:13" x14ac:dyDescent="0.25">
      <c r="K4322" s="26" t="s">
        <v>112</v>
      </c>
      <c r="L4322" s="27" t="s">
        <v>115</v>
      </c>
      <c r="M4322" s="10">
        <v>66.137566137566139</v>
      </c>
    </row>
    <row r="4323" spans="11:13" x14ac:dyDescent="0.25">
      <c r="K4323" s="26" t="s">
        <v>112</v>
      </c>
      <c r="L4323" s="27" t="s">
        <v>116</v>
      </c>
      <c r="M4323" s="10">
        <v>22.045855379188712</v>
      </c>
    </row>
    <row r="4324" spans="11:13" x14ac:dyDescent="0.25">
      <c r="K4324" s="26" t="s">
        <v>112</v>
      </c>
      <c r="L4324" s="27" t="s">
        <v>117</v>
      </c>
      <c r="M4324" s="10">
        <v>66.137566137566139</v>
      </c>
    </row>
    <row r="4325" spans="11:13" x14ac:dyDescent="0.25">
      <c r="K4325" s="26" t="s">
        <v>112</v>
      </c>
      <c r="L4325" s="27" t="s">
        <v>118</v>
      </c>
      <c r="M4325" s="10">
        <v>162.54876543209878</v>
      </c>
    </row>
    <row r="4326" spans="11:13" x14ac:dyDescent="0.25">
      <c r="K4326" s="26" t="s">
        <v>112</v>
      </c>
      <c r="L4326" s="27" t="s">
        <v>119</v>
      </c>
      <c r="M4326" s="10">
        <v>22.970551752653101</v>
      </c>
    </row>
    <row r="4327" spans="11:13" x14ac:dyDescent="0.25">
      <c r="K4327" s="26" t="s">
        <v>112</v>
      </c>
      <c r="L4327" s="27" t="s">
        <v>115</v>
      </c>
      <c r="M4327" s="10">
        <v>22.970551752653101</v>
      </c>
    </row>
    <row r="4328" spans="11:13" x14ac:dyDescent="0.25">
      <c r="K4328" s="26" t="s">
        <v>112</v>
      </c>
      <c r="L4328" s="27" t="s">
        <v>116</v>
      </c>
      <c r="M4328" s="10">
        <v>22.970551752653101</v>
      </c>
    </row>
    <row r="4329" spans="11:13" x14ac:dyDescent="0.25">
      <c r="K4329" s="26" t="s">
        <v>112</v>
      </c>
      <c r="L4329" s="27" t="s">
        <v>117</v>
      </c>
      <c r="M4329" s="10">
        <v>1102.2927689594355</v>
      </c>
    </row>
    <row r="4330" spans="11:13" x14ac:dyDescent="0.25">
      <c r="K4330" s="26" t="s">
        <v>112</v>
      </c>
      <c r="L4330" s="27" t="s">
        <v>118</v>
      </c>
      <c r="M4330" s="10">
        <v>661.37566137566137</v>
      </c>
    </row>
    <row r="4331" spans="11:13" x14ac:dyDescent="0.25">
      <c r="K4331" s="26" t="s">
        <v>113</v>
      </c>
      <c r="L4331" s="27" t="s">
        <v>119</v>
      </c>
      <c r="M4331" s="10">
        <v>46.231053604436234</v>
      </c>
    </row>
    <row r="4332" spans="11:13" x14ac:dyDescent="0.25">
      <c r="K4332" s="26" t="s">
        <v>113</v>
      </c>
      <c r="L4332" s="27" t="s">
        <v>115</v>
      </c>
      <c r="M4332" s="10">
        <v>4.621072088724584</v>
      </c>
    </row>
    <row r="4333" spans="11:13" x14ac:dyDescent="0.25">
      <c r="K4333" s="26" t="s">
        <v>112</v>
      </c>
      <c r="L4333" s="27" t="s">
        <v>116</v>
      </c>
      <c r="M4333" s="10">
        <v>106.95753468177485</v>
      </c>
    </row>
    <row r="4334" spans="11:13" x14ac:dyDescent="0.25">
      <c r="K4334" s="26" t="s">
        <v>112</v>
      </c>
      <c r="L4334" s="27" t="s">
        <v>117</v>
      </c>
      <c r="M4334" s="10">
        <v>385.08934072704869</v>
      </c>
    </row>
    <row r="4335" spans="11:13" x14ac:dyDescent="0.25">
      <c r="K4335" s="26" t="s">
        <v>112</v>
      </c>
      <c r="L4335" s="27" t="s">
        <v>118</v>
      </c>
      <c r="M4335" s="10">
        <v>30.807147258163894</v>
      </c>
    </row>
    <row r="4336" spans="11:13" x14ac:dyDescent="0.25">
      <c r="K4336" s="26" t="s">
        <v>112</v>
      </c>
      <c r="L4336" s="27" t="s">
        <v>119</v>
      </c>
      <c r="M4336" s="10">
        <v>46.210720887245841</v>
      </c>
    </row>
    <row r="4337" spans="11:13" x14ac:dyDescent="0.25">
      <c r="K4337" s="26" t="s">
        <v>112</v>
      </c>
      <c r="L4337" s="27" t="s">
        <v>115</v>
      </c>
      <c r="M4337" s="10">
        <v>53.912507701786815</v>
      </c>
    </row>
    <row r="4338" spans="11:13" x14ac:dyDescent="0.25">
      <c r="K4338" s="26" t="s">
        <v>112</v>
      </c>
      <c r="L4338" s="27" t="s">
        <v>116</v>
      </c>
      <c r="M4338" s="10">
        <v>2.204585537918871</v>
      </c>
    </row>
    <row r="4339" spans="11:13" x14ac:dyDescent="0.25">
      <c r="K4339" s="26" t="s">
        <v>112</v>
      </c>
      <c r="L4339" s="27" t="s">
        <v>117</v>
      </c>
      <c r="M4339" s="10">
        <v>250.56462765713869</v>
      </c>
    </row>
    <row r="4340" spans="11:13" x14ac:dyDescent="0.25">
      <c r="K4340" s="26" t="s">
        <v>112</v>
      </c>
      <c r="L4340" s="27" t="s">
        <v>118</v>
      </c>
      <c r="M4340" s="10">
        <v>374.77954144620816</v>
      </c>
    </row>
    <row r="4341" spans="11:13" x14ac:dyDescent="0.25">
      <c r="K4341" s="26" t="s">
        <v>112</v>
      </c>
      <c r="L4341" s="27" t="s">
        <v>119</v>
      </c>
      <c r="M4341" s="10">
        <v>110.22927689594357</v>
      </c>
    </row>
    <row r="4342" spans="11:13" x14ac:dyDescent="0.25">
      <c r="K4342" s="26" t="s">
        <v>112</v>
      </c>
      <c r="L4342" s="27" t="s">
        <v>115</v>
      </c>
      <c r="M4342" s="10">
        <v>66.137566137566139</v>
      </c>
    </row>
    <row r="4343" spans="11:13" x14ac:dyDescent="0.25">
      <c r="K4343" s="26" t="s">
        <v>112</v>
      </c>
      <c r="L4343" s="27" t="s">
        <v>116</v>
      </c>
      <c r="M4343" s="10">
        <v>66.137566137566139</v>
      </c>
    </row>
    <row r="4344" spans="11:13" x14ac:dyDescent="0.25">
      <c r="K4344" s="26" t="s">
        <v>112</v>
      </c>
      <c r="L4344" s="27" t="s">
        <v>117</v>
      </c>
      <c r="M4344" s="10">
        <v>66.137566137566139</v>
      </c>
    </row>
    <row r="4345" spans="11:13" x14ac:dyDescent="0.25">
      <c r="K4345" s="26" t="s">
        <v>112</v>
      </c>
      <c r="L4345" s="27" t="s">
        <v>118</v>
      </c>
      <c r="M4345" s="10">
        <v>44.091710758377424</v>
      </c>
    </row>
    <row r="4346" spans="11:13" x14ac:dyDescent="0.25">
      <c r="K4346" s="26" t="s">
        <v>112</v>
      </c>
      <c r="L4346" s="27" t="s">
        <v>119</v>
      </c>
      <c r="M4346" s="10">
        <v>15.417624914881863</v>
      </c>
    </row>
    <row r="4347" spans="11:13" x14ac:dyDescent="0.25">
      <c r="K4347" s="26" t="s">
        <v>112</v>
      </c>
      <c r="L4347" s="27" t="s">
        <v>115</v>
      </c>
      <c r="M4347" s="10">
        <v>84.718839351900883</v>
      </c>
    </row>
    <row r="4348" spans="11:13" x14ac:dyDescent="0.25">
      <c r="K4348" s="26" t="s">
        <v>112</v>
      </c>
      <c r="L4348" s="27" t="s">
        <v>116</v>
      </c>
      <c r="M4348" s="10">
        <v>97.236852767198769</v>
      </c>
    </row>
    <row r="4349" spans="11:13" x14ac:dyDescent="0.25">
      <c r="K4349" s="26" t="s">
        <v>112</v>
      </c>
      <c r="L4349" s="27" t="s">
        <v>117</v>
      </c>
      <c r="M4349" s="10">
        <v>529.49274594938049</v>
      </c>
    </row>
    <row r="4350" spans="11:13" x14ac:dyDescent="0.25">
      <c r="K4350" s="26" t="s">
        <v>112</v>
      </c>
      <c r="L4350" s="27" t="s">
        <v>118</v>
      </c>
      <c r="M4350" s="10">
        <v>330.68783068783068</v>
      </c>
    </row>
    <row r="4351" spans="11:13" x14ac:dyDescent="0.25">
      <c r="K4351" s="26" t="s">
        <v>112</v>
      </c>
      <c r="L4351" s="27" t="s">
        <v>119</v>
      </c>
      <c r="M4351" s="10">
        <v>100</v>
      </c>
    </row>
    <row r="4352" spans="11:13" x14ac:dyDescent="0.25">
      <c r="K4352" s="26" t="s">
        <v>112</v>
      </c>
      <c r="L4352" s="27" t="s">
        <v>115</v>
      </c>
      <c r="M4352" s="10">
        <v>423.59419675950437</v>
      </c>
    </row>
    <row r="4353" spans="11:13" x14ac:dyDescent="0.25">
      <c r="K4353" s="26" t="s">
        <v>112</v>
      </c>
      <c r="L4353" s="27" t="s">
        <v>116</v>
      </c>
      <c r="M4353" s="10">
        <v>274.75798400908536</v>
      </c>
    </row>
    <row r="4354" spans="11:13" x14ac:dyDescent="0.25">
      <c r="K4354" s="26" t="s">
        <v>112</v>
      </c>
      <c r="L4354" s="27" t="s">
        <v>117</v>
      </c>
      <c r="M4354" s="10">
        <v>194.00352733686069</v>
      </c>
    </row>
    <row r="4355" spans="11:13" x14ac:dyDescent="0.25">
      <c r="K4355" s="26" t="s">
        <v>112</v>
      </c>
      <c r="L4355" s="27" t="s">
        <v>118</v>
      </c>
      <c r="M4355" s="10">
        <v>38.54406228720466</v>
      </c>
    </row>
    <row r="4356" spans="11:13" x14ac:dyDescent="0.25">
      <c r="K4356" s="26" t="s">
        <v>112</v>
      </c>
      <c r="L4356" s="27" t="s">
        <v>119</v>
      </c>
      <c r="M4356" s="10">
        <v>60</v>
      </c>
    </row>
    <row r="4357" spans="11:13" x14ac:dyDescent="0.25">
      <c r="K4357" s="26" t="s">
        <v>112</v>
      </c>
      <c r="L4357" s="27" t="s">
        <v>115</v>
      </c>
      <c r="M4357" s="10">
        <v>790.09746178195144</v>
      </c>
    </row>
    <row r="4358" spans="11:13" x14ac:dyDescent="0.25">
      <c r="K4358" s="26" t="s">
        <v>112</v>
      </c>
      <c r="L4358" s="27" t="s">
        <v>116</v>
      </c>
      <c r="M4358" s="10">
        <v>30.8641975308642</v>
      </c>
    </row>
    <row r="4359" spans="11:13" x14ac:dyDescent="0.25">
      <c r="K4359" s="26" t="s">
        <v>112</v>
      </c>
      <c r="L4359" s="27" t="s">
        <v>117</v>
      </c>
      <c r="M4359" s="10">
        <v>30</v>
      </c>
    </row>
    <row r="4360" spans="11:13" x14ac:dyDescent="0.25">
      <c r="K4360" s="26" t="s">
        <v>112</v>
      </c>
      <c r="L4360" s="27" t="s">
        <v>118</v>
      </c>
      <c r="M4360" s="10">
        <v>22.970551752653101</v>
      </c>
    </row>
    <row r="4361" spans="11:13" x14ac:dyDescent="0.25">
      <c r="K4361" s="26" t="s">
        <v>112</v>
      </c>
      <c r="L4361" s="27" t="s">
        <v>119</v>
      </c>
      <c r="M4361" s="10">
        <v>156.5184523809524</v>
      </c>
    </row>
    <row r="4362" spans="11:13" x14ac:dyDescent="0.25">
      <c r="K4362" s="26" t="s">
        <v>112</v>
      </c>
      <c r="L4362" s="27" t="s">
        <v>115</v>
      </c>
      <c r="M4362" s="10">
        <v>126</v>
      </c>
    </row>
    <row r="4363" spans="11:13" x14ac:dyDescent="0.25">
      <c r="K4363" s="26" t="s">
        <v>112</v>
      </c>
      <c r="L4363" s="27" t="s">
        <v>116</v>
      </c>
      <c r="M4363" s="10">
        <v>68.941744226128904</v>
      </c>
    </row>
    <row r="4364" spans="11:13" x14ac:dyDescent="0.25">
      <c r="K4364" s="26" t="s">
        <v>112</v>
      </c>
      <c r="L4364" s="27" t="s">
        <v>117</v>
      </c>
      <c r="M4364" s="10">
        <v>330.68783068783068</v>
      </c>
    </row>
    <row r="4365" spans="11:13" x14ac:dyDescent="0.25">
      <c r="K4365" s="26" t="s">
        <v>112</v>
      </c>
      <c r="L4365" s="27" t="s">
        <v>118</v>
      </c>
      <c r="M4365" s="10">
        <v>110.22927689594357</v>
      </c>
    </row>
    <row r="4366" spans="11:13" x14ac:dyDescent="0.25">
      <c r="K4366" s="26" t="s">
        <v>112</v>
      </c>
      <c r="L4366" s="27" t="s">
        <v>119</v>
      </c>
      <c r="M4366" s="10">
        <v>110.22927689594357</v>
      </c>
    </row>
    <row r="4367" spans="11:13" x14ac:dyDescent="0.25">
      <c r="K4367" s="26" t="s">
        <v>112</v>
      </c>
      <c r="L4367" s="27" t="s">
        <v>115</v>
      </c>
      <c r="M4367" s="10">
        <v>154.03573629081947</v>
      </c>
    </row>
    <row r="4368" spans="11:13" x14ac:dyDescent="0.25">
      <c r="K4368" s="26" t="s">
        <v>109</v>
      </c>
      <c r="L4368" s="27" t="s">
        <v>116</v>
      </c>
      <c r="M4368" s="10">
        <v>300</v>
      </c>
    </row>
    <row r="4369" spans="11:13" x14ac:dyDescent="0.25">
      <c r="K4369" s="26" t="s">
        <v>112</v>
      </c>
      <c r="L4369" s="27" t="s">
        <v>117</v>
      </c>
      <c r="M4369" s="10">
        <v>194.00352733686069</v>
      </c>
    </row>
    <row r="4370" spans="11:13" x14ac:dyDescent="0.25">
      <c r="K4370" s="26" t="s">
        <v>112</v>
      </c>
      <c r="L4370" s="27" t="s">
        <v>118</v>
      </c>
      <c r="M4370" s="10">
        <v>5.9523809523809526</v>
      </c>
    </row>
    <row r="4371" spans="11:13" x14ac:dyDescent="0.25">
      <c r="K4371" s="26" t="s">
        <v>112</v>
      </c>
      <c r="L4371" s="27" t="s">
        <v>119</v>
      </c>
      <c r="M4371" s="10">
        <v>440</v>
      </c>
    </row>
    <row r="4372" spans="11:13" x14ac:dyDescent="0.25">
      <c r="K4372" s="26" t="s">
        <v>112</v>
      </c>
      <c r="L4372" s="27" t="s">
        <v>115</v>
      </c>
      <c r="M4372" s="10">
        <v>33.06878306878307</v>
      </c>
    </row>
    <row r="4373" spans="11:13" x14ac:dyDescent="0.25">
      <c r="K4373" s="26" t="s">
        <v>112</v>
      </c>
      <c r="L4373" s="27" t="s">
        <v>116</v>
      </c>
      <c r="M4373" s="10">
        <v>308.07147258163894</v>
      </c>
    </row>
    <row r="4374" spans="11:13" x14ac:dyDescent="0.25">
      <c r="K4374" s="26" t="s">
        <v>112</v>
      </c>
      <c r="L4374" s="27" t="s">
        <v>117</v>
      </c>
      <c r="M4374" s="10">
        <v>61.614294516327789</v>
      </c>
    </row>
    <row r="4375" spans="11:13" x14ac:dyDescent="0.25">
      <c r="K4375" s="26" t="s">
        <v>112</v>
      </c>
      <c r="L4375" s="27" t="s">
        <v>118</v>
      </c>
      <c r="M4375" s="10">
        <v>88.183421516754848</v>
      </c>
    </row>
    <row r="4376" spans="11:13" x14ac:dyDescent="0.25">
      <c r="K4376" s="26" t="s">
        <v>112</v>
      </c>
      <c r="L4376" s="27" t="s">
        <v>119</v>
      </c>
      <c r="M4376" s="10">
        <v>88.183421516754848</v>
      </c>
    </row>
    <row r="4377" spans="11:13" x14ac:dyDescent="0.25">
      <c r="K4377" s="26" t="s">
        <v>112</v>
      </c>
      <c r="L4377" s="27" t="s">
        <v>115</v>
      </c>
      <c r="M4377" s="10">
        <v>8.1030710639332302</v>
      </c>
    </row>
    <row r="4378" spans="11:13" x14ac:dyDescent="0.25">
      <c r="K4378" s="26" t="s">
        <v>112</v>
      </c>
      <c r="L4378" s="27" t="s">
        <v>116</v>
      </c>
      <c r="M4378" s="10">
        <v>105.89854918987609</v>
      </c>
    </row>
    <row r="4379" spans="11:13" x14ac:dyDescent="0.25">
      <c r="K4379" s="26" t="s">
        <v>112</v>
      </c>
      <c r="L4379" s="27" t="s">
        <v>117</v>
      </c>
      <c r="M4379" s="10">
        <v>24.309213191799692</v>
      </c>
    </row>
    <row r="4380" spans="11:13" x14ac:dyDescent="0.25">
      <c r="K4380" s="26" t="s">
        <v>112</v>
      </c>
      <c r="L4380" s="27" t="s">
        <v>118</v>
      </c>
      <c r="M4380" s="10">
        <v>97.236852767198769</v>
      </c>
    </row>
    <row r="4381" spans="11:13" x14ac:dyDescent="0.25">
      <c r="K4381" s="26" t="s">
        <v>112</v>
      </c>
      <c r="L4381" s="27" t="s">
        <v>119</v>
      </c>
      <c r="M4381" s="10">
        <v>256.96041524803104</v>
      </c>
    </row>
    <row r="4382" spans="11:13" x14ac:dyDescent="0.25">
      <c r="K4382" s="26" t="s">
        <v>112</v>
      </c>
      <c r="L4382" s="27" t="s">
        <v>115</v>
      </c>
      <c r="M4382" s="10">
        <v>51.951194394655374</v>
      </c>
    </row>
    <row r="4383" spans="11:13" x14ac:dyDescent="0.25">
      <c r="K4383" s="26" t="s">
        <v>112</v>
      </c>
      <c r="L4383" s="27" t="s">
        <v>116</v>
      </c>
      <c r="M4383" s="10">
        <v>123.5</v>
      </c>
    </row>
    <row r="4384" spans="11:13" x14ac:dyDescent="0.25">
      <c r="K4384" s="26" t="s">
        <v>112</v>
      </c>
      <c r="L4384" s="27" t="s">
        <v>117</v>
      </c>
      <c r="M4384" s="10">
        <v>372.77499999999998</v>
      </c>
    </row>
    <row r="4385" spans="11:13" x14ac:dyDescent="0.25">
      <c r="K4385" s="26" t="s">
        <v>112</v>
      </c>
      <c r="L4385" s="27" t="s">
        <v>118</v>
      </c>
      <c r="M4385" s="10">
        <v>31.335117379519456</v>
      </c>
    </row>
    <row r="4386" spans="11:13" x14ac:dyDescent="0.25">
      <c r="K4386" s="26" t="s">
        <v>112</v>
      </c>
      <c r="L4386" s="27" t="s">
        <v>119</v>
      </c>
      <c r="M4386" s="10">
        <v>1588.4782378481414</v>
      </c>
    </row>
    <row r="4387" spans="11:13" x14ac:dyDescent="0.25">
      <c r="K4387" s="26" t="s">
        <v>112</v>
      </c>
      <c r="L4387" s="27" t="s">
        <v>115</v>
      </c>
      <c r="M4387" s="10">
        <v>33.06878306878307</v>
      </c>
    </row>
    <row r="4388" spans="11:13" x14ac:dyDescent="0.25">
      <c r="K4388" s="26" t="s">
        <v>112</v>
      </c>
      <c r="L4388" s="27" t="s">
        <v>116</v>
      </c>
      <c r="M4388" s="10">
        <v>80.243941582410528</v>
      </c>
    </row>
    <row r="4389" spans="11:13" x14ac:dyDescent="0.25">
      <c r="K4389" s="26" t="s">
        <v>112</v>
      </c>
      <c r="L4389" s="27" t="s">
        <v>117</v>
      </c>
      <c r="M4389" s="10">
        <v>55.153395380903135</v>
      </c>
    </row>
    <row r="4390" spans="11:13" x14ac:dyDescent="0.25">
      <c r="K4390" s="26" t="s">
        <v>112</v>
      </c>
      <c r="L4390" s="27" t="s">
        <v>118</v>
      </c>
      <c r="M4390" s="10">
        <v>120.3659123736158</v>
      </c>
    </row>
    <row r="4391" spans="11:13" x14ac:dyDescent="0.25">
      <c r="K4391" s="26" t="s">
        <v>112</v>
      </c>
      <c r="L4391" s="27" t="s">
        <v>119</v>
      </c>
      <c r="M4391" s="10">
        <v>1102.2927689594355</v>
      </c>
    </row>
    <row r="4392" spans="11:13" x14ac:dyDescent="0.25">
      <c r="K4392" s="26" t="s">
        <v>112</v>
      </c>
      <c r="L4392" s="27" t="s">
        <v>115</v>
      </c>
      <c r="M4392" s="10">
        <v>46.210720887245841</v>
      </c>
    </row>
    <row r="4393" spans="11:13" x14ac:dyDescent="0.25">
      <c r="K4393" s="26" t="s">
        <v>112</v>
      </c>
      <c r="L4393" s="27" t="s">
        <v>116</v>
      </c>
      <c r="M4393" s="10">
        <v>60.0739371534196</v>
      </c>
    </row>
    <row r="4394" spans="11:13" x14ac:dyDescent="0.25">
      <c r="K4394" s="26" t="s">
        <v>112</v>
      </c>
      <c r="L4394" s="27" t="s">
        <v>117</v>
      </c>
      <c r="M4394" s="10">
        <v>15.617221195317313</v>
      </c>
    </row>
    <row r="4395" spans="11:13" x14ac:dyDescent="0.25">
      <c r="K4395" s="26" t="s">
        <v>112</v>
      </c>
      <c r="L4395" s="27" t="s">
        <v>118</v>
      </c>
      <c r="M4395" s="10">
        <v>19.883091927321544</v>
      </c>
    </row>
    <row r="4396" spans="11:13" x14ac:dyDescent="0.25">
      <c r="K4396" s="26" t="s">
        <v>112</v>
      </c>
      <c r="L4396" s="27" t="s">
        <v>119</v>
      </c>
      <c r="M4396" s="10">
        <v>42.359419675950441</v>
      </c>
    </row>
    <row r="4397" spans="11:13" x14ac:dyDescent="0.25">
      <c r="K4397" s="26" t="s">
        <v>112</v>
      </c>
      <c r="L4397" s="27" t="s">
        <v>115</v>
      </c>
      <c r="M4397" s="10">
        <v>10.58985491898761</v>
      </c>
    </row>
    <row r="4398" spans="11:13" x14ac:dyDescent="0.25">
      <c r="K4398" s="26" t="s">
        <v>112</v>
      </c>
      <c r="L4398" s="27" t="s">
        <v>116</v>
      </c>
      <c r="M4398" s="10">
        <v>63.539129513925651</v>
      </c>
    </row>
    <row r="4399" spans="11:13" x14ac:dyDescent="0.25">
      <c r="K4399" s="26" t="s">
        <v>112</v>
      </c>
      <c r="L4399" s="27" t="s">
        <v>117</v>
      </c>
      <c r="M4399" s="10">
        <v>529.49274594938049</v>
      </c>
    </row>
    <row r="4400" spans="11:13" x14ac:dyDescent="0.25">
      <c r="K4400" s="26" t="s">
        <v>112</v>
      </c>
      <c r="L4400" s="27" t="s">
        <v>118</v>
      </c>
      <c r="M4400" s="10">
        <v>110.22927689594357</v>
      </c>
    </row>
    <row r="4401" spans="11:13" x14ac:dyDescent="0.25">
      <c r="K4401" s="26" t="s">
        <v>112</v>
      </c>
      <c r="L4401" s="27" t="s">
        <v>119</v>
      </c>
      <c r="M4401" s="10">
        <v>11.022927689594356</v>
      </c>
    </row>
    <row r="4402" spans="11:13" x14ac:dyDescent="0.25">
      <c r="K4402" s="26" t="s">
        <v>112</v>
      </c>
      <c r="L4402" s="27" t="s">
        <v>115</v>
      </c>
      <c r="M4402" s="10">
        <v>77.017868145409736</v>
      </c>
    </row>
    <row r="4403" spans="11:13" x14ac:dyDescent="0.25">
      <c r="K4403" s="26" t="s">
        <v>112</v>
      </c>
      <c r="L4403" s="27" t="s">
        <v>116</v>
      </c>
      <c r="M4403" s="10">
        <v>385.08934072704869</v>
      </c>
    </row>
    <row r="4404" spans="11:13" x14ac:dyDescent="0.25">
      <c r="K4404" s="26" t="s">
        <v>112</v>
      </c>
      <c r="L4404" s="27" t="s">
        <v>117</v>
      </c>
      <c r="M4404" s="10">
        <v>462.10720887245844</v>
      </c>
    </row>
    <row r="4405" spans="11:13" x14ac:dyDescent="0.25">
      <c r="K4405" s="26" t="s">
        <v>113</v>
      </c>
      <c r="L4405" s="27" t="s">
        <v>118</v>
      </c>
      <c r="M4405" s="10">
        <v>110.22927689594357</v>
      </c>
    </row>
    <row r="4406" spans="11:13" x14ac:dyDescent="0.25">
      <c r="K4406" s="26" t="s">
        <v>109</v>
      </c>
      <c r="L4406" s="27" t="s">
        <v>119</v>
      </c>
      <c r="M4406" s="10">
        <v>29.922982131854592</v>
      </c>
    </row>
    <row r="4407" spans="11:13" x14ac:dyDescent="0.25">
      <c r="K4407" s="26" t="s">
        <v>109</v>
      </c>
      <c r="L4407" s="27" t="s">
        <v>115</v>
      </c>
      <c r="M4407" s="10">
        <v>440.91710758377428</v>
      </c>
    </row>
    <row r="4408" spans="11:13" x14ac:dyDescent="0.25">
      <c r="K4408" s="26" t="s">
        <v>111</v>
      </c>
      <c r="L4408" s="27" t="s">
        <v>116</v>
      </c>
      <c r="M4408" s="10">
        <v>88.183421516754848</v>
      </c>
    </row>
    <row r="4409" spans="11:13" x14ac:dyDescent="0.25">
      <c r="K4409" s="26" t="s">
        <v>111</v>
      </c>
      <c r="L4409" s="27" t="s">
        <v>117</v>
      </c>
      <c r="M4409" s="10">
        <v>97.767638911520294</v>
      </c>
    </row>
    <row r="4410" spans="11:13" x14ac:dyDescent="0.25">
      <c r="K4410" s="26" t="s">
        <v>112</v>
      </c>
      <c r="L4410" s="27" t="s">
        <v>118</v>
      </c>
      <c r="M4410" s="10">
        <v>32.589212970506765</v>
      </c>
    </row>
    <row r="4411" spans="11:13" x14ac:dyDescent="0.25">
      <c r="K4411" s="26" t="s">
        <v>112</v>
      </c>
      <c r="L4411" s="27" t="s">
        <v>119</v>
      </c>
      <c r="M4411" s="10">
        <v>55.114638447971785</v>
      </c>
    </row>
    <row r="4412" spans="11:13" x14ac:dyDescent="0.25">
      <c r="K4412" s="26" t="s">
        <v>112</v>
      </c>
      <c r="L4412" s="27" t="s">
        <v>115</v>
      </c>
      <c r="M4412" s="10">
        <v>41.887125220458557</v>
      </c>
    </row>
    <row r="4413" spans="11:13" x14ac:dyDescent="0.25">
      <c r="K4413" s="26" t="s">
        <v>112</v>
      </c>
      <c r="L4413" s="27" t="s">
        <v>116</v>
      </c>
      <c r="M4413" s="10">
        <v>88.183421516754848</v>
      </c>
    </row>
    <row r="4414" spans="11:13" x14ac:dyDescent="0.25">
      <c r="K4414" s="26" t="s">
        <v>112</v>
      </c>
      <c r="L4414" s="27" t="s">
        <v>117</v>
      </c>
      <c r="M4414" s="10">
        <v>110.22927689594357</v>
      </c>
    </row>
    <row r="4415" spans="11:13" x14ac:dyDescent="0.25">
      <c r="K4415" s="26" t="s">
        <v>112</v>
      </c>
      <c r="L4415" s="27" t="s">
        <v>118</v>
      </c>
      <c r="M4415" s="10">
        <v>5.9744268077601408</v>
      </c>
    </row>
    <row r="4416" spans="11:13" x14ac:dyDescent="0.25">
      <c r="K4416" s="26" t="s">
        <v>112</v>
      </c>
      <c r="L4416" s="27" t="s">
        <v>119</v>
      </c>
      <c r="M4416" s="10">
        <v>220.45855379188714</v>
      </c>
    </row>
    <row r="4417" spans="11:13" x14ac:dyDescent="0.25">
      <c r="K4417" s="26" t="s">
        <v>112</v>
      </c>
      <c r="L4417" s="27" t="s">
        <v>115</v>
      </c>
      <c r="M4417" s="10">
        <v>110.22927689594357</v>
      </c>
    </row>
    <row r="4418" spans="11:13" x14ac:dyDescent="0.25">
      <c r="K4418" s="26" t="s">
        <v>112</v>
      </c>
      <c r="L4418" s="27" t="s">
        <v>116</v>
      </c>
      <c r="M4418" s="10">
        <v>5.2949274594938052</v>
      </c>
    </row>
    <row r="4419" spans="11:13" x14ac:dyDescent="0.25">
      <c r="K4419" s="26" t="s">
        <v>112</v>
      </c>
      <c r="L4419" s="27" t="s">
        <v>117</v>
      </c>
      <c r="M4419" s="10">
        <v>18.92543758901089</v>
      </c>
    </row>
    <row r="4420" spans="11:13" x14ac:dyDescent="0.25">
      <c r="K4420" s="26" t="s">
        <v>112</v>
      </c>
      <c r="L4420" s="27" t="s">
        <v>118</v>
      </c>
      <c r="M4420" s="10">
        <v>198.4126984126984</v>
      </c>
    </row>
    <row r="4421" spans="11:13" x14ac:dyDescent="0.25">
      <c r="K4421" s="26" t="s">
        <v>112</v>
      </c>
      <c r="L4421" s="27" t="s">
        <v>119</v>
      </c>
      <c r="M4421" s="10">
        <v>1500</v>
      </c>
    </row>
    <row r="4422" spans="11:13" x14ac:dyDescent="0.25">
      <c r="K4422" s="26" t="s">
        <v>112</v>
      </c>
      <c r="L4422" s="27" t="s">
        <v>115</v>
      </c>
      <c r="M4422" s="10">
        <v>44.091710758377424</v>
      </c>
    </row>
    <row r="4423" spans="11:13" x14ac:dyDescent="0.25">
      <c r="K4423" s="26" t="s">
        <v>112</v>
      </c>
      <c r="L4423" s="27" t="s">
        <v>116</v>
      </c>
      <c r="M4423" s="10">
        <v>53.912507701786815</v>
      </c>
    </row>
    <row r="4424" spans="11:13" x14ac:dyDescent="0.25">
      <c r="K4424" s="26" t="s">
        <v>112</v>
      </c>
      <c r="L4424" s="27" t="s">
        <v>117</v>
      </c>
      <c r="M4424" s="10">
        <v>77.017868145409736</v>
      </c>
    </row>
    <row r="4425" spans="11:13" x14ac:dyDescent="0.25">
      <c r="K4425" s="26" t="s">
        <v>112</v>
      </c>
      <c r="L4425" s="27" t="s">
        <v>118</v>
      </c>
      <c r="M4425" s="10">
        <v>30.807147258163894</v>
      </c>
    </row>
    <row r="4426" spans="11:13" x14ac:dyDescent="0.25">
      <c r="K4426" s="26" t="s">
        <v>112</v>
      </c>
      <c r="L4426" s="27" t="s">
        <v>119</v>
      </c>
      <c r="M4426" s="10">
        <v>231.05360443622922</v>
      </c>
    </row>
    <row r="4427" spans="11:13" x14ac:dyDescent="0.25">
      <c r="K4427" s="26" t="s">
        <v>112</v>
      </c>
      <c r="L4427" s="27" t="s">
        <v>115</v>
      </c>
      <c r="M4427" s="10">
        <v>277.26432532347508</v>
      </c>
    </row>
    <row r="4428" spans="11:13" x14ac:dyDescent="0.25">
      <c r="K4428" s="26" t="s">
        <v>112</v>
      </c>
      <c r="L4428" s="27" t="s">
        <v>116</v>
      </c>
      <c r="M4428" s="10">
        <v>38.508934072704868</v>
      </c>
    </row>
    <row r="4429" spans="11:13" x14ac:dyDescent="0.25">
      <c r="K4429" s="26" t="s">
        <v>112</v>
      </c>
      <c r="L4429" s="27" t="s">
        <v>117</v>
      </c>
      <c r="M4429" s="10">
        <v>38.508934072704868</v>
      </c>
    </row>
    <row r="4430" spans="11:13" x14ac:dyDescent="0.25">
      <c r="K4430" s="26" t="s">
        <v>112</v>
      </c>
      <c r="L4430" s="27" t="s">
        <v>118</v>
      </c>
      <c r="M4430" s="10">
        <v>105.89854918987609</v>
      </c>
    </row>
    <row r="4431" spans="11:13" x14ac:dyDescent="0.25">
      <c r="K4431" s="26" t="s">
        <v>112</v>
      </c>
      <c r="L4431" s="27" t="s">
        <v>119</v>
      </c>
      <c r="M4431" s="10">
        <v>50</v>
      </c>
    </row>
    <row r="4432" spans="11:13" x14ac:dyDescent="0.25">
      <c r="K4432" s="26" t="s">
        <v>112</v>
      </c>
      <c r="L4432" s="27" t="s">
        <v>115</v>
      </c>
      <c r="M4432" s="10">
        <v>172.35436056532231</v>
      </c>
    </row>
    <row r="4433" spans="11:13" x14ac:dyDescent="0.25">
      <c r="K4433" s="26" t="s">
        <v>112</v>
      </c>
      <c r="L4433" s="27" t="s">
        <v>116</v>
      </c>
      <c r="M4433" s="10">
        <v>1102.2927689594355</v>
      </c>
    </row>
    <row r="4434" spans="11:13" x14ac:dyDescent="0.25">
      <c r="K4434" s="26" t="s">
        <v>112</v>
      </c>
      <c r="L4434" s="27" t="s">
        <v>117</v>
      </c>
      <c r="M4434" s="10">
        <v>79.365079365079367</v>
      </c>
    </row>
    <row r="4435" spans="11:13" x14ac:dyDescent="0.25">
      <c r="K4435" s="26" t="s">
        <v>112</v>
      </c>
      <c r="L4435" s="27" t="s">
        <v>118</v>
      </c>
      <c r="M4435" s="10">
        <v>440.91710758377428</v>
      </c>
    </row>
    <row r="4436" spans="11:13" x14ac:dyDescent="0.25">
      <c r="K4436" s="26" t="s">
        <v>112</v>
      </c>
      <c r="L4436" s="27" t="s">
        <v>119</v>
      </c>
      <c r="M4436" s="10">
        <v>211.79709837975219</v>
      </c>
    </row>
    <row r="4437" spans="11:13" x14ac:dyDescent="0.25">
      <c r="K4437" s="26" t="s">
        <v>112</v>
      </c>
      <c r="L4437" s="27" t="s">
        <v>115</v>
      </c>
      <c r="M4437" s="10">
        <v>423.59419675950437</v>
      </c>
    </row>
    <row r="4438" spans="11:13" x14ac:dyDescent="0.25">
      <c r="K4438" s="26" t="s">
        <v>112</v>
      </c>
      <c r="L4438" s="27" t="s">
        <v>116</v>
      </c>
      <c r="M4438" s="10">
        <v>202.57677659833075</v>
      </c>
    </row>
    <row r="4439" spans="11:13" x14ac:dyDescent="0.25">
      <c r="K4439" s="26" t="s">
        <v>112</v>
      </c>
      <c r="L4439" s="27" t="s">
        <v>117</v>
      </c>
      <c r="M4439" s="10">
        <v>44.091710758377424</v>
      </c>
    </row>
    <row r="4440" spans="11:13" x14ac:dyDescent="0.25">
      <c r="K4440" s="26" t="s">
        <v>112</v>
      </c>
      <c r="L4440" s="27" t="s">
        <v>118</v>
      </c>
      <c r="M4440" s="10">
        <v>44.091710758377424</v>
      </c>
    </row>
    <row r="4441" spans="11:13" x14ac:dyDescent="0.25">
      <c r="K4441" s="26" t="s">
        <v>112</v>
      </c>
      <c r="L4441" s="27" t="s">
        <v>119</v>
      </c>
      <c r="M4441" s="10">
        <v>489.67096560846562</v>
      </c>
    </row>
    <row r="4442" spans="11:13" x14ac:dyDescent="0.25">
      <c r="K4442" s="26" t="s">
        <v>112</v>
      </c>
      <c r="L4442" s="27" t="s">
        <v>115</v>
      </c>
      <c r="M4442" s="10">
        <v>3.7477954144620811</v>
      </c>
    </row>
    <row r="4443" spans="11:13" x14ac:dyDescent="0.25">
      <c r="K4443" s="26" t="s">
        <v>112</v>
      </c>
      <c r="L4443" s="27" t="s">
        <v>116</v>
      </c>
      <c r="M4443" s="10">
        <v>184.64430254519291</v>
      </c>
    </row>
    <row r="4444" spans="11:13" x14ac:dyDescent="0.25">
      <c r="K4444" s="26" t="s">
        <v>112</v>
      </c>
      <c r="L4444" s="27" t="s">
        <v>117</v>
      </c>
      <c r="M4444" s="10">
        <v>10.278416609921242</v>
      </c>
    </row>
    <row r="4445" spans="11:13" x14ac:dyDescent="0.25">
      <c r="K4445" s="26" t="s">
        <v>112</v>
      </c>
      <c r="L4445" s="27" t="s">
        <v>118</v>
      </c>
      <c r="M4445" s="10">
        <v>64.110196268786581</v>
      </c>
    </row>
    <row r="4446" spans="11:13" x14ac:dyDescent="0.25">
      <c r="K4446" s="26" t="s">
        <v>112</v>
      </c>
      <c r="L4446" s="27" t="s">
        <v>119</v>
      </c>
      <c r="M4446" s="10">
        <v>127.0782590278513</v>
      </c>
    </row>
    <row r="4447" spans="11:13" x14ac:dyDescent="0.25">
      <c r="K4447" s="26" t="s">
        <v>112</v>
      </c>
      <c r="L4447" s="27" t="s">
        <v>115</v>
      </c>
      <c r="M4447" s="10">
        <v>27.726432532347506</v>
      </c>
    </row>
    <row r="4448" spans="11:13" x14ac:dyDescent="0.25">
      <c r="K4448" s="26" t="s">
        <v>112</v>
      </c>
      <c r="L4448" s="27" t="s">
        <v>116</v>
      </c>
      <c r="M4448" s="10">
        <v>435.61906962415281</v>
      </c>
    </row>
    <row r="4449" spans="11:13" x14ac:dyDescent="0.25">
      <c r="K4449" s="26" t="s">
        <v>112</v>
      </c>
      <c r="L4449" s="27" t="s">
        <v>117</v>
      </c>
      <c r="M4449" s="10">
        <v>27.726432532347506</v>
      </c>
    </row>
    <row r="4450" spans="11:13" x14ac:dyDescent="0.25">
      <c r="K4450" s="26" t="s">
        <v>112</v>
      </c>
      <c r="L4450" s="27" t="s">
        <v>118</v>
      </c>
      <c r="M4450" s="10">
        <v>259.39617991374001</v>
      </c>
    </row>
    <row r="4451" spans="11:13" x14ac:dyDescent="0.25">
      <c r="K4451" s="26" t="s">
        <v>112</v>
      </c>
      <c r="L4451" s="27" t="s">
        <v>119</v>
      </c>
      <c r="M4451" s="10">
        <v>94.963031423290204</v>
      </c>
    </row>
    <row r="4452" spans="11:13" x14ac:dyDescent="0.25">
      <c r="K4452" s="26" t="s">
        <v>112</v>
      </c>
      <c r="L4452" s="27" t="s">
        <v>115</v>
      </c>
      <c r="M4452" s="10">
        <v>94.963031423290204</v>
      </c>
    </row>
    <row r="4453" spans="11:13" x14ac:dyDescent="0.25">
      <c r="K4453" s="26" t="s">
        <v>112</v>
      </c>
      <c r="L4453" s="27" t="s">
        <v>116</v>
      </c>
      <c r="M4453" s="10">
        <v>539.12507701786819</v>
      </c>
    </row>
    <row r="4454" spans="11:13" x14ac:dyDescent="0.25">
      <c r="K4454" s="26" t="s">
        <v>112</v>
      </c>
      <c r="L4454" s="27" t="s">
        <v>117</v>
      </c>
      <c r="M4454" s="10">
        <v>88.183421516754848</v>
      </c>
    </row>
    <row r="4455" spans="11:13" x14ac:dyDescent="0.25">
      <c r="K4455" s="26" t="s">
        <v>112</v>
      </c>
      <c r="L4455" s="27" t="s">
        <v>118</v>
      </c>
      <c r="M4455" s="10">
        <v>22.045855379188712</v>
      </c>
    </row>
    <row r="4456" spans="11:13" x14ac:dyDescent="0.25">
      <c r="K4456" s="26" t="s">
        <v>112</v>
      </c>
      <c r="L4456" s="27" t="s">
        <v>119</v>
      </c>
      <c r="M4456" s="10">
        <v>55.114638447971785</v>
      </c>
    </row>
    <row r="4457" spans="11:13" x14ac:dyDescent="0.25">
      <c r="K4457" s="26" t="s">
        <v>112</v>
      </c>
      <c r="L4457" s="27" t="s">
        <v>115</v>
      </c>
      <c r="M4457" s="10">
        <v>22.045855379188712</v>
      </c>
    </row>
    <row r="4458" spans="11:13" x14ac:dyDescent="0.25">
      <c r="K4458" s="26" t="s">
        <v>112</v>
      </c>
      <c r="L4458" s="27" t="s">
        <v>116</v>
      </c>
      <c r="M4458" s="10">
        <v>52.949274594938046</v>
      </c>
    </row>
    <row r="4459" spans="11:13" x14ac:dyDescent="0.25">
      <c r="K4459" s="26" t="s">
        <v>112</v>
      </c>
      <c r="L4459" s="27" t="s">
        <v>117</v>
      </c>
      <c r="M4459" s="10">
        <v>36.0810405643739</v>
      </c>
    </row>
    <row r="4460" spans="11:13" x14ac:dyDescent="0.25">
      <c r="K4460" s="26" t="s">
        <v>112</v>
      </c>
      <c r="L4460" s="27" t="s">
        <v>118</v>
      </c>
      <c r="M4460" s="10">
        <v>36.0810405643739</v>
      </c>
    </row>
    <row r="4461" spans="11:13" x14ac:dyDescent="0.25">
      <c r="K4461" s="26" t="s">
        <v>112</v>
      </c>
      <c r="L4461" s="27" t="s">
        <v>119</v>
      </c>
      <c r="M4461" s="10">
        <v>36.0810405643739</v>
      </c>
    </row>
    <row r="4462" spans="11:13" x14ac:dyDescent="0.25">
      <c r="K4462" s="26" t="s">
        <v>112</v>
      </c>
      <c r="L4462" s="27" t="s">
        <v>115</v>
      </c>
      <c r="M4462" s="10">
        <v>36.0810405643739</v>
      </c>
    </row>
    <row r="4463" spans="11:13" x14ac:dyDescent="0.25">
      <c r="K4463" s="26" t="s">
        <v>112</v>
      </c>
      <c r="L4463" s="27" t="s">
        <v>116</v>
      </c>
      <c r="M4463" s="10">
        <v>180.40784832451499</v>
      </c>
    </row>
    <row r="4464" spans="11:13" x14ac:dyDescent="0.25">
      <c r="K4464" s="26" t="s">
        <v>112</v>
      </c>
      <c r="L4464" s="27" t="s">
        <v>117</v>
      </c>
      <c r="M4464" s="10">
        <v>24.483575837742503</v>
      </c>
    </row>
    <row r="4465" spans="11:13" x14ac:dyDescent="0.25">
      <c r="K4465" s="26" t="s">
        <v>112</v>
      </c>
      <c r="L4465" s="27" t="s">
        <v>118</v>
      </c>
      <c r="M4465" s="10">
        <v>110</v>
      </c>
    </row>
    <row r="4466" spans="11:13" x14ac:dyDescent="0.25">
      <c r="K4466" s="26" t="s">
        <v>112</v>
      </c>
      <c r="L4466" s="27" t="s">
        <v>119</v>
      </c>
      <c r="M4466" s="10">
        <v>22.045855379188712</v>
      </c>
    </row>
    <row r="4467" spans="11:13" x14ac:dyDescent="0.25">
      <c r="K4467" s="26" t="s">
        <v>109</v>
      </c>
      <c r="L4467" s="27" t="s">
        <v>115</v>
      </c>
      <c r="M4467" s="10">
        <v>22.045855379188712</v>
      </c>
    </row>
    <row r="4468" spans="11:13" x14ac:dyDescent="0.25">
      <c r="K4468" s="26" t="s">
        <v>112</v>
      </c>
      <c r="L4468" s="27" t="s">
        <v>116</v>
      </c>
      <c r="M4468" s="10">
        <v>9.2421441774491679</v>
      </c>
    </row>
    <row r="4469" spans="11:13" x14ac:dyDescent="0.25">
      <c r="K4469" s="26" t="s">
        <v>112</v>
      </c>
      <c r="L4469" s="27" t="s">
        <v>117</v>
      </c>
      <c r="M4469" s="10">
        <v>210</v>
      </c>
    </row>
    <row r="4470" spans="11:13" x14ac:dyDescent="0.25">
      <c r="K4470" s="26" t="s">
        <v>112</v>
      </c>
      <c r="L4470" s="27" t="s">
        <v>118</v>
      </c>
      <c r="M4470" s="10">
        <v>270.6078042328042</v>
      </c>
    </row>
    <row r="4471" spans="11:13" x14ac:dyDescent="0.25">
      <c r="K4471" s="26" t="s">
        <v>112</v>
      </c>
      <c r="L4471" s="27" t="s">
        <v>119</v>
      </c>
      <c r="M4471" s="10">
        <v>35.273368606701936</v>
      </c>
    </row>
    <row r="4472" spans="11:13" x14ac:dyDescent="0.25">
      <c r="K4472" s="26" t="s">
        <v>112</v>
      </c>
      <c r="L4472" s="27" t="s">
        <v>115</v>
      </c>
      <c r="M4472" s="10">
        <v>88.183421516754848</v>
      </c>
    </row>
    <row r="4473" spans="11:13" x14ac:dyDescent="0.25">
      <c r="K4473" s="26" t="s">
        <v>112</v>
      </c>
      <c r="L4473" s="27" t="s">
        <v>116</v>
      </c>
      <c r="M4473" s="10">
        <v>11.022927689594356</v>
      </c>
    </row>
    <row r="4474" spans="11:13" x14ac:dyDescent="0.25">
      <c r="K4474" s="26" t="s">
        <v>112</v>
      </c>
      <c r="L4474" s="27" t="s">
        <v>117</v>
      </c>
      <c r="M4474" s="10">
        <v>2.204585537918871</v>
      </c>
    </row>
    <row r="4475" spans="11:13" x14ac:dyDescent="0.25">
      <c r="K4475" s="26" t="s">
        <v>112</v>
      </c>
      <c r="L4475" s="27" t="s">
        <v>118</v>
      </c>
      <c r="M4475" s="10">
        <v>72.162037037037038</v>
      </c>
    </row>
    <row r="4476" spans="11:13" x14ac:dyDescent="0.25">
      <c r="K4476" s="26" t="s">
        <v>112</v>
      </c>
      <c r="L4476" s="27" t="s">
        <v>119</v>
      </c>
      <c r="M4476" s="10">
        <v>220.45855379188714</v>
      </c>
    </row>
    <row r="4477" spans="11:13" x14ac:dyDescent="0.25">
      <c r="K4477" s="26" t="s">
        <v>112</v>
      </c>
      <c r="L4477" s="27" t="s">
        <v>115</v>
      </c>
      <c r="M4477" s="10">
        <v>110.22927689594357</v>
      </c>
    </row>
    <row r="4478" spans="11:13" x14ac:dyDescent="0.25">
      <c r="K4478" s="26" t="s">
        <v>112</v>
      </c>
      <c r="L4478" s="27" t="s">
        <v>116</v>
      </c>
      <c r="M4478" s="10">
        <v>11.022927689594356</v>
      </c>
    </row>
    <row r="4479" spans="11:13" x14ac:dyDescent="0.25">
      <c r="K4479" s="26" t="s">
        <v>112</v>
      </c>
      <c r="L4479" s="27" t="s">
        <v>117</v>
      </c>
      <c r="M4479" s="10">
        <v>138.63216266173754</v>
      </c>
    </row>
    <row r="4480" spans="11:13" x14ac:dyDescent="0.25">
      <c r="K4480" s="26" t="s">
        <v>112</v>
      </c>
      <c r="L4480" s="27" t="s">
        <v>118</v>
      </c>
      <c r="M4480" s="10">
        <v>123.22858903265558</v>
      </c>
    </row>
    <row r="4481" spans="11:13" x14ac:dyDescent="0.25">
      <c r="K4481" s="26" t="s">
        <v>112</v>
      </c>
      <c r="L4481" s="27" t="s">
        <v>119</v>
      </c>
      <c r="M4481" s="10">
        <v>472.48783117683303</v>
      </c>
    </row>
    <row r="4482" spans="11:13" x14ac:dyDescent="0.25">
      <c r="K4482" s="26" t="s">
        <v>112</v>
      </c>
      <c r="L4482" s="27" t="s">
        <v>115</v>
      </c>
      <c r="M4482" s="10">
        <v>46.210720887245841</v>
      </c>
    </row>
    <row r="4483" spans="11:13" x14ac:dyDescent="0.25">
      <c r="K4483" s="26" t="s">
        <v>112</v>
      </c>
      <c r="L4483" s="27" t="s">
        <v>116</v>
      </c>
      <c r="M4483" s="10">
        <v>60</v>
      </c>
    </row>
    <row r="4484" spans="11:13" x14ac:dyDescent="0.25">
      <c r="K4484" s="26" t="s">
        <v>112</v>
      </c>
      <c r="L4484" s="27" t="s">
        <v>117</v>
      </c>
      <c r="M4484" s="10">
        <v>18.033509700176367</v>
      </c>
    </row>
    <row r="4485" spans="11:13" x14ac:dyDescent="0.25">
      <c r="K4485" s="26" t="s">
        <v>112</v>
      </c>
      <c r="L4485" s="27" t="s">
        <v>118</v>
      </c>
      <c r="M4485" s="10">
        <v>44.091710758377424</v>
      </c>
    </row>
    <row r="4486" spans="11:13" x14ac:dyDescent="0.25">
      <c r="K4486" s="26" t="s">
        <v>112</v>
      </c>
      <c r="L4486" s="27" t="s">
        <v>119</v>
      </c>
      <c r="M4486" s="10">
        <v>9.2421441774491679</v>
      </c>
    </row>
    <row r="4487" spans="11:13" x14ac:dyDescent="0.25">
      <c r="K4487" s="26" t="s">
        <v>112</v>
      </c>
      <c r="L4487" s="27" t="s">
        <v>115</v>
      </c>
      <c r="M4487" s="10">
        <v>211.79709837975219</v>
      </c>
    </row>
    <row r="4488" spans="11:13" x14ac:dyDescent="0.25">
      <c r="K4488" s="26" t="s">
        <v>112</v>
      </c>
      <c r="L4488" s="27" t="s">
        <v>116</v>
      </c>
      <c r="M4488" s="10">
        <v>34.470872113064452</v>
      </c>
    </row>
    <row r="4489" spans="11:13" x14ac:dyDescent="0.25">
      <c r="K4489" s="26" t="s">
        <v>112</v>
      </c>
      <c r="L4489" s="27" t="s">
        <v>117</v>
      </c>
      <c r="M4489" s="10">
        <v>110.89084412037616</v>
      </c>
    </row>
    <row r="4490" spans="11:13" x14ac:dyDescent="0.25">
      <c r="K4490" s="26" t="s">
        <v>112</v>
      </c>
      <c r="L4490" s="27" t="s">
        <v>118</v>
      </c>
      <c r="M4490" s="10">
        <v>18.998199724663774</v>
      </c>
    </row>
    <row r="4491" spans="11:13" x14ac:dyDescent="0.25">
      <c r="K4491" s="26" t="s">
        <v>112</v>
      </c>
      <c r="L4491" s="27" t="s">
        <v>119</v>
      </c>
      <c r="M4491" s="10">
        <v>123.22858903265558</v>
      </c>
    </row>
    <row r="4492" spans="11:13" x14ac:dyDescent="0.25">
      <c r="K4492" s="26" t="s">
        <v>112</v>
      </c>
      <c r="L4492" s="27" t="s">
        <v>115</v>
      </c>
      <c r="M4492" s="10">
        <v>77.017868145409736</v>
      </c>
    </row>
    <row r="4493" spans="11:13" x14ac:dyDescent="0.25">
      <c r="K4493" s="26" t="s">
        <v>112</v>
      </c>
      <c r="L4493" s="27" t="s">
        <v>116</v>
      </c>
      <c r="M4493" s="10">
        <v>77.017868145409736</v>
      </c>
    </row>
    <row r="4494" spans="11:13" x14ac:dyDescent="0.25">
      <c r="K4494" s="26" t="s">
        <v>112</v>
      </c>
      <c r="L4494" s="27" t="s">
        <v>117</v>
      </c>
      <c r="M4494" s="10">
        <v>38.508934072704868</v>
      </c>
    </row>
    <row r="4495" spans="11:13" x14ac:dyDescent="0.25">
      <c r="K4495" s="26" t="s">
        <v>112</v>
      </c>
      <c r="L4495" s="27" t="s">
        <v>118</v>
      </c>
      <c r="M4495" s="10">
        <v>30.807147258163894</v>
      </c>
    </row>
    <row r="4496" spans="11:13" x14ac:dyDescent="0.25">
      <c r="K4496" s="26" t="s">
        <v>112</v>
      </c>
      <c r="L4496" s="27" t="s">
        <v>119</v>
      </c>
      <c r="M4496" s="10">
        <v>197.10189589796619</v>
      </c>
    </row>
    <row r="4497" spans="11:13" x14ac:dyDescent="0.25">
      <c r="K4497" s="26" t="s">
        <v>112</v>
      </c>
      <c r="L4497" s="27" t="s">
        <v>115</v>
      </c>
      <c r="M4497" s="10">
        <v>146.90145502645501</v>
      </c>
    </row>
    <row r="4498" spans="11:13" x14ac:dyDescent="0.25">
      <c r="K4498" s="26" t="s">
        <v>112</v>
      </c>
      <c r="L4498" s="27" t="s">
        <v>116</v>
      </c>
      <c r="M4498" s="10">
        <v>44.091710758377424</v>
      </c>
    </row>
    <row r="4499" spans="11:13" x14ac:dyDescent="0.25">
      <c r="K4499" s="26" t="s">
        <v>112</v>
      </c>
      <c r="L4499" s="27" t="s">
        <v>117</v>
      </c>
      <c r="M4499" s="10">
        <v>35.273368606701936</v>
      </c>
    </row>
    <row r="4500" spans="11:13" x14ac:dyDescent="0.25">
      <c r="K4500" s="26" t="s">
        <v>112</v>
      </c>
      <c r="L4500" s="27" t="s">
        <v>118</v>
      </c>
      <c r="M4500" s="10">
        <v>405.15355319666151</v>
      </c>
    </row>
    <row r="4501" spans="11:13" x14ac:dyDescent="0.25">
      <c r="K4501" s="26" t="s">
        <v>113</v>
      </c>
      <c r="L4501" s="27" t="s">
        <v>119</v>
      </c>
      <c r="M4501" s="10">
        <v>32.589212970506765</v>
      </c>
    </row>
    <row r="4502" spans="11:13" x14ac:dyDescent="0.25">
      <c r="K4502" s="26" t="s">
        <v>112</v>
      </c>
      <c r="L4502" s="27" t="s">
        <v>115</v>
      </c>
      <c r="M4502" s="10">
        <v>1.7174162257495591</v>
      </c>
    </row>
    <row r="4503" spans="11:13" x14ac:dyDescent="0.25">
      <c r="K4503" s="26" t="s">
        <v>112</v>
      </c>
      <c r="L4503" s="27" t="s">
        <v>116</v>
      </c>
      <c r="M4503" s="10">
        <v>110.22927689594357</v>
      </c>
    </row>
    <row r="4504" spans="11:13" x14ac:dyDescent="0.25">
      <c r="K4504" s="26" t="s">
        <v>112</v>
      </c>
      <c r="L4504" s="27" t="s">
        <v>117</v>
      </c>
      <c r="M4504" s="10">
        <v>60</v>
      </c>
    </row>
    <row r="4505" spans="11:13" x14ac:dyDescent="0.25">
      <c r="K4505" s="26" t="s">
        <v>112</v>
      </c>
      <c r="L4505" s="27" t="s">
        <v>118</v>
      </c>
      <c r="M4505" s="10">
        <v>39.173721340388006</v>
      </c>
    </row>
    <row r="4506" spans="11:13" x14ac:dyDescent="0.25">
      <c r="K4506" s="26" t="s">
        <v>112</v>
      </c>
      <c r="L4506" s="27" t="s">
        <v>119</v>
      </c>
      <c r="M4506" s="10">
        <v>264.55026455026456</v>
      </c>
    </row>
    <row r="4507" spans="11:13" x14ac:dyDescent="0.25">
      <c r="K4507" s="26" t="s">
        <v>112</v>
      </c>
      <c r="L4507" s="27" t="s">
        <v>115</v>
      </c>
      <c r="M4507" s="10">
        <v>110.22927689594357</v>
      </c>
    </row>
    <row r="4508" spans="11:13" x14ac:dyDescent="0.25">
      <c r="K4508" s="26" t="s">
        <v>112</v>
      </c>
      <c r="L4508" s="27" t="s">
        <v>116</v>
      </c>
      <c r="M4508" s="10">
        <v>132.27513227513228</v>
      </c>
    </row>
    <row r="4509" spans="11:13" x14ac:dyDescent="0.25">
      <c r="K4509" s="26" t="s">
        <v>112</v>
      </c>
      <c r="L4509" s="27" t="s">
        <v>117</v>
      </c>
      <c r="M4509" s="10">
        <v>88.183421516754848</v>
      </c>
    </row>
    <row r="4510" spans="11:13" x14ac:dyDescent="0.25">
      <c r="K4510" s="26" t="s">
        <v>112</v>
      </c>
      <c r="L4510" s="27" t="s">
        <v>118</v>
      </c>
      <c r="M4510" s="10">
        <v>440.91710758377428</v>
      </c>
    </row>
    <row r="4511" spans="11:13" x14ac:dyDescent="0.25">
      <c r="K4511" s="26" t="s">
        <v>112</v>
      </c>
      <c r="L4511" s="27" t="s">
        <v>119</v>
      </c>
      <c r="M4511" s="10">
        <v>39.173677248677244</v>
      </c>
    </row>
    <row r="4512" spans="11:13" x14ac:dyDescent="0.25">
      <c r="K4512" s="26" t="s">
        <v>112</v>
      </c>
      <c r="L4512" s="27" t="s">
        <v>115</v>
      </c>
      <c r="M4512" s="10">
        <v>120</v>
      </c>
    </row>
    <row r="4513" spans="11:13" x14ac:dyDescent="0.25">
      <c r="K4513" s="26" t="s">
        <v>112</v>
      </c>
      <c r="L4513" s="27" t="s">
        <v>116</v>
      </c>
      <c r="M4513" s="10">
        <v>183.17198933939025</v>
      </c>
    </row>
    <row r="4514" spans="11:13" x14ac:dyDescent="0.25">
      <c r="K4514" s="26" t="s">
        <v>112</v>
      </c>
      <c r="L4514" s="27" t="s">
        <v>117</v>
      </c>
      <c r="M4514" s="10">
        <v>462.10720887245844</v>
      </c>
    </row>
    <row r="4515" spans="11:13" x14ac:dyDescent="0.25">
      <c r="K4515" s="26" t="s">
        <v>112</v>
      </c>
      <c r="L4515" s="27" t="s">
        <v>118</v>
      </c>
      <c r="M4515" s="10">
        <v>86.177180282661155</v>
      </c>
    </row>
    <row r="4516" spans="11:13" x14ac:dyDescent="0.25">
      <c r="K4516" s="26" t="s">
        <v>112</v>
      </c>
      <c r="L4516" s="27" t="s">
        <v>119</v>
      </c>
      <c r="M4516" s="10">
        <v>46.210720887245841</v>
      </c>
    </row>
    <row r="4517" spans="11:13" x14ac:dyDescent="0.25">
      <c r="K4517" s="26" t="s">
        <v>112</v>
      </c>
      <c r="L4517" s="27" t="s">
        <v>115</v>
      </c>
      <c r="M4517" s="10">
        <v>66.137566137566139</v>
      </c>
    </row>
    <row r="4518" spans="11:13" x14ac:dyDescent="0.25">
      <c r="K4518" s="26" t="s">
        <v>112</v>
      </c>
      <c r="L4518" s="27" t="s">
        <v>116</v>
      </c>
      <c r="M4518" s="10">
        <v>154.03573629081947</v>
      </c>
    </row>
    <row r="4519" spans="11:13" x14ac:dyDescent="0.25">
      <c r="K4519" s="26" t="s">
        <v>112</v>
      </c>
      <c r="L4519" s="27" t="s">
        <v>117</v>
      </c>
      <c r="M4519" s="10">
        <v>107.82501540357363</v>
      </c>
    </row>
    <row r="4520" spans="11:13" x14ac:dyDescent="0.25">
      <c r="K4520" s="26" t="s">
        <v>112</v>
      </c>
      <c r="L4520" s="27" t="s">
        <v>118</v>
      </c>
      <c r="M4520" s="10">
        <v>22.045855379188712</v>
      </c>
    </row>
    <row r="4521" spans="11:13" x14ac:dyDescent="0.25">
      <c r="K4521" s="26" t="s">
        <v>112</v>
      </c>
      <c r="L4521" s="27" t="s">
        <v>119</v>
      </c>
      <c r="M4521" s="10">
        <v>51.706308169596689</v>
      </c>
    </row>
    <row r="4522" spans="11:13" x14ac:dyDescent="0.25">
      <c r="K4522" s="26" t="s">
        <v>112</v>
      </c>
      <c r="L4522" s="27" t="s">
        <v>115</v>
      </c>
      <c r="M4522" s="10">
        <v>103.41261633919338</v>
      </c>
    </row>
    <row r="4523" spans="11:13" x14ac:dyDescent="0.25">
      <c r="K4523" s="26" t="s">
        <v>112</v>
      </c>
      <c r="L4523" s="27" t="s">
        <v>116</v>
      </c>
      <c r="M4523" s="10">
        <v>5.1706308169596689</v>
      </c>
    </row>
    <row r="4524" spans="11:13" x14ac:dyDescent="0.25">
      <c r="K4524" s="26" t="s">
        <v>112</v>
      </c>
      <c r="L4524" s="27" t="s">
        <v>117</v>
      </c>
      <c r="M4524" s="10">
        <v>67.218200620475685</v>
      </c>
    </row>
    <row r="4525" spans="11:13" x14ac:dyDescent="0.25">
      <c r="K4525" s="26" t="s">
        <v>112</v>
      </c>
      <c r="L4525" s="27" t="s">
        <v>118</v>
      </c>
      <c r="M4525" s="10">
        <v>5.1706308169596689</v>
      </c>
    </row>
    <row r="4526" spans="11:13" x14ac:dyDescent="0.25">
      <c r="K4526" s="26" t="s">
        <v>112</v>
      </c>
      <c r="L4526" s="27" t="s">
        <v>119</v>
      </c>
      <c r="M4526" s="10">
        <v>3.1023784901758011</v>
      </c>
    </row>
    <row r="4527" spans="11:13" x14ac:dyDescent="0.25">
      <c r="K4527" s="26" t="s">
        <v>112</v>
      </c>
      <c r="L4527" s="27" t="s">
        <v>115</v>
      </c>
      <c r="M4527" s="10">
        <v>3.4470872113064459</v>
      </c>
    </row>
    <row r="4528" spans="11:13" x14ac:dyDescent="0.25">
      <c r="K4528" s="26" t="s">
        <v>112</v>
      </c>
      <c r="L4528" s="27" t="s">
        <v>116</v>
      </c>
      <c r="M4528" s="10">
        <v>254.15896487985214</v>
      </c>
    </row>
    <row r="4529" spans="11:13" x14ac:dyDescent="0.25">
      <c r="K4529" s="26" t="s">
        <v>112</v>
      </c>
      <c r="L4529" s="27" t="s">
        <v>117</v>
      </c>
      <c r="M4529" s="10">
        <v>154.03573629081947</v>
      </c>
    </row>
    <row r="4530" spans="11:13" x14ac:dyDescent="0.25">
      <c r="K4530" s="26" t="s">
        <v>112</v>
      </c>
      <c r="L4530" s="27" t="s">
        <v>118</v>
      </c>
      <c r="M4530" s="10">
        <v>123.22858903265558</v>
      </c>
    </row>
    <row r="4531" spans="11:13" x14ac:dyDescent="0.25">
      <c r="K4531" s="26" t="s">
        <v>112</v>
      </c>
      <c r="L4531" s="27" t="s">
        <v>119</v>
      </c>
      <c r="M4531" s="10">
        <v>107.82501540357363</v>
      </c>
    </row>
    <row r="4532" spans="11:13" x14ac:dyDescent="0.25">
      <c r="K4532" s="26" t="s">
        <v>112</v>
      </c>
      <c r="L4532" s="27" t="s">
        <v>115</v>
      </c>
      <c r="M4532" s="10">
        <v>53.912507701786815</v>
      </c>
    </row>
    <row r="4533" spans="11:13" x14ac:dyDescent="0.25">
      <c r="K4533" s="26" t="s">
        <v>112</v>
      </c>
      <c r="L4533" s="27" t="s">
        <v>116</v>
      </c>
      <c r="M4533" s="10">
        <v>53.912507701786815</v>
      </c>
    </row>
    <row r="4534" spans="11:13" x14ac:dyDescent="0.25">
      <c r="K4534" s="26" t="s">
        <v>112</v>
      </c>
      <c r="L4534" s="27" t="s">
        <v>117</v>
      </c>
      <c r="M4534" s="10">
        <v>88.183421516754848</v>
      </c>
    </row>
    <row r="4535" spans="11:13" x14ac:dyDescent="0.25">
      <c r="K4535" s="26" t="s">
        <v>112</v>
      </c>
      <c r="L4535" s="27" t="s">
        <v>118</v>
      </c>
      <c r="M4535" s="10">
        <v>230.80544242159496</v>
      </c>
    </row>
    <row r="4536" spans="11:13" x14ac:dyDescent="0.25">
      <c r="K4536" s="26" t="s">
        <v>112</v>
      </c>
      <c r="L4536" s="27" t="s">
        <v>119</v>
      </c>
      <c r="M4536" s="10">
        <v>110.22927689594357</v>
      </c>
    </row>
    <row r="4537" spans="11:13" x14ac:dyDescent="0.25">
      <c r="K4537" s="26" t="s">
        <v>112</v>
      </c>
      <c r="L4537" s="27" t="s">
        <v>115</v>
      </c>
      <c r="M4537" s="10">
        <v>1.5</v>
      </c>
    </row>
    <row r="4538" spans="11:13" x14ac:dyDescent="0.25">
      <c r="K4538" s="26" t="s">
        <v>112</v>
      </c>
      <c r="L4538" s="27" t="s">
        <v>116</v>
      </c>
      <c r="M4538" s="10">
        <v>99.206349206349202</v>
      </c>
    </row>
    <row r="4539" spans="11:13" x14ac:dyDescent="0.25">
      <c r="K4539" s="26" t="s">
        <v>112</v>
      </c>
      <c r="L4539" s="27" t="s">
        <v>117</v>
      </c>
      <c r="M4539" s="10">
        <v>154.03573629081947</v>
      </c>
    </row>
    <row r="4540" spans="11:13" x14ac:dyDescent="0.25">
      <c r="K4540" s="26" t="s">
        <v>112</v>
      </c>
      <c r="L4540" s="27" t="s">
        <v>118</v>
      </c>
      <c r="M4540" s="10">
        <v>23.567467652495381</v>
      </c>
    </row>
    <row r="4541" spans="11:13" x14ac:dyDescent="0.25">
      <c r="K4541" s="26" t="s">
        <v>112</v>
      </c>
      <c r="L4541" s="27" t="s">
        <v>119</v>
      </c>
      <c r="M4541" s="10">
        <v>0.44091710758377428</v>
      </c>
    </row>
    <row r="4542" spans="11:13" x14ac:dyDescent="0.25">
      <c r="K4542" s="26" t="s">
        <v>112</v>
      </c>
      <c r="L4542" s="27" t="s">
        <v>115</v>
      </c>
      <c r="M4542" s="10">
        <v>110.22927689594357</v>
      </c>
    </row>
    <row r="4543" spans="11:13" x14ac:dyDescent="0.25">
      <c r="K4543" s="26" t="s">
        <v>112</v>
      </c>
      <c r="L4543" s="27" t="s">
        <v>116</v>
      </c>
      <c r="M4543" s="10">
        <v>220.45855379188714</v>
      </c>
    </row>
    <row r="4544" spans="11:13" x14ac:dyDescent="0.25">
      <c r="K4544" s="26" t="s">
        <v>112</v>
      </c>
      <c r="L4544" s="27" t="s">
        <v>117</v>
      </c>
      <c r="M4544" s="10">
        <v>110.22927689594357</v>
      </c>
    </row>
    <row r="4545" spans="11:13" x14ac:dyDescent="0.25">
      <c r="K4545" s="26" t="s">
        <v>112</v>
      </c>
      <c r="L4545" s="27" t="s">
        <v>118</v>
      </c>
      <c r="M4545" s="10">
        <v>65.178425941013529</v>
      </c>
    </row>
    <row r="4546" spans="11:13" x14ac:dyDescent="0.25">
      <c r="K4546" s="26" t="s">
        <v>112</v>
      </c>
      <c r="L4546" s="27" t="s">
        <v>119</v>
      </c>
      <c r="M4546" s="10">
        <v>145.50264550264549</v>
      </c>
    </row>
    <row r="4547" spans="11:13" x14ac:dyDescent="0.25">
      <c r="K4547" s="26" t="s">
        <v>112</v>
      </c>
      <c r="L4547" s="27" t="s">
        <v>115</v>
      </c>
      <c r="M4547" s="10">
        <v>6.8941744226128918</v>
      </c>
    </row>
    <row r="4548" spans="11:13" x14ac:dyDescent="0.25">
      <c r="K4548" s="26" t="s">
        <v>112</v>
      </c>
      <c r="L4548" s="27" t="s">
        <v>116</v>
      </c>
      <c r="M4548" s="10">
        <v>119.04761904761905</v>
      </c>
    </row>
    <row r="4549" spans="11:13" x14ac:dyDescent="0.25">
      <c r="K4549" s="26" t="s">
        <v>112</v>
      </c>
      <c r="L4549" s="27" t="s">
        <v>117</v>
      </c>
      <c r="M4549" s="10">
        <v>100</v>
      </c>
    </row>
    <row r="4550" spans="11:13" x14ac:dyDescent="0.25">
      <c r="K4550" s="26" t="s">
        <v>112</v>
      </c>
      <c r="L4550" s="27" t="s">
        <v>118</v>
      </c>
      <c r="M4550" s="10">
        <v>316.54343807763405</v>
      </c>
    </row>
    <row r="4551" spans="11:13" x14ac:dyDescent="0.25">
      <c r="K4551" s="26" t="s">
        <v>112</v>
      </c>
      <c r="L4551" s="27" t="s">
        <v>119</v>
      </c>
      <c r="M4551" s="10">
        <v>112.34151821537475</v>
      </c>
    </row>
    <row r="4552" spans="11:13" x14ac:dyDescent="0.25">
      <c r="K4552" s="26" t="s">
        <v>112</v>
      </c>
      <c r="L4552" s="27" t="s">
        <v>115</v>
      </c>
      <c r="M4552" s="10">
        <v>206.82523267838675</v>
      </c>
    </row>
    <row r="4553" spans="11:13" x14ac:dyDescent="0.25">
      <c r="K4553" s="26" t="s">
        <v>109</v>
      </c>
      <c r="L4553" s="27" t="s">
        <v>116</v>
      </c>
      <c r="M4553" s="10">
        <v>45.792997334847563</v>
      </c>
    </row>
    <row r="4554" spans="11:13" x14ac:dyDescent="0.25">
      <c r="K4554" s="26" t="s">
        <v>112</v>
      </c>
      <c r="L4554" s="27" t="s">
        <v>117</v>
      </c>
      <c r="M4554" s="10">
        <v>3.8886321626617373</v>
      </c>
    </row>
    <row r="4555" spans="11:13" x14ac:dyDescent="0.25">
      <c r="K4555" s="26" t="s">
        <v>112</v>
      </c>
      <c r="L4555" s="27" t="s">
        <v>118</v>
      </c>
      <c r="M4555" s="10">
        <v>132.27513227513228</v>
      </c>
    </row>
    <row r="4556" spans="11:13" x14ac:dyDescent="0.25">
      <c r="K4556" s="26" t="s">
        <v>112</v>
      </c>
      <c r="L4556" s="27" t="s">
        <v>119</v>
      </c>
      <c r="M4556" s="10">
        <v>316.54343807763405</v>
      </c>
    </row>
    <row r="4557" spans="11:13" x14ac:dyDescent="0.25">
      <c r="K4557" s="26" t="s">
        <v>112</v>
      </c>
      <c r="L4557" s="27" t="s">
        <v>115</v>
      </c>
      <c r="M4557" s="10">
        <v>738.60135551447934</v>
      </c>
    </row>
    <row r="4558" spans="11:13" x14ac:dyDescent="0.25">
      <c r="K4558" s="26" t="s">
        <v>112</v>
      </c>
      <c r="L4558" s="27" t="s">
        <v>116</v>
      </c>
      <c r="M4558" s="10">
        <v>12.848020762401553</v>
      </c>
    </row>
    <row r="4559" spans="11:13" x14ac:dyDescent="0.25">
      <c r="K4559" s="26" t="s">
        <v>112</v>
      </c>
      <c r="L4559" s="27" t="s">
        <v>117</v>
      </c>
      <c r="M4559" s="10">
        <v>15.944239856607464</v>
      </c>
    </row>
    <row r="4560" spans="11:13" x14ac:dyDescent="0.25">
      <c r="K4560" s="26" t="s">
        <v>112</v>
      </c>
      <c r="L4560" s="27" t="s">
        <v>118</v>
      </c>
      <c r="M4560" s="10">
        <v>86.177180282661155</v>
      </c>
    </row>
    <row r="4561" spans="11:13" x14ac:dyDescent="0.25">
      <c r="K4561" s="26" t="s">
        <v>112</v>
      </c>
      <c r="L4561" s="27" t="s">
        <v>119</v>
      </c>
      <c r="M4561" s="10">
        <v>5.7728395061728399</v>
      </c>
    </row>
    <row r="4562" spans="11:13" x14ac:dyDescent="0.25">
      <c r="K4562" s="26" t="s">
        <v>112</v>
      </c>
      <c r="L4562" s="27" t="s">
        <v>115</v>
      </c>
      <c r="M4562" s="10">
        <v>102.63157894736842</v>
      </c>
    </row>
    <row r="4563" spans="11:13" x14ac:dyDescent="0.25">
      <c r="K4563" s="26" t="s">
        <v>112</v>
      </c>
      <c r="L4563" s="27" t="s">
        <v>116</v>
      </c>
      <c r="M4563" s="10">
        <v>48.500881834215171</v>
      </c>
    </row>
    <row r="4564" spans="11:13" x14ac:dyDescent="0.25">
      <c r="K4564" s="26" t="s">
        <v>112</v>
      </c>
      <c r="L4564" s="27" t="s">
        <v>117</v>
      </c>
      <c r="M4564" s="10">
        <v>48.500881834215171</v>
      </c>
    </row>
    <row r="4565" spans="11:13" x14ac:dyDescent="0.25">
      <c r="K4565" s="26" t="s">
        <v>112</v>
      </c>
      <c r="L4565" s="27" t="s">
        <v>118</v>
      </c>
      <c r="M4565" s="10">
        <v>55.114638447971785</v>
      </c>
    </row>
    <row r="4566" spans="11:13" x14ac:dyDescent="0.25">
      <c r="K4566" s="26" t="s">
        <v>112</v>
      </c>
      <c r="L4566" s="27" t="s">
        <v>119</v>
      </c>
      <c r="M4566" s="10">
        <v>48.500881834215171</v>
      </c>
    </row>
    <row r="4567" spans="11:13" x14ac:dyDescent="0.25">
      <c r="K4567" s="26" t="s">
        <v>112</v>
      </c>
      <c r="L4567" s="27" t="s">
        <v>115</v>
      </c>
      <c r="M4567" s="10">
        <v>66.137566137566139</v>
      </c>
    </row>
    <row r="4568" spans="11:13" x14ac:dyDescent="0.25">
      <c r="K4568" s="26" t="s">
        <v>112</v>
      </c>
      <c r="L4568" s="27" t="s">
        <v>116</v>
      </c>
      <c r="M4568" s="10">
        <v>66.137566137566139</v>
      </c>
    </row>
    <row r="4569" spans="11:13" x14ac:dyDescent="0.25">
      <c r="K4569" s="26" t="s">
        <v>112</v>
      </c>
      <c r="L4569" s="27" t="s">
        <v>117</v>
      </c>
      <c r="M4569" s="10">
        <v>5.3261593612514258</v>
      </c>
    </row>
    <row r="4570" spans="11:13" x14ac:dyDescent="0.25">
      <c r="K4570" s="26" t="s">
        <v>112</v>
      </c>
      <c r="L4570" s="27" t="s">
        <v>118</v>
      </c>
      <c r="M4570" s="10">
        <v>129.82499592634838</v>
      </c>
    </row>
    <row r="4571" spans="11:13" x14ac:dyDescent="0.25">
      <c r="K4571" s="26" t="s">
        <v>112</v>
      </c>
      <c r="L4571" s="27" t="s">
        <v>119</v>
      </c>
      <c r="M4571" s="10">
        <v>49.356067834979626</v>
      </c>
    </row>
    <row r="4572" spans="11:13" x14ac:dyDescent="0.25">
      <c r="K4572" s="26" t="s">
        <v>112</v>
      </c>
      <c r="L4572" s="27" t="s">
        <v>115</v>
      </c>
      <c r="M4572" s="10">
        <v>26.323236178655804</v>
      </c>
    </row>
    <row r="4573" spans="11:13" x14ac:dyDescent="0.25">
      <c r="K4573" s="26" t="s">
        <v>112</v>
      </c>
      <c r="L4573" s="27" t="s">
        <v>116</v>
      </c>
      <c r="M4573" s="10">
        <v>32.904045223319756</v>
      </c>
    </row>
    <row r="4574" spans="11:13" x14ac:dyDescent="0.25">
      <c r="K4574" s="26" t="s">
        <v>112</v>
      </c>
      <c r="L4574" s="27" t="s">
        <v>117</v>
      </c>
      <c r="M4574" s="10">
        <v>42.609274890011406</v>
      </c>
    </row>
    <row r="4575" spans="11:13" x14ac:dyDescent="0.25">
      <c r="K4575" s="26" t="s">
        <v>112</v>
      </c>
      <c r="L4575" s="27" t="s">
        <v>118</v>
      </c>
      <c r="M4575" s="10">
        <v>8.8453641844549455</v>
      </c>
    </row>
    <row r="4576" spans="11:13" x14ac:dyDescent="0.25">
      <c r="K4576" s="26" t="s">
        <v>112</v>
      </c>
      <c r="L4576" s="27" t="s">
        <v>119</v>
      </c>
      <c r="M4576" s="10">
        <v>55.114638447971785</v>
      </c>
    </row>
    <row r="4577" spans="11:13" x14ac:dyDescent="0.25">
      <c r="K4577" s="26" t="s">
        <v>112</v>
      </c>
      <c r="L4577" s="27" t="s">
        <v>115</v>
      </c>
      <c r="M4577" s="10">
        <v>30.807147258163894</v>
      </c>
    </row>
    <row r="4578" spans="11:13" x14ac:dyDescent="0.25">
      <c r="K4578" s="26" t="s">
        <v>112</v>
      </c>
      <c r="L4578" s="27" t="s">
        <v>116</v>
      </c>
      <c r="M4578" s="10">
        <v>154.03573629081947</v>
      </c>
    </row>
    <row r="4579" spans="11:13" x14ac:dyDescent="0.25">
      <c r="K4579" s="26" t="s">
        <v>112</v>
      </c>
      <c r="L4579" s="27" t="s">
        <v>117</v>
      </c>
      <c r="M4579" s="10">
        <v>58.615036588604873</v>
      </c>
    </row>
    <row r="4580" spans="11:13" x14ac:dyDescent="0.25">
      <c r="K4580" s="26" t="s">
        <v>112</v>
      </c>
      <c r="L4580" s="27" t="s">
        <v>118</v>
      </c>
      <c r="M4580" s="10">
        <v>21.980638720726827</v>
      </c>
    </row>
    <row r="4581" spans="11:13" x14ac:dyDescent="0.25">
      <c r="K4581" s="26" t="s">
        <v>112</v>
      </c>
      <c r="L4581" s="27" t="s">
        <v>119</v>
      </c>
      <c r="M4581" s="10">
        <v>5.8660583346912167</v>
      </c>
    </row>
    <row r="4582" spans="11:13" x14ac:dyDescent="0.25">
      <c r="K4582" s="26" t="s">
        <v>112</v>
      </c>
      <c r="L4582" s="27" t="s">
        <v>115</v>
      </c>
      <c r="M4582" s="10">
        <v>150</v>
      </c>
    </row>
    <row r="4583" spans="11:13" x14ac:dyDescent="0.25">
      <c r="K4583" s="26" t="s">
        <v>112</v>
      </c>
      <c r="L4583" s="27" t="s">
        <v>116</v>
      </c>
      <c r="M4583" s="10">
        <v>131.61618089327902</v>
      </c>
    </row>
    <row r="4584" spans="11:13" x14ac:dyDescent="0.25">
      <c r="K4584" s="26" t="s">
        <v>112</v>
      </c>
      <c r="L4584" s="27" t="s">
        <v>117</v>
      </c>
      <c r="M4584" s="10">
        <v>32.904045223319756</v>
      </c>
    </row>
    <row r="4585" spans="11:13" x14ac:dyDescent="0.25">
      <c r="K4585" s="26" t="s">
        <v>112</v>
      </c>
      <c r="L4585" s="27" t="s">
        <v>118</v>
      </c>
      <c r="M4585" s="10">
        <v>49.356067834979626</v>
      </c>
    </row>
    <row r="4586" spans="11:13" x14ac:dyDescent="0.25">
      <c r="K4586" s="26" t="s">
        <v>112</v>
      </c>
      <c r="L4586" s="27" t="s">
        <v>119</v>
      </c>
      <c r="M4586" s="10">
        <v>88.183421516754848</v>
      </c>
    </row>
    <row r="4587" spans="11:13" x14ac:dyDescent="0.25">
      <c r="K4587" s="26" t="s">
        <v>112</v>
      </c>
      <c r="L4587" s="27" t="s">
        <v>115</v>
      </c>
      <c r="M4587" s="10">
        <v>12.848020762401553</v>
      </c>
    </row>
    <row r="4588" spans="11:13" x14ac:dyDescent="0.25">
      <c r="K4588" s="26" t="s">
        <v>112</v>
      </c>
      <c r="L4588" s="27" t="s">
        <v>116</v>
      </c>
      <c r="M4588" s="10">
        <v>102.78416609921243</v>
      </c>
    </row>
    <row r="4589" spans="11:13" x14ac:dyDescent="0.25">
      <c r="K4589" s="26" t="s">
        <v>112</v>
      </c>
      <c r="L4589" s="27" t="s">
        <v>117</v>
      </c>
      <c r="M4589" s="10">
        <v>171.21545083774251</v>
      </c>
    </row>
    <row r="4590" spans="11:13" x14ac:dyDescent="0.25">
      <c r="K4590" s="26" t="s">
        <v>112</v>
      </c>
      <c r="L4590" s="27" t="s">
        <v>118</v>
      </c>
      <c r="M4590" s="10">
        <v>55.114638447971785</v>
      </c>
    </row>
    <row r="4591" spans="11:13" x14ac:dyDescent="0.25">
      <c r="K4591" s="26" t="s">
        <v>112</v>
      </c>
      <c r="L4591" s="27" t="s">
        <v>119</v>
      </c>
      <c r="M4591" s="10">
        <v>6.6137566137566139</v>
      </c>
    </row>
    <row r="4592" spans="11:13" x14ac:dyDescent="0.25">
      <c r="K4592" s="26" t="s">
        <v>112</v>
      </c>
      <c r="L4592" s="27" t="s">
        <v>115</v>
      </c>
      <c r="M4592" s="10">
        <v>6.6137566137566139</v>
      </c>
    </row>
    <row r="4593" spans="11:13" x14ac:dyDescent="0.25">
      <c r="K4593" s="26" t="s">
        <v>112</v>
      </c>
      <c r="L4593" s="27" t="s">
        <v>116</v>
      </c>
      <c r="M4593" s="10">
        <v>45.792997334847563</v>
      </c>
    </row>
    <row r="4594" spans="11:13" x14ac:dyDescent="0.25">
      <c r="K4594" s="26" t="s">
        <v>112</v>
      </c>
      <c r="L4594" s="27" t="s">
        <v>117</v>
      </c>
      <c r="M4594" s="10">
        <v>5.9530896535301823</v>
      </c>
    </row>
    <row r="4595" spans="11:13" x14ac:dyDescent="0.25">
      <c r="K4595" s="26" t="s">
        <v>112</v>
      </c>
      <c r="L4595" s="27" t="s">
        <v>118</v>
      </c>
      <c r="M4595" s="10">
        <v>111.83863463599147</v>
      </c>
    </row>
    <row r="4596" spans="11:13" x14ac:dyDescent="0.25">
      <c r="K4596" s="26" t="s">
        <v>112</v>
      </c>
      <c r="L4596" s="27" t="s">
        <v>119</v>
      </c>
      <c r="M4596" s="10">
        <v>60.135730444100496</v>
      </c>
    </row>
    <row r="4597" spans="11:13" x14ac:dyDescent="0.25">
      <c r="K4597" s="26" t="s">
        <v>112</v>
      </c>
      <c r="L4597" s="27" t="s">
        <v>115</v>
      </c>
      <c r="M4597" s="10">
        <v>29.307518294302437</v>
      </c>
    </row>
    <row r="4598" spans="11:13" x14ac:dyDescent="0.25">
      <c r="K4598" s="26" t="s">
        <v>112</v>
      </c>
      <c r="L4598" s="27" t="s">
        <v>116</v>
      </c>
      <c r="M4598" s="10">
        <v>330.68783068783068</v>
      </c>
    </row>
    <row r="4599" spans="11:13" x14ac:dyDescent="0.25">
      <c r="K4599" s="26" t="s">
        <v>112</v>
      </c>
      <c r="L4599" s="27" t="s">
        <v>117</v>
      </c>
      <c r="M4599" s="10">
        <v>200.24645717806533</v>
      </c>
    </row>
    <row r="4600" spans="11:13" x14ac:dyDescent="0.25">
      <c r="K4600" s="26" t="s">
        <v>112</v>
      </c>
      <c r="L4600" s="27" t="s">
        <v>118</v>
      </c>
      <c r="M4600" s="10">
        <v>50</v>
      </c>
    </row>
    <row r="4601" spans="11:13" x14ac:dyDescent="0.25">
      <c r="K4601" s="26" t="s">
        <v>112</v>
      </c>
      <c r="L4601" s="27" t="s">
        <v>119</v>
      </c>
      <c r="M4601" s="10">
        <v>154.32098765432099</v>
      </c>
    </row>
    <row r="4602" spans="11:13" x14ac:dyDescent="0.25">
      <c r="K4602" s="26" t="s">
        <v>112</v>
      </c>
      <c r="L4602" s="27" t="s">
        <v>115</v>
      </c>
      <c r="M4602" s="10">
        <v>51.392083049606214</v>
      </c>
    </row>
    <row r="4603" spans="11:13" x14ac:dyDescent="0.25">
      <c r="K4603" s="26" t="s">
        <v>112</v>
      </c>
      <c r="L4603" s="27" t="s">
        <v>116</v>
      </c>
      <c r="M4603" s="10">
        <v>55.114638447971785</v>
      </c>
    </row>
    <row r="4604" spans="11:13" x14ac:dyDescent="0.25">
      <c r="K4604" s="26" t="s">
        <v>112</v>
      </c>
      <c r="L4604" s="27" t="s">
        <v>117</v>
      </c>
      <c r="M4604" s="10">
        <v>95.308694270888495</v>
      </c>
    </row>
    <row r="4605" spans="11:13" x14ac:dyDescent="0.25">
      <c r="K4605" s="26" t="s">
        <v>112</v>
      </c>
      <c r="L4605" s="27" t="s">
        <v>118</v>
      </c>
      <c r="M4605" s="10">
        <v>130</v>
      </c>
    </row>
    <row r="4606" spans="11:13" x14ac:dyDescent="0.25">
      <c r="K4606" s="26" t="s">
        <v>112</v>
      </c>
      <c r="L4606" s="27" t="s">
        <v>119</v>
      </c>
      <c r="M4606" s="10">
        <v>22.975000000000001</v>
      </c>
    </row>
    <row r="4607" spans="11:13" x14ac:dyDescent="0.25">
      <c r="K4607" s="26" t="s">
        <v>112</v>
      </c>
      <c r="L4607" s="27" t="s">
        <v>115</v>
      </c>
      <c r="M4607" s="10">
        <v>176.3668430335097</v>
      </c>
    </row>
    <row r="4608" spans="11:13" x14ac:dyDescent="0.25">
      <c r="K4608" s="26" t="s">
        <v>112</v>
      </c>
      <c r="L4608" s="27" t="s">
        <v>116</v>
      </c>
      <c r="M4608" s="10">
        <v>150</v>
      </c>
    </row>
    <row r="4609" spans="11:13" x14ac:dyDescent="0.25">
      <c r="K4609" s="26" t="s">
        <v>112</v>
      </c>
      <c r="L4609" s="27" t="s">
        <v>117</v>
      </c>
      <c r="M4609" s="10">
        <v>107.82501540357363</v>
      </c>
    </row>
    <row r="4610" spans="11:13" x14ac:dyDescent="0.25">
      <c r="K4610" s="26" t="s">
        <v>112</v>
      </c>
      <c r="L4610" s="27" t="s">
        <v>118</v>
      </c>
      <c r="M4610" s="10">
        <v>61.614294516327789</v>
      </c>
    </row>
    <row r="4611" spans="11:13" x14ac:dyDescent="0.25">
      <c r="K4611" s="26" t="s">
        <v>112</v>
      </c>
      <c r="L4611" s="27" t="s">
        <v>119</v>
      </c>
      <c r="M4611" s="10">
        <v>137.37899200454268</v>
      </c>
    </row>
    <row r="4612" spans="11:13" x14ac:dyDescent="0.25">
      <c r="K4612" s="26" t="s">
        <v>112</v>
      </c>
      <c r="L4612" s="27" t="s">
        <v>115</v>
      </c>
      <c r="M4612" s="10">
        <v>22.896498667423781</v>
      </c>
    </row>
    <row r="4613" spans="11:13" x14ac:dyDescent="0.25">
      <c r="K4613" s="26" t="s">
        <v>112</v>
      </c>
      <c r="L4613" s="27" t="s">
        <v>116</v>
      </c>
      <c r="M4613" s="10">
        <v>54.951596801817075</v>
      </c>
    </row>
    <row r="4614" spans="11:13" x14ac:dyDescent="0.25">
      <c r="K4614" s="26" t="s">
        <v>112</v>
      </c>
      <c r="L4614" s="27" t="s">
        <v>117</v>
      </c>
      <c r="M4614" s="10">
        <v>21.179709837975221</v>
      </c>
    </row>
    <row r="4615" spans="11:13" x14ac:dyDescent="0.25">
      <c r="K4615" s="26" t="s">
        <v>112</v>
      </c>
      <c r="L4615" s="27" t="s">
        <v>118</v>
      </c>
      <c r="M4615" s="10">
        <v>112.34151821537475</v>
      </c>
    </row>
    <row r="4616" spans="11:13" x14ac:dyDescent="0.25">
      <c r="K4616" s="26" t="s">
        <v>112</v>
      </c>
      <c r="L4616" s="27" t="s">
        <v>119</v>
      </c>
      <c r="M4616" s="10">
        <v>110.22927689594357</v>
      </c>
    </row>
    <row r="4617" spans="11:13" x14ac:dyDescent="0.25">
      <c r="K4617" s="26" t="s">
        <v>112</v>
      </c>
      <c r="L4617" s="27" t="s">
        <v>115</v>
      </c>
      <c r="M4617" s="10">
        <v>61.614294516327789</v>
      </c>
    </row>
    <row r="4618" spans="11:13" x14ac:dyDescent="0.25">
      <c r="K4618" s="26" t="s">
        <v>112</v>
      </c>
      <c r="L4618" s="27" t="s">
        <v>116</v>
      </c>
      <c r="M4618" s="10">
        <v>107.82501540357363</v>
      </c>
    </row>
    <row r="4619" spans="11:13" x14ac:dyDescent="0.25">
      <c r="K4619" s="26" t="s">
        <v>112</v>
      </c>
      <c r="L4619" s="27" t="s">
        <v>117</v>
      </c>
      <c r="M4619" s="10">
        <v>91.585994669695125</v>
      </c>
    </row>
    <row r="4620" spans="11:13" x14ac:dyDescent="0.25">
      <c r="K4620" s="26" t="s">
        <v>112</v>
      </c>
      <c r="L4620" s="27" t="s">
        <v>118</v>
      </c>
      <c r="M4620" s="10">
        <v>19.099560045624902</v>
      </c>
    </row>
    <row r="4621" spans="11:13" x14ac:dyDescent="0.25">
      <c r="K4621" s="26" t="s">
        <v>112</v>
      </c>
      <c r="L4621" s="27" t="s">
        <v>119</v>
      </c>
      <c r="M4621" s="10">
        <v>11.022927689594356</v>
      </c>
    </row>
    <row r="4622" spans="11:13" x14ac:dyDescent="0.25">
      <c r="K4622" s="26" t="s">
        <v>112</v>
      </c>
      <c r="L4622" s="27" t="s">
        <v>115</v>
      </c>
      <c r="M4622" s="10">
        <v>33.06878306878307</v>
      </c>
    </row>
    <row r="4623" spans="11:13" x14ac:dyDescent="0.25">
      <c r="K4623" s="26" t="s">
        <v>112</v>
      </c>
      <c r="L4623" s="27" t="s">
        <v>116</v>
      </c>
      <c r="M4623" s="10">
        <v>36.463819787699542</v>
      </c>
    </row>
    <row r="4624" spans="11:13" x14ac:dyDescent="0.25">
      <c r="K4624" s="26" t="s">
        <v>112</v>
      </c>
      <c r="L4624" s="27" t="s">
        <v>117</v>
      </c>
      <c r="M4624" s="10">
        <v>34.032898468519569</v>
      </c>
    </row>
    <row r="4625" spans="11:13" x14ac:dyDescent="0.25">
      <c r="K4625" s="26" t="s">
        <v>112</v>
      </c>
      <c r="L4625" s="27" t="s">
        <v>118</v>
      </c>
      <c r="M4625" s="10">
        <v>154.03573629081947</v>
      </c>
    </row>
    <row r="4626" spans="11:13" x14ac:dyDescent="0.25">
      <c r="K4626" s="26" t="s">
        <v>109</v>
      </c>
      <c r="L4626" s="27" t="s">
        <v>119</v>
      </c>
      <c r="M4626" s="10">
        <v>55.114638447971785</v>
      </c>
    </row>
    <row r="4627" spans="11:13" x14ac:dyDescent="0.25">
      <c r="K4627" s="26" t="s">
        <v>110</v>
      </c>
      <c r="L4627" s="27" t="s">
        <v>115</v>
      </c>
      <c r="M4627" s="10">
        <v>44.091710758377424</v>
      </c>
    </row>
    <row r="4628" spans="11:13" x14ac:dyDescent="0.25">
      <c r="K4628" s="26" t="s">
        <v>109</v>
      </c>
      <c r="L4628" s="27" t="s">
        <v>116</v>
      </c>
      <c r="M4628" s="10">
        <v>30.8641975308642</v>
      </c>
    </row>
    <row r="4629" spans="11:13" x14ac:dyDescent="0.25">
      <c r="K4629" s="26" t="s">
        <v>109</v>
      </c>
      <c r="L4629" s="27" t="s">
        <v>117</v>
      </c>
      <c r="M4629" s="10">
        <v>30.8641975308642</v>
      </c>
    </row>
    <row r="4630" spans="11:13" x14ac:dyDescent="0.25">
      <c r="K4630" s="26" t="s">
        <v>110</v>
      </c>
      <c r="L4630" s="27" t="s">
        <v>118</v>
      </c>
      <c r="M4630" s="10">
        <v>56.28641975308642</v>
      </c>
    </row>
    <row r="4631" spans="11:13" x14ac:dyDescent="0.25">
      <c r="K4631" s="26" t="s">
        <v>110</v>
      </c>
      <c r="L4631" s="27" t="s">
        <v>119</v>
      </c>
      <c r="M4631" s="10">
        <v>25.696041524803107</v>
      </c>
    </row>
    <row r="4632" spans="11:13" x14ac:dyDescent="0.25">
      <c r="K4632" s="26" t="s">
        <v>110</v>
      </c>
      <c r="L4632" s="27" t="s">
        <v>115</v>
      </c>
      <c r="M4632" s="10">
        <v>8.9285714285714288</v>
      </c>
    </row>
    <row r="4633" spans="11:13" x14ac:dyDescent="0.25">
      <c r="K4633" s="26" t="s">
        <v>112</v>
      </c>
      <c r="L4633" s="27" t="s">
        <v>116</v>
      </c>
      <c r="M4633" s="10">
        <v>8.9285714285714288</v>
      </c>
    </row>
    <row r="4634" spans="11:13" x14ac:dyDescent="0.25">
      <c r="K4634" s="26" t="s">
        <v>112</v>
      </c>
      <c r="L4634" s="27" t="s">
        <v>117</v>
      </c>
      <c r="M4634" s="10">
        <v>385.44062287204662</v>
      </c>
    </row>
    <row r="4635" spans="11:13" x14ac:dyDescent="0.25">
      <c r="K4635" s="26" t="s">
        <v>110</v>
      </c>
      <c r="L4635" s="27" t="s">
        <v>118</v>
      </c>
      <c r="M4635" s="10">
        <v>143.39882799034817</v>
      </c>
    </row>
    <row r="4636" spans="11:13" x14ac:dyDescent="0.25">
      <c r="K4636" s="26" t="s">
        <v>110</v>
      </c>
      <c r="L4636" s="27" t="s">
        <v>119</v>
      </c>
      <c r="M4636" s="10">
        <v>105.89854918987609</v>
      </c>
    </row>
    <row r="4637" spans="11:13" x14ac:dyDescent="0.25">
      <c r="K4637" s="26" t="s">
        <v>110</v>
      </c>
      <c r="L4637" s="27" t="s">
        <v>115</v>
      </c>
      <c r="M4637" s="10">
        <v>9.3293791754929138</v>
      </c>
    </row>
    <row r="4638" spans="11:13" x14ac:dyDescent="0.25">
      <c r="K4638" s="26" t="s">
        <v>110</v>
      </c>
      <c r="L4638" s="27" t="s">
        <v>116</v>
      </c>
      <c r="M4638" s="10">
        <v>53.154078483245151</v>
      </c>
    </row>
    <row r="4639" spans="11:13" x14ac:dyDescent="0.25">
      <c r="K4639" s="26" t="s">
        <v>109</v>
      </c>
      <c r="L4639" s="27" t="s">
        <v>117</v>
      </c>
      <c r="M4639" s="10">
        <v>97.934215167548501</v>
      </c>
    </row>
    <row r="4640" spans="11:13" x14ac:dyDescent="0.25">
      <c r="K4640" s="26" t="s">
        <v>109</v>
      </c>
      <c r="L4640" s="27" t="s">
        <v>118</v>
      </c>
      <c r="M4640" s="10">
        <v>100.16963752469334</v>
      </c>
    </row>
    <row r="4641" spans="11:13" x14ac:dyDescent="0.25">
      <c r="K4641" s="26" t="s">
        <v>113</v>
      </c>
      <c r="L4641" s="27" t="s">
        <v>119</v>
      </c>
      <c r="M4641" s="10">
        <v>11.5</v>
      </c>
    </row>
    <row r="4642" spans="11:13" x14ac:dyDescent="0.25">
      <c r="K4642" s="26" t="s">
        <v>113</v>
      </c>
      <c r="L4642" s="27" t="s">
        <v>115</v>
      </c>
      <c r="M4642" s="10">
        <v>13.227513227513228</v>
      </c>
    </row>
    <row r="4643" spans="11:13" x14ac:dyDescent="0.25">
      <c r="K4643" s="26" t="s">
        <v>113</v>
      </c>
      <c r="L4643" s="27" t="s">
        <v>116</v>
      </c>
      <c r="M4643" s="10">
        <v>55.114638447971785</v>
      </c>
    </row>
    <row r="4644" spans="11:13" x14ac:dyDescent="0.25">
      <c r="K4644" s="26" t="s">
        <v>113</v>
      </c>
      <c r="L4644" s="27" t="s">
        <v>117</v>
      </c>
      <c r="M4644" s="10">
        <v>21.258335153469609</v>
      </c>
    </row>
    <row r="4645" spans="11:13" x14ac:dyDescent="0.25">
      <c r="K4645" s="26" t="s">
        <v>113</v>
      </c>
      <c r="L4645" s="27" t="s">
        <v>118</v>
      </c>
      <c r="M4645" s="10">
        <v>91.585994669695125</v>
      </c>
    </row>
    <row r="4646" spans="11:13" x14ac:dyDescent="0.25">
      <c r="K4646" s="26" t="s">
        <v>113</v>
      </c>
      <c r="L4646" s="27" t="s">
        <v>119</v>
      </c>
      <c r="M4646" s="10">
        <v>77.017868145409736</v>
      </c>
    </row>
    <row r="4647" spans="11:13" x14ac:dyDescent="0.25">
      <c r="K4647" s="26" t="s">
        <v>113</v>
      </c>
      <c r="L4647" s="27" t="s">
        <v>115</v>
      </c>
      <c r="M4647" s="10">
        <v>61.614294516327789</v>
      </c>
    </row>
    <row r="4648" spans="11:13" x14ac:dyDescent="0.25">
      <c r="K4648" s="26" t="s">
        <v>113</v>
      </c>
      <c r="L4648" s="27" t="s">
        <v>116</v>
      </c>
      <c r="M4648" s="10">
        <v>23.105360443622921</v>
      </c>
    </row>
    <row r="4649" spans="11:13" x14ac:dyDescent="0.25">
      <c r="K4649" s="26" t="s">
        <v>113</v>
      </c>
      <c r="L4649" s="27" t="s">
        <v>117</v>
      </c>
      <c r="M4649" s="10">
        <v>228.96498667423779</v>
      </c>
    </row>
    <row r="4650" spans="11:13" x14ac:dyDescent="0.25">
      <c r="K4650" s="26" t="s">
        <v>113</v>
      </c>
      <c r="L4650" s="27" t="s">
        <v>118</v>
      </c>
      <c r="M4650" s="10">
        <v>2.2045855379188711E-5</v>
      </c>
    </row>
    <row r="4651" spans="11:13" x14ac:dyDescent="0.25">
      <c r="K4651" s="26" t="s">
        <v>111</v>
      </c>
      <c r="L4651" s="27" t="s">
        <v>119</v>
      </c>
      <c r="M4651" s="10">
        <v>44.091710758377424</v>
      </c>
    </row>
    <row r="4652" spans="11:13" x14ac:dyDescent="0.25">
      <c r="K4652" s="26" t="s">
        <v>111</v>
      </c>
      <c r="L4652" s="27" t="s">
        <v>115</v>
      </c>
      <c r="M4652" s="10">
        <v>66.137566137566139</v>
      </c>
    </row>
    <row r="4653" spans="11:13" x14ac:dyDescent="0.25">
      <c r="K4653" s="26" t="s">
        <v>111</v>
      </c>
      <c r="L4653" s="27" t="s">
        <v>116</v>
      </c>
      <c r="M4653" s="10">
        <v>66.137566137566139</v>
      </c>
    </row>
    <row r="4654" spans="11:13" x14ac:dyDescent="0.25">
      <c r="K4654" s="26" t="s">
        <v>111</v>
      </c>
      <c r="L4654" s="27" t="s">
        <v>117</v>
      </c>
      <c r="M4654" s="10">
        <v>44.091710758377424</v>
      </c>
    </row>
    <row r="4655" spans="11:13" x14ac:dyDescent="0.25">
      <c r="K4655" s="26" t="s">
        <v>111</v>
      </c>
      <c r="L4655" s="27" t="s">
        <v>118</v>
      </c>
      <c r="M4655" s="10">
        <v>26.455026455026456</v>
      </c>
    </row>
    <row r="4656" spans="11:13" x14ac:dyDescent="0.25">
      <c r="K4656" s="26" t="s">
        <v>111</v>
      </c>
      <c r="L4656" s="27" t="s">
        <v>119</v>
      </c>
      <c r="M4656" s="10">
        <v>1.3916997354497356</v>
      </c>
    </row>
    <row r="4657" spans="11:13" x14ac:dyDescent="0.25">
      <c r="K4657" s="26" t="s">
        <v>111</v>
      </c>
      <c r="L4657" s="27" t="s">
        <v>115</v>
      </c>
      <c r="M4657" s="10">
        <v>64.24010381200776</v>
      </c>
    </row>
    <row r="4658" spans="11:13" x14ac:dyDescent="0.25">
      <c r="K4658" s="26" t="s">
        <v>111</v>
      </c>
      <c r="L4658" s="27" t="s">
        <v>116</v>
      </c>
      <c r="M4658" s="10">
        <v>102.78416609921243</v>
      </c>
    </row>
    <row r="4659" spans="11:13" x14ac:dyDescent="0.25">
      <c r="K4659" s="26" t="s">
        <v>111</v>
      </c>
      <c r="L4659" s="27" t="s">
        <v>117</v>
      </c>
      <c r="M4659" s="10">
        <v>245.9398969588735</v>
      </c>
    </row>
    <row r="4660" spans="11:13" x14ac:dyDescent="0.25">
      <c r="K4660" s="26" t="s">
        <v>111</v>
      </c>
      <c r="L4660" s="27" t="s">
        <v>118</v>
      </c>
      <c r="M4660" s="10">
        <v>54.989528863078647</v>
      </c>
    </row>
    <row r="4661" spans="11:13" x14ac:dyDescent="0.25">
      <c r="K4661" s="26" t="s">
        <v>111</v>
      </c>
      <c r="L4661" s="27" t="s">
        <v>119</v>
      </c>
      <c r="M4661" s="10">
        <v>32.12005190600388</v>
      </c>
    </row>
    <row r="4662" spans="11:13" x14ac:dyDescent="0.25">
      <c r="K4662" s="26" t="s">
        <v>111</v>
      </c>
      <c r="L4662" s="27" t="s">
        <v>115</v>
      </c>
      <c r="M4662" s="10">
        <v>4</v>
      </c>
    </row>
    <row r="4663" spans="11:13" x14ac:dyDescent="0.25">
      <c r="K4663" s="26" t="s">
        <v>111</v>
      </c>
      <c r="L4663" s="27" t="s">
        <v>116</v>
      </c>
      <c r="M4663" s="10">
        <v>529.49274594938049</v>
      </c>
    </row>
    <row r="4664" spans="11:13" x14ac:dyDescent="0.25">
      <c r="K4664" s="26" t="s">
        <v>111</v>
      </c>
      <c r="L4664" s="27" t="s">
        <v>117</v>
      </c>
      <c r="M4664" s="10">
        <v>529.49274594938049</v>
      </c>
    </row>
    <row r="4665" spans="11:13" x14ac:dyDescent="0.25">
      <c r="K4665" s="26" t="s">
        <v>111</v>
      </c>
      <c r="L4665" s="27" t="s">
        <v>118</v>
      </c>
      <c r="M4665" s="10">
        <v>86.554740101026567</v>
      </c>
    </row>
    <row r="4666" spans="11:13" x14ac:dyDescent="0.25">
      <c r="K4666" s="26" t="s">
        <v>111</v>
      </c>
      <c r="L4666" s="27" t="s">
        <v>119</v>
      </c>
      <c r="M4666" s="10">
        <v>36.684303350970019</v>
      </c>
    </row>
    <row r="4667" spans="11:13" x14ac:dyDescent="0.25">
      <c r="K4667" s="26" t="s">
        <v>111</v>
      </c>
      <c r="L4667" s="27" t="s">
        <v>115</v>
      </c>
      <c r="M4667" s="10">
        <v>228.96498667423779</v>
      </c>
    </row>
    <row r="4668" spans="11:13" x14ac:dyDescent="0.25">
      <c r="K4668" s="26" t="s">
        <v>111</v>
      </c>
      <c r="L4668" s="27" t="s">
        <v>116</v>
      </c>
      <c r="M4668" s="10">
        <v>19.338159255429161</v>
      </c>
    </row>
    <row r="4669" spans="11:13" x14ac:dyDescent="0.25">
      <c r="K4669" s="26" t="s">
        <v>111</v>
      </c>
      <c r="L4669" s="27" t="s">
        <v>117</v>
      </c>
      <c r="M4669" s="10">
        <v>77.160493827160494</v>
      </c>
    </row>
    <row r="4670" spans="11:13" x14ac:dyDescent="0.25">
      <c r="K4670" s="26" t="s">
        <v>111</v>
      </c>
      <c r="L4670" s="27" t="s">
        <v>118</v>
      </c>
      <c r="M4670" s="10">
        <v>92.421441774491683</v>
      </c>
    </row>
    <row r="4671" spans="11:13" x14ac:dyDescent="0.25">
      <c r="K4671" s="26" t="s">
        <v>111</v>
      </c>
      <c r="L4671" s="27" t="s">
        <v>119</v>
      </c>
      <c r="M4671" s="10">
        <v>92.421441774491683</v>
      </c>
    </row>
    <row r="4672" spans="11:13" x14ac:dyDescent="0.25">
      <c r="K4672" s="26" t="s">
        <v>111</v>
      </c>
      <c r="L4672" s="27" t="s">
        <v>115</v>
      </c>
      <c r="M4672" s="10">
        <v>78.938297138917605</v>
      </c>
    </row>
    <row r="4673" spans="11:13" x14ac:dyDescent="0.25">
      <c r="K4673" s="26" t="s">
        <v>111</v>
      </c>
      <c r="L4673" s="27" t="s">
        <v>116</v>
      </c>
      <c r="M4673" s="10">
        <v>308.07147258163894</v>
      </c>
    </row>
    <row r="4674" spans="11:13" x14ac:dyDescent="0.25">
      <c r="K4674" s="26" t="s">
        <v>111</v>
      </c>
      <c r="L4674" s="27" t="s">
        <v>117</v>
      </c>
      <c r="M4674" s="10">
        <v>5.1706308169596689</v>
      </c>
    </row>
    <row r="4675" spans="11:13" x14ac:dyDescent="0.25">
      <c r="K4675" s="26" t="s">
        <v>111</v>
      </c>
      <c r="L4675" s="27" t="s">
        <v>118</v>
      </c>
      <c r="M4675" s="10">
        <v>17.235436056532226</v>
      </c>
    </row>
    <row r="4676" spans="11:13" x14ac:dyDescent="0.25">
      <c r="K4676" s="26" t="s">
        <v>111</v>
      </c>
      <c r="L4676" s="27" t="s">
        <v>119</v>
      </c>
      <c r="M4676" s="10">
        <v>17.235436056532226</v>
      </c>
    </row>
    <row r="4677" spans="11:13" x14ac:dyDescent="0.25">
      <c r="K4677" s="26" t="s">
        <v>111</v>
      </c>
      <c r="L4677" s="27" t="s">
        <v>115</v>
      </c>
      <c r="M4677" s="10">
        <v>529.49274594938049</v>
      </c>
    </row>
    <row r="4678" spans="11:13" x14ac:dyDescent="0.25">
      <c r="K4678" s="26" t="s">
        <v>111</v>
      </c>
      <c r="L4678" s="27" t="s">
        <v>116</v>
      </c>
      <c r="M4678" s="10">
        <v>23</v>
      </c>
    </row>
    <row r="4679" spans="11:13" x14ac:dyDescent="0.25">
      <c r="K4679" s="26" t="s">
        <v>111</v>
      </c>
      <c r="L4679" s="27" t="s">
        <v>117</v>
      </c>
      <c r="M4679" s="10">
        <v>46.210720887245841</v>
      </c>
    </row>
    <row r="4680" spans="11:13" x14ac:dyDescent="0.25">
      <c r="K4680" s="26" t="s">
        <v>111</v>
      </c>
      <c r="L4680" s="27" t="s">
        <v>118</v>
      </c>
      <c r="M4680" s="10">
        <v>12.848020762401553</v>
      </c>
    </row>
    <row r="4681" spans="11:13" x14ac:dyDescent="0.25">
      <c r="K4681" s="26" t="s">
        <v>111</v>
      </c>
      <c r="L4681" s="27" t="s">
        <v>119</v>
      </c>
      <c r="M4681" s="10">
        <v>35.273368606701936</v>
      </c>
    </row>
    <row r="4682" spans="11:13" x14ac:dyDescent="0.25">
      <c r="K4682" s="26" t="s">
        <v>111</v>
      </c>
      <c r="L4682" s="27" t="s">
        <v>115</v>
      </c>
      <c r="M4682" s="10">
        <v>308.64197530864197</v>
      </c>
    </row>
    <row r="4683" spans="11:13" x14ac:dyDescent="0.25">
      <c r="K4683" s="26" t="s">
        <v>111</v>
      </c>
      <c r="L4683" s="27" t="s">
        <v>116</v>
      </c>
      <c r="M4683" s="10">
        <v>77.017868145409736</v>
      </c>
    </row>
    <row r="4684" spans="11:13" x14ac:dyDescent="0.25">
      <c r="K4684" s="26" t="s">
        <v>111</v>
      </c>
      <c r="L4684" s="27" t="s">
        <v>117</v>
      </c>
      <c r="M4684" s="10">
        <v>30.807147258163894</v>
      </c>
    </row>
    <row r="4685" spans="11:13" x14ac:dyDescent="0.25">
      <c r="K4685" s="26" t="s">
        <v>111</v>
      </c>
      <c r="L4685" s="27" t="s">
        <v>118</v>
      </c>
      <c r="M4685" s="10">
        <v>91.585994669695125</v>
      </c>
    </row>
    <row r="4686" spans="11:13" x14ac:dyDescent="0.25">
      <c r="K4686" s="26" t="s">
        <v>111</v>
      </c>
      <c r="L4686" s="27" t="s">
        <v>119</v>
      </c>
      <c r="M4686" s="10">
        <v>45.792997334847563</v>
      </c>
    </row>
    <row r="4687" spans="11:13" x14ac:dyDescent="0.25">
      <c r="K4687" s="26" t="s">
        <v>111</v>
      </c>
      <c r="L4687" s="27" t="s">
        <v>115</v>
      </c>
      <c r="M4687" s="10">
        <v>46.296296296296298</v>
      </c>
    </row>
    <row r="4688" spans="11:13" x14ac:dyDescent="0.25">
      <c r="K4688" s="26" t="s">
        <v>111</v>
      </c>
      <c r="L4688" s="27" t="s">
        <v>116</v>
      </c>
      <c r="M4688" s="10">
        <v>44.091710758377424</v>
      </c>
    </row>
    <row r="4689" spans="11:13" x14ac:dyDescent="0.25">
      <c r="K4689" s="26" t="s">
        <v>111</v>
      </c>
      <c r="L4689" s="27" t="s">
        <v>117</v>
      </c>
      <c r="M4689" s="10">
        <v>12.848020762401553</v>
      </c>
    </row>
    <row r="4690" spans="11:13" x14ac:dyDescent="0.25">
      <c r="K4690" s="26" t="s">
        <v>111</v>
      </c>
      <c r="L4690" s="27" t="s">
        <v>118</v>
      </c>
      <c r="M4690" s="10">
        <v>1078.2501540357364</v>
      </c>
    </row>
    <row r="4691" spans="11:13" x14ac:dyDescent="0.25">
      <c r="K4691" s="26" t="s">
        <v>111</v>
      </c>
      <c r="L4691" s="27" t="s">
        <v>119</v>
      </c>
      <c r="M4691" s="10">
        <v>190</v>
      </c>
    </row>
    <row r="4692" spans="11:13" x14ac:dyDescent="0.25">
      <c r="K4692" s="26" t="s">
        <v>111</v>
      </c>
      <c r="L4692" s="27" t="s">
        <v>115</v>
      </c>
      <c r="M4692" s="10">
        <v>88.183421516754848</v>
      </c>
    </row>
    <row r="4693" spans="11:13" x14ac:dyDescent="0.25">
      <c r="K4693" s="26" t="s">
        <v>111</v>
      </c>
      <c r="L4693" s="27" t="s">
        <v>116</v>
      </c>
      <c r="M4693" s="10">
        <v>99.061145883485807</v>
      </c>
    </row>
    <row r="4694" spans="11:13" x14ac:dyDescent="0.25">
      <c r="K4694" s="26" t="s">
        <v>111</v>
      </c>
      <c r="L4694" s="27" t="s">
        <v>117</v>
      </c>
      <c r="M4694" s="10">
        <v>38.508934072704868</v>
      </c>
    </row>
    <row r="4695" spans="11:13" x14ac:dyDescent="0.25">
      <c r="K4695" s="26" t="s">
        <v>111</v>
      </c>
      <c r="L4695" s="27" t="s">
        <v>118</v>
      </c>
      <c r="M4695" s="10">
        <v>45.792997334847563</v>
      </c>
    </row>
    <row r="4696" spans="11:13" x14ac:dyDescent="0.25">
      <c r="K4696" s="26" t="s">
        <v>111</v>
      </c>
      <c r="L4696" s="27" t="s">
        <v>119</v>
      </c>
      <c r="M4696" s="10">
        <v>66.137566137566139</v>
      </c>
    </row>
    <row r="4697" spans="11:13" x14ac:dyDescent="0.25">
      <c r="K4697" s="26" t="s">
        <v>111</v>
      </c>
      <c r="L4697" s="27" t="s">
        <v>115</v>
      </c>
      <c r="M4697" s="10">
        <v>23</v>
      </c>
    </row>
    <row r="4698" spans="11:13" x14ac:dyDescent="0.25">
      <c r="K4698" s="26" t="s">
        <v>111</v>
      </c>
      <c r="L4698" s="27" t="s">
        <v>116</v>
      </c>
      <c r="M4698" s="10">
        <v>27.726432532347506</v>
      </c>
    </row>
    <row r="4699" spans="11:13" x14ac:dyDescent="0.25">
      <c r="K4699" s="26" t="s">
        <v>111</v>
      </c>
      <c r="L4699" s="27" t="s">
        <v>117</v>
      </c>
      <c r="M4699" s="10">
        <v>493.56067834979632</v>
      </c>
    </row>
    <row r="4700" spans="11:13" x14ac:dyDescent="0.25">
      <c r="K4700" s="26" t="s">
        <v>111</v>
      </c>
      <c r="L4700" s="27" t="s">
        <v>118</v>
      </c>
      <c r="M4700" s="10">
        <v>22.045855379188712</v>
      </c>
    </row>
    <row r="4701" spans="11:13" x14ac:dyDescent="0.25">
      <c r="K4701" s="26" t="s">
        <v>111</v>
      </c>
      <c r="L4701" s="27" t="s">
        <v>119</v>
      </c>
      <c r="M4701" s="10">
        <v>22.045855379188712</v>
      </c>
    </row>
    <row r="4702" spans="11:13" x14ac:dyDescent="0.25">
      <c r="K4702" s="26" t="s">
        <v>111</v>
      </c>
      <c r="L4702" s="27" t="s">
        <v>115</v>
      </c>
      <c r="M4702" s="10">
        <v>462.10720887245844</v>
      </c>
    </row>
    <row r="4703" spans="11:13" x14ac:dyDescent="0.25">
      <c r="K4703" s="26" t="s">
        <v>111</v>
      </c>
      <c r="L4703" s="27" t="s">
        <v>116</v>
      </c>
      <c r="M4703" s="10">
        <v>107.82501540357363</v>
      </c>
    </row>
    <row r="4704" spans="11:13" x14ac:dyDescent="0.25">
      <c r="K4704" s="26" t="s">
        <v>111</v>
      </c>
      <c r="L4704" s="27" t="s">
        <v>117</v>
      </c>
      <c r="M4704" s="10">
        <v>40</v>
      </c>
    </row>
    <row r="4705" spans="11:13" x14ac:dyDescent="0.25">
      <c r="K4705" s="26" t="s">
        <v>111</v>
      </c>
      <c r="L4705" s="27" t="s">
        <v>118</v>
      </c>
      <c r="M4705" s="10">
        <v>10</v>
      </c>
    </row>
    <row r="4706" spans="11:13" x14ac:dyDescent="0.25">
      <c r="K4706" s="26" t="s">
        <v>111</v>
      </c>
      <c r="L4706" s="27" t="s">
        <v>119</v>
      </c>
      <c r="M4706" s="10">
        <v>11.326172703095088</v>
      </c>
    </row>
    <row r="4707" spans="11:13" x14ac:dyDescent="0.25">
      <c r="K4707" s="26" t="s">
        <v>111</v>
      </c>
      <c r="L4707" s="27" t="s">
        <v>115</v>
      </c>
      <c r="M4707" s="10">
        <v>180.135582010582</v>
      </c>
    </row>
    <row r="4708" spans="11:13" x14ac:dyDescent="0.25">
      <c r="K4708" s="26" t="s">
        <v>111</v>
      </c>
      <c r="L4708" s="27" t="s">
        <v>116</v>
      </c>
      <c r="M4708" s="10">
        <v>23.148148148148149</v>
      </c>
    </row>
    <row r="4709" spans="11:13" x14ac:dyDescent="0.25">
      <c r="K4709" s="26" t="s">
        <v>111</v>
      </c>
      <c r="L4709" s="27" t="s">
        <v>117</v>
      </c>
      <c r="M4709" s="10">
        <v>30.8641975308642</v>
      </c>
    </row>
    <row r="4710" spans="11:13" x14ac:dyDescent="0.25">
      <c r="K4710" s="26" t="s">
        <v>111</v>
      </c>
      <c r="L4710" s="27" t="s">
        <v>118</v>
      </c>
      <c r="M4710" s="10">
        <v>15.884782378481413</v>
      </c>
    </row>
    <row r="4711" spans="11:13" x14ac:dyDescent="0.25">
      <c r="K4711" s="26" t="s">
        <v>111</v>
      </c>
      <c r="L4711" s="27" t="s">
        <v>119</v>
      </c>
      <c r="M4711" s="10">
        <v>12.154606595899846</v>
      </c>
    </row>
    <row r="4712" spans="11:13" x14ac:dyDescent="0.25">
      <c r="K4712" s="26" t="s">
        <v>111</v>
      </c>
      <c r="L4712" s="27" t="s">
        <v>115</v>
      </c>
      <c r="M4712" s="10">
        <v>124.09513960703205</v>
      </c>
    </row>
    <row r="4713" spans="11:13" x14ac:dyDescent="0.25">
      <c r="K4713" s="26" t="s">
        <v>111</v>
      </c>
      <c r="L4713" s="27" t="s">
        <v>116</v>
      </c>
      <c r="M4713" s="10">
        <v>46.210720887245841</v>
      </c>
    </row>
    <row r="4714" spans="11:13" x14ac:dyDescent="0.25">
      <c r="K4714" s="26" t="s">
        <v>111</v>
      </c>
      <c r="L4714" s="27" t="s">
        <v>117</v>
      </c>
      <c r="M4714" s="10">
        <v>46.210720887245841</v>
      </c>
    </row>
    <row r="4715" spans="11:13" x14ac:dyDescent="0.25">
      <c r="K4715" s="26" t="s">
        <v>111</v>
      </c>
      <c r="L4715" s="27" t="s">
        <v>118</v>
      </c>
      <c r="M4715" s="10">
        <v>81.030710639332298</v>
      </c>
    </row>
    <row r="4716" spans="11:13" x14ac:dyDescent="0.25">
      <c r="K4716" s="26" t="s">
        <v>111</v>
      </c>
      <c r="L4716" s="27" t="s">
        <v>119</v>
      </c>
      <c r="M4716" s="10">
        <v>12.581868321268528</v>
      </c>
    </row>
    <row r="4717" spans="11:13" x14ac:dyDescent="0.25">
      <c r="K4717" s="26" t="s">
        <v>111</v>
      </c>
      <c r="L4717" s="27" t="s">
        <v>115</v>
      </c>
      <c r="M4717" s="10">
        <v>64.460530851430534</v>
      </c>
    </row>
    <row r="4718" spans="11:13" x14ac:dyDescent="0.25">
      <c r="K4718" s="26" t="s">
        <v>111</v>
      </c>
      <c r="L4718" s="27" t="s">
        <v>116</v>
      </c>
      <c r="M4718" s="10">
        <v>68.941744226128904</v>
      </c>
    </row>
    <row r="4719" spans="11:13" x14ac:dyDescent="0.25">
      <c r="K4719" s="26" t="s">
        <v>111</v>
      </c>
      <c r="L4719" s="27" t="s">
        <v>117</v>
      </c>
      <c r="M4719" s="10">
        <v>34.470872113064452</v>
      </c>
    </row>
    <row r="4720" spans="11:13" x14ac:dyDescent="0.25">
      <c r="K4720" s="26" t="s">
        <v>111</v>
      </c>
      <c r="L4720" s="27" t="s">
        <v>118</v>
      </c>
      <c r="M4720" s="10">
        <v>107.82501540357363</v>
      </c>
    </row>
    <row r="4721" spans="11:13" x14ac:dyDescent="0.25">
      <c r="K4721" s="26" t="s">
        <v>111</v>
      </c>
      <c r="L4721" s="27" t="s">
        <v>119</v>
      </c>
      <c r="M4721" s="10">
        <v>0</v>
      </c>
    </row>
    <row r="4722" spans="11:13" x14ac:dyDescent="0.25">
      <c r="K4722" s="26" t="s">
        <v>111</v>
      </c>
      <c r="L4722" s="27" t="s">
        <v>115</v>
      </c>
      <c r="M4722" s="10">
        <v>134.43640124095137</v>
      </c>
    </row>
    <row r="4723" spans="11:13" x14ac:dyDescent="0.25">
      <c r="K4723" s="26" t="s">
        <v>111</v>
      </c>
      <c r="L4723" s="27" t="s">
        <v>116</v>
      </c>
      <c r="M4723" s="10">
        <v>654.89066319048402</v>
      </c>
    </row>
    <row r="4724" spans="11:13" x14ac:dyDescent="0.25">
      <c r="K4724" s="26" t="s">
        <v>111</v>
      </c>
      <c r="L4724" s="27" t="s">
        <v>117</v>
      </c>
      <c r="M4724" s="10">
        <v>17.235436056532226</v>
      </c>
    </row>
    <row r="4725" spans="11:13" x14ac:dyDescent="0.25">
      <c r="K4725" s="26" t="s">
        <v>111</v>
      </c>
      <c r="L4725" s="27" t="s">
        <v>118</v>
      </c>
      <c r="M4725" s="10">
        <v>55.153395380903135</v>
      </c>
    </row>
    <row r="4726" spans="11:13" x14ac:dyDescent="0.25">
      <c r="K4726" s="26" t="s">
        <v>111</v>
      </c>
      <c r="L4726" s="27" t="s">
        <v>119</v>
      </c>
      <c r="M4726" s="10">
        <v>20.682523267838675</v>
      </c>
    </row>
    <row r="4727" spans="11:13" x14ac:dyDescent="0.25">
      <c r="K4727" s="26" t="s">
        <v>111</v>
      </c>
      <c r="L4727" s="27" t="s">
        <v>115</v>
      </c>
      <c r="M4727" s="10">
        <v>24.129610479145121</v>
      </c>
    </row>
    <row r="4728" spans="11:13" x14ac:dyDescent="0.25">
      <c r="K4728" s="26" t="s">
        <v>111</v>
      </c>
      <c r="L4728" s="27" t="s">
        <v>116</v>
      </c>
      <c r="M4728" s="10">
        <v>1.723543605653223</v>
      </c>
    </row>
    <row r="4729" spans="11:13" x14ac:dyDescent="0.25">
      <c r="K4729" s="26" t="s">
        <v>111</v>
      </c>
      <c r="L4729" s="27" t="s">
        <v>117</v>
      </c>
      <c r="M4729" s="10">
        <v>32.747328507411233</v>
      </c>
    </row>
    <row r="4730" spans="11:13" x14ac:dyDescent="0.25">
      <c r="K4730" s="26" t="s">
        <v>111</v>
      </c>
      <c r="L4730" s="27" t="s">
        <v>118</v>
      </c>
      <c r="M4730" s="10">
        <v>123.22858903265558</v>
      </c>
    </row>
    <row r="4731" spans="11:13" x14ac:dyDescent="0.25">
      <c r="K4731" s="26" t="s">
        <v>111</v>
      </c>
      <c r="L4731" s="27" t="s">
        <v>119</v>
      </c>
      <c r="M4731" s="10">
        <v>15.403573629081947</v>
      </c>
    </row>
    <row r="4732" spans="11:13" x14ac:dyDescent="0.25">
      <c r="K4732" s="26" t="s">
        <v>111</v>
      </c>
      <c r="L4732" s="27" t="s">
        <v>115</v>
      </c>
      <c r="M4732" s="10">
        <v>7701.7868145409739</v>
      </c>
    </row>
    <row r="4733" spans="11:13" x14ac:dyDescent="0.25">
      <c r="K4733" s="26" t="s">
        <v>111</v>
      </c>
      <c r="L4733" s="27" t="s">
        <v>116</v>
      </c>
      <c r="M4733" s="10">
        <v>7.7017868145409736</v>
      </c>
    </row>
    <row r="4734" spans="11:13" x14ac:dyDescent="0.25">
      <c r="K4734" s="26" t="s">
        <v>111</v>
      </c>
      <c r="L4734" s="27" t="s">
        <v>117</v>
      </c>
      <c r="M4734" s="10">
        <v>92.421441774491683</v>
      </c>
    </row>
    <row r="4735" spans="11:13" x14ac:dyDescent="0.25">
      <c r="K4735" s="26" t="s">
        <v>111</v>
      </c>
      <c r="L4735" s="27" t="s">
        <v>118</v>
      </c>
      <c r="M4735" s="10">
        <v>61.614294516327789</v>
      </c>
    </row>
    <row r="4736" spans="11:13" x14ac:dyDescent="0.25">
      <c r="K4736" s="26" t="s">
        <v>111</v>
      </c>
      <c r="L4736" s="27" t="s">
        <v>119</v>
      </c>
      <c r="M4736" s="10">
        <v>123.22858903265558</v>
      </c>
    </row>
    <row r="4737" spans="11:13" x14ac:dyDescent="0.25">
      <c r="K4737" s="26" t="s">
        <v>111</v>
      </c>
      <c r="L4737" s="27" t="s">
        <v>115</v>
      </c>
      <c r="M4737" s="10">
        <v>7.7017868145409736</v>
      </c>
    </row>
    <row r="4738" spans="11:13" x14ac:dyDescent="0.25">
      <c r="K4738" s="26" t="s">
        <v>111</v>
      </c>
      <c r="L4738" s="27" t="s">
        <v>116</v>
      </c>
      <c r="M4738" s="10">
        <v>32.34750462107209</v>
      </c>
    </row>
    <row r="4739" spans="11:13" x14ac:dyDescent="0.25">
      <c r="K4739" s="26" t="s">
        <v>111</v>
      </c>
      <c r="L4739" s="27" t="s">
        <v>117</v>
      </c>
      <c r="M4739" s="10">
        <v>77.017868145409736</v>
      </c>
    </row>
    <row r="4740" spans="11:13" x14ac:dyDescent="0.25">
      <c r="K4740" s="26" t="s">
        <v>111</v>
      </c>
      <c r="L4740" s="27" t="s">
        <v>118</v>
      </c>
      <c r="M4740" s="10">
        <v>123.22858903265558</v>
      </c>
    </row>
    <row r="4741" spans="11:13" x14ac:dyDescent="0.25">
      <c r="K4741" s="26" t="s">
        <v>111</v>
      </c>
      <c r="L4741" s="27" t="s">
        <v>119</v>
      </c>
      <c r="M4741" s="10">
        <v>100</v>
      </c>
    </row>
    <row r="4742" spans="11:13" x14ac:dyDescent="0.25">
      <c r="K4742" s="26" t="s">
        <v>111</v>
      </c>
      <c r="L4742" s="27" t="s">
        <v>115</v>
      </c>
      <c r="M4742" s="10">
        <v>17.802605104310071</v>
      </c>
    </row>
    <row r="4743" spans="11:13" x14ac:dyDescent="0.25">
      <c r="K4743" s="26" t="s">
        <v>111</v>
      </c>
      <c r="L4743" s="27" t="s">
        <v>116</v>
      </c>
      <c r="M4743" s="10">
        <v>73.2687957357561</v>
      </c>
    </row>
    <row r="4744" spans="11:13" x14ac:dyDescent="0.25">
      <c r="K4744" s="26" t="s">
        <v>111</v>
      </c>
      <c r="L4744" s="27" t="s">
        <v>117</v>
      </c>
      <c r="M4744" s="10">
        <v>924.21441774491689</v>
      </c>
    </row>
    <row r="4745" spans="11:13" x14ac:dyDescent="0.25">
      <c r="K4745" s="26" t="s">
        <v>111</v>
      </c>
      <c r="L4745" s="27" t="s">
        <v>118</v>
      </c>
      <c r="M4745" s="10">
        <v>123.22858903265558</v>
      </c>
    </row>
    <row r="4746" spans="11:13" x14ac:dyDescent="0.25">
      <c r="K4746" s="26" t="s">
        <v>111</v>
      </c>
      <c r="L4746" s="27" t="s">
        <v>119</v>
      </c>
      <c r="M4746" s="10">
        <v>154.03573629081947</v>
      </c>
    </row>
    <row r="4747" spans="11:13" x14ac:dyDescent="0.25">
      <c r="K4747" s="26" t="s">
        <v>111</v>
      </c>
      <c r="L4747" s="27" t="s">
        <v>115</v>
      </c>
      <c r="M4747" s="10">
        <v>154.03573629081947</v>
      </c>
    </row>
    <row r="4748" spans="11:13" x14ac:dyDescent="0.25">
      <c r="K4748" s="26" t="s">
        <v>111</v>
      </c>
      <c r="L4748" s="27" t="s">
        <v>116</v>
      </c>
      <c r="M4748" s="10">
        <v>264.74637297469025</v>
      </c>
    </row>
    <row r="4749" spans="11:13" x14ac:dyDescent="0.25">
      <c r="K4749" s="26" t="s">
        <v>111</v>
      </c>
      <c r="L4749" s="27" t="s">
        <v>117</v>
      </c>
      <c r="M4749" s="10">
        <v>23.105360443622921</v>
      </c>
    </row>
    <row r="4750" spans="11:13" x14ac:dyDescent="0.25">
      <c r="K4750" s="26" t="s">
        <v>111</v>
      </c>
      <c r="L4750" s="27" t="s">
        <v>118</v>
      </c>
      <c r="M4750" s="10">
        <v>38.508934072704868</v>
      </c>
    </row>
    <row r="4751" spans="11:13" x14ac:dyDescent="0.25">
      <c r="K4751" s="26" t="s">
        <v>110</v>
      </c>
      <c r="L4751" s="27" t="s">
        <v>119</v>
      </c>
      <c r="M4751" s="10">
        <v>38.54406228720466</v>
      </c>
    </row>
    <row r="4752" spans="11:13" x14ac:dyDescent="0.25">
      <c r="K4752" s="26" t="s">
        <v>111</v>
      </c>
      <c r="L4752" s="27" t="s">
        <v>115</v>
      </c>
      <c r="M4752" s="10">
        <v>5.511463844797178</v>
      </c>
    </row>
    <row r="4753" spans="11:13" x14ac:dyDescent="0.25">
      <c r="K4753" s="26" t="s">
        <v>111</v>
      </c>
      <c r="L4753" s="27" t="s">
        <v>116</v>
      </c>
      <c r="M4753" s="10">
        <v>25.696041524803107</v>
      </c>
    </row>
    <row r="4754" spans="11:13" x14ac:dyDescent="0.25">
      <c r="K4754" s="26" t="s">
        <v>111</v>
      </c>
      <c r="L4754" s="27" t="s">
        <v>117</v>
      </c>
      <c r="M4754" s="10">
        <v>33.06878306878307</v>
      </c>
    </row>
    <row r="4755" spans="11:13" x14ac:dyDescent="0.25">
      <c r="K4755" s="26" t="s">
        <v>111</v>
      </c>
      <c r="L4755" s="27" t="s">
        <v>118</v>
      </c>
      <c r="M4755" s="10">
        <v>94.62718794505443</v>
      </c>
    </row>
    <row r="4756" spans="11:13" x14ac:dyDescent="0.25">
      <c r="K4756" s="26" t="s">
        <v>111</v>
      </c>
      <c r="L4756" s="27" t="s">
        <v>119</v>
      </c>
      <c r="M4756" s="10">
        <v>661.37566137566137</v>
      </c>
    </row>
    <row r="4757" spans="11:13" x14ac:dyDescent="0.25">
      <c r="K4757" s="26" t="s">
        <v>112</v>
      </c>
      <c r="L4757" s="27" t="s">
        <v>115</v>
      </c>
      <c r="M4757" s="10">
        <v>770.17868145409739</v>
      </c>
    </row>
    <row r="4758" spans="11:13" x14ac:dyDescent="0.25">
      <c r="K4758" s="26" t="s">
        <v>111</v>
      </c>
      <c r="L4758" s="27" t="s">
        <v>116</v>
      </c>
      <c r="M4758" s="10">
        <v>62.047569803516026</v>
      </c>
    </row>
    <row r="4759" spans="11:13" x14ac:dyDescent="0.25">
      <c r="K4759" s="26" t="s">
        <v>111</v>
      </c>
      <c r="L4759" s="27" t="s">
        <v>117</v>
      </c>
      <c r="M4759" s="10">
        <v>103.41261633919338</v>
      </c>
    </row>
    <row r="4760" spans="11:13" x14ac:dyDescent="0.25">
      <c r="K4760" s="26" t="s">
        <v>111</v>
      </c>
      <c r="L4760" s="27" t="s">
        <v>118</v>
      </c>
      <c r="M4760" s="10">
        <v>65.178425941013529</v>
      </c>
    </row>
    <row r="4761" spans="11:13" x14ac:dyDescent="0.25">
      <c r="K4761" s="26" t="s">
        <v>111</v>
      </c>
      <c r="L4761" s="27" t="s">
        <v>119</v>
      </c>
      <c r="M4761" s="10">
        <v>19.841269841269842</v>
      </c>
    </row>
    <row r="4762" spans="11:13" x14ac:dyDescent="0.25">
      <c r="K4762" s="26" t="s">
        <v>112</v>
      </c>
      <c r="L4762" s="27" t="s">
        <v>115</v>
      </c>
      <c r="M4762" s="10">
        <v>211.79709837975219</v>
      </c>
    </row>
    <row r="4763" spans="11:13" x14ac:dyDescent="0.25">
      <c r="K4763" s="26" t="s">
        <v>111</v>
      </c>
      <c r="L4763" s="27" t="s">
        <v>116</v>
      </c>
      <c r="M4763" s="10">
        <v>105.89854918987609</v>
      </c>
    </row>
    <row r="4764" spans="11:13" x14ac:dyDescent="0.25">
      <c r="K4764" s="26" t="s">
        <v>111</v>
      </c>
      <c r="L4764" s="27" t="s">
        <v>117</v>
      </c>
      <c r="M4764" s="10">
        <v>105.89854918987609</v>
      </c>
    </row>
    <row r="4765" spans="11:13" x14ac:dyDescent="0.25">
      <c r="K4765" s="26" t="s">
        <v>111</v>
      </c>
      <c r="L4765" s="27" t="s">
        <v>118</v>
      </c>
      <c r="M4765" s="10">
        <v>20.257677659833075</v>
      </c>
    </row>
    <row r="4766" spans="11:13" x14ac:dyDescent="0.25">
      <c r="K4766" s="26" t="s">
        <v>111</v>
      </c>
      <c r="L4766" s="27" t="s">
        <v>119</v>
      </c>
      <c r="M4766" s="10">
        <v>12.707825902785132</v>
      </c>
    </row>
    <row r="4767" spans="11:13" x14ac:dyDescent="0.25">
      <c r="K4767" s="26" t="s">
        <v>111</v>
      </c>
      <c r="L4767" s="27" t="s">
        <v>115</v>
      </c>
      <c r="M4767" s="10">
        <v>86.177180282661155</v>
      </c>
    </row>
    <row r="4768" spans="11:13" x14ac:dyDescent="0.25">
      <c r="K4768" s="26" t="s">
        <v>111</v>
      </c>
      <c r="L4768" s="27" t="s">
        <v>116</v>
      </c>
      <c r="M4768" s="10">
        <v>17.636684303350968</v>
      </c>
    </row>
    <row r="4769" spans="11:13" x14ac:dyDescent="0.25">
      <c r="K4769" s="26" t="s">
        <v>111</v>
      </c>
      <c r="L4769" s="27" t="s">
        <v>117</v>
      </c>
      <c r="M4769" s="10">
        <v>61.484974239718376</v>
      </c>
    </row>
    <row r="4770" spans="11:13" x14ac:dyDescent="0.25">
      <c r="K4770" s="26" t="s">
        <v>111</v>
      </c>
      <c r="L4770" s="27" t="s">
        <v>118</v>
      </c>
      <c r="M4770" s="10">
        <v>123.22858903265558</v>
      </c>
    </row>
    <row r="4771" spans="11:13" x14ac:dyDescent="0.25">
      <c r="K4771" s="26" t="s">
        <v>111</v>
      </c>
      <c r="L4771" s="27" t="s">
        <v>119</v>
      </c>
      <c r="M4771" s="10">
        <v>77.017868145409736</v>
      </c>
    </row>
    <row r="4772" spans="11:13" x14ac:dyDescent="0.25">
      <c r="K4772" s="26" t="s">
        <v>111</v>
      </c>
      <c r="L4772" s="27" t="s">
        <v>115</v>
      </c>
      <c r="M4772" s="10">
        <v>46.210720887245841</v>
      </c>
    </row>
    <row r="4773" spans="11:13" x14ac:dyDescent="0.25">
      <c r="K4773" s="26" t="s">
        <v>111</v>
      </c>
      <c r="L4773" s="27" t="s">
        <v>116</v>
      </c>
      <c r="M4773" s="10">
        <v>123.22858903265558</v>
      </c>
    </row>
    <row r="4774" spans="11:13" x14ac:dyDescent="0.25">
      <c r="K4774" s="26" t="s">
        <v>111</v>
      </c>
      <c r="L4774" s="27" t="s">
        <v>117</v>
      </c>
      <c r="M4774" s="10">
        <v>77.017868145409736</v>
      </c>
    </row>
    <row r="4775" spans="11:13" x14ac:dyDescent="0.25">
      <c r="K4775" s="26" t="s">
        <v>111</v>
      </c>
      <c r="L4775" s="27" t="s">
        <v>118</v>
      </c>
      <c r="M4775" s="10">
        <v>23.105360443622921</v>
      </c>
    </row>
    <row r="4776" spans="11:13" x14ac:dyDescent="0.25">
      <c r="K4776" s="26" t="s">
        <v>111</v>
      </c>
      <c r="L4776" s="27" t="s">
        <v>119</v>
      </c>
      <c r="M4776" s="10">
        <v>1695.3527130519799</v>
      </c>
    </row>
    <row r="4777" spans="11:13" x14ac:dyDescent="0.25">
      <c r="K4777" s="26" t="s">
        <v>111</v>
      </c>
      <c r="L4777" s="27" t="s">
        <v>115</v>
      </c>
      <c r="M4777" s="10">
        <v>1.7636684303350971</v>
      </c>
    </row>
    <row r="4778" spans="11:13" x14ac:dyDescent="0.25">
      <c r="K4778" s="26" t="s">
        <v>112</v>
      </c>
      <c r="L4778" s="27" t="s">
        <v>116</v>
      </c>
      <c r="M4778" s="10">
        <v>44.091710758377424</v>
      </c>
    </row>
    <row r="4779" spans="11:13" x14ac:dyDescent="0.25">
      <c r="K4779" s="26" t="s">
        <v>111</v>
      </c>
      <c r="L4779" s="27" t="s">
        <v>117</v>
      </c>
      <c r="M4779" s="10">
        <v>158.84782378481412</v>
      </c>
    </row>
    <row r="4780" spans="11:13" x14ac:dyDescent="0.25">
      <c r="K4780" s="26" t="s">
        <v>111</v>
      </c>
      <c r="L4780" s="27" t="s">
        <v>118</v>
      </c>
      <c r="M4780" s="10">
        <v>52.949274594938046</v>
      </c>
    </row>
    <row r="4781" spans="11:13" x14ac:dyDescent="0.25">
      <c r="K4781" s="26" t="s">
        <v>111</v>
      </c>
      <c r="L4781" s="27" t="s">
        <v>119</v>
      </c>
      <c r="M4781" s="10">
        <v>21.179709837975221</v>
      </c>
    </row>
    <row r="4782" spans="11:13" x14ac:dyDescent="0.25">
      <c r="K4782" s="26" t="s">
        <v>111</v>
      </c>
      <c r="L4782" s="27" t="s">
        <v>115</v>
      </c>
      <c r="M4782" s="10">
        <v>52.949274594938046</v>
      </c>
    </row>
    <row r="4783" spans="11:13" x14ac:dyDescent="0.25">
      <c r="K4783" s="26" t="s">
        <v>111</v>
      </c>
      <c r="L4783" s="27" t="s">
        <v>116</v>
      </c>
      <c r="M4783" s="10">
        <v>105.89854918987609</v>
      </c>
    </row>
    <row r="4784" spans="11:13" x14ac:dyDescent="0.25">
      <c r="K4784" s="26" t="s">
        <v>111</v>
      </c>
      <c r="L4784" s="27" t="s">
        <v>117</v>
      </c>
      <c r="M4784" s="10">
        <v>8.4718839351900872</v>
      </c>
    </row>
    <row r="4785" spans="11:13" x14ac:dyDescent="0.25">
      <c r="K4785" s="26" t="s">
        <v>111</v>
      </c>
      <c r="L4785" s="27" t="s">
        <v>118</v>
      </c>
      <c r="M4785" s="10">
        <v>254.15651805570261</v>
      </c>
    </row>
    <row r="4786" spans="11:13" x14ac:dyDescent="0.25">
      <c r="K4786" s="26" t="s">
        <v>110</v>
      </c>
      <c r="L4786" s="27" t="s">
        <v>119</v>
      </c>
      <c r="M4786" s="10">
        <v>1763.6684303350971</v>
      </c>
    </row>
    <row r="4787" spans="11:13" x14ac:dyDescent="0.25">
      <c r="K4787" s="26" t="s">
        <v>111</v>
      </c>
      <c r="L4787" s="27" t="s">
        <v>115</v>
      </c>
      <c r="M4787" s="10">
        <v>881.83421516754856</v>
      </c>
    </row>
    <row r="4788" spans="11:13" x14ac:dyDescent="0.25">
      <c r="K4788" s="26" t="s">
        <v>111</v>
      </c>
      <c r="L4788" s="27" t="s">
        <v>116</v>
      </c>
      <c r="M4788" s="10">
        <v>211.79709837975219</v>
      </c>
    </row>
    <row r="4789" spans="11:13" x14ac:dyDescent="0.25">
      <c r="K4789" s="26" t="s">
        <v>111</v>
      </c>
      <c r="L4789" s="27" t="s">
        <v>117</v>
      </c>
      <c r="M4789" s="10">
        <v>55.114638447971785</v>
      </c>
    </row>
    <row r="4790" spans="11:13" x14ac:dyDescent="0.25">
      <c r="K4790" s="26" t="s">
        <v>111</v>
      </c>
      <c r="L4790" s="27" t="s">
        <v>118</v>
      </c>
      <c r="M4790" s="10">
        <v>33.06878306878307</v>
      </c>
    </row>
    <row r="4791" spans="11:13" x14ac:dyDescent="0.25">
      <c r="K4791" s="26" t="s">
        <v>111</v>
      </c>
      <c r="L4791" s="27" t="s">
        <v>119</v>
      </c>
      <c r="M4791" s="10">
        <v>44.091710758377424</v>
      </c>
    </row>
    <row r="4792" spans="11:13" x14ac:dyDescent="0.25">
      <c r="K4792" s="26" t="s">
        <v>112</v>
      </c>
      <c r="L4792" s="27" t="s">
        <v>115</v>
      </c>
      <c r="M4792" s="10">
        <v>400</v>
      </c>
    </row>
    <row r="4793" spans="11:13" x14ac:dyDescent="0.25">
      <c r="K4793" s="26" t="s">
        <v>112</v>
      </c>
      <c r="L4793" s="27" t="s">
        <v>116</v>
      </c>
      <c r="M4793" s="10">
        <v>46.210720887245841</v>
      </c>
    </row>
    <row r="4794" spans="11:13" x14ac:dyDescent="0.25">
      <c r="K4794" s="26" t="s">
        <v>112</v>
      </c>
      <c r="L4794" s="27" t="s">
        <v>117</v>
      </c>
      <c r="M4794" s="10">
        <v>13.737899200454269</v>
      </c>
    </row>
    <row r="4795" spans="11:13" x14ac:dyDescent="0.25">
      <c r="K4795" s="26" t="s">
        <v>113</v>
      </c>
      <c r="L4795" s="27" t="s">
        <v>118</v>
      </c>
      <c r="M4795" s="10">
        <v>54.951596801817075</v>
      </c>
    </row>
    <row r="4796" spans="11:13" x14ac:dyDescent="0.25">
      <c r="K4796" s="26" t="s">
        <v>113</v>
      </c>
      <c r="L4796" s="27" t="s">
        <v>119</v>
      </c>
      <c r="M4796" s="10">
        <v>295.30423280423281</v>
      </c>
    </row>
    <row r="4797" spans="11:13" x14ac:dyDescent="0.25">
      <c r="K4797" s="26" t="s">
        <v>112</v>
      </c>
      <c r="L4797" s="27" t="s">
        <v>115</v>
      </c>
      <c r="M4797" s="10">
        <v>26.071370376405412</v>
      </c>
    </row>
    <row r="4798" spans="11:13" x14ac:dyDescent="0.25">
      <c r="K4798" s="26" t="s">
        <v>112</v>
      </c>
      <c r="L4798" s="27" t="s">
        <v>116</v>
      </c>
      <c r="M4798" s="10">
        <v>918.82207010612387</v>
      </c>
    </row>
    <row r="4799" spans="11:13" x14ac:dyDescent="0.25">
      <c r="K4799" s="26" t="s">
        <v>109</v>
      </c>
      <c r="L4799" s="27" t="s">
        <v>117</v>
      </c>
      <c r="M4799" s="10">
        <v>122.96994847943675</v>
      </c>
    </row>
    <row r="4800" spans="11:13" x14ac:dyDescent="0.25">
      <c r="K4800" s="26" t="s">
        <v>109</v>
      </c>
      <c r="L4800" s="27" t="s">
        <v>118</v>
      </c>
      <c r="M4800" s="10">
        <v>154.03573629081947</v>
      </c>
    </row>
    <row r="4801" spans="11:13" x14ac:dyDescent="0.25">
      <c r="K4801" s="26" t="s">
        <v>109</v>
      </c>
      <c r="L4801" s="27" t="s">
        <v>119</v>
      </c>
      <c r="M4801" s="10">
        <v>89.340727048675291</v>
      </c>
    </row>
    <row r="4802" spans="11:13" x14ac:dyDescent="0.25">
      <c r="K4802" s="26" t="s">
        <v>113</v>
      </c>
      <c r="L4802" s="27" t="s">
        <v>115</v>
      </c>
      <c r="M4802" s="10">
        <v>27.576697690451567</v>
      </c>
    </row>
    <row r="4803" spans="11:13" x14ac:dyDescent="0.25">
      <c r="K4803" s="26" t="s">
        <v>109</v>
      </c>
      <c r="L4803" s="27" t="s">
        <v>116</v>
      </c>
      <c r="M4803" s="10">
        <v>34.470872113064452</v>
      </c>
    </row>
    <row r="4804" spans="11:13" x14ac:dyDescent="0.25">
      <c r="K4804" s="26" t="s">
        <v>109</v>
      </c>
      <c r="L4804" s="27" t="s">
        <v>117</v>
      </c>
      <c r="M4804" s="10">
        <v>27.576697690451567</v>
      </c>
    </row>
    <row r="4805" spans="11:13" x14ac:dyDescent="0.25">
      <c r="K4805" s="26" t="s">
        <v>109</v>
      </c>
      <c r="L4805" s="27" t="s">
        <v>118</v>
      </c>
      <c r="M4805" s="10">
        <v>8.617718028266113</v>
      </c>
    </row>
    <row r="4806" spans="11:13" x14ac:dyDescent="0.25">
      <c r="K4806" s="26" t="s">
        <v>109</v>
      </c>
      <c r="L4806" s="27" t="s">
        <v>119</v>
      </c>
      <c r="M4806" s="10">
        <v>55.114638447971785</v>
      </c>
    </row>
    <row r="4807" spans="11:13" x14ac:dyDescent="0.25">
      <c r="K4807" s="26" t="s">
        <v>109</v>
      </c>
      <c r="L4807" s="27" t="s">
        <v>115</v>
      </c>
      <c r="M4807" s="10">
        <v>105.89854918987609</v>
      </c>
    </row>
    <row r="4808" spans="11:13" x14ac:dyDescent="0.25">
      <c r="K4808" s="26" t="s">
        <v>113</v>
      </c>
      <c r="L4808" s="27" t="s">
        <v>116</v>
      </c>
      <c r="M4808" s="10">
        <v>741.28984432913273</v>
      </c>
    </row>
    <row r="4809" spans="11:13" x14ac:dyDescent="0.25">
      <c r="K4809" s="26" t="s">
        <v>113</v>
      </c>
      <c r="L4809" s="27" t="s">
        <v>117</v>
      </c>
      <c r="M4809" s="10">
        <v>211.79709837975219</v>
      </c>
    </row>
    <row r="4810" spans="11:13" x14ac:dyDescent="0.25">
      <c r="K4810" s="26" t="s">
        <v>113</v>
      </c>
      <c r="L4810" s="27" t="s">
        <v>118</v>
      </c>
      <c r="M4810" s="10">
        <v>30.807147258163894</v>
      </c>
    </row>
    <row r="4811" spans="11:13" x14ac:dyDescent="0.25">
      <c r="K4811" s="26" t="s">
        <v>113</v>
      </c>
      <c r="L4811" s="27" t="s">
        <v>119</v>
      </c>
      <c r="M4811" s="10">
        <v>123.22858903265558</v>
      </c>
    </row>
    <row r="4812" spans="11:13" x14ac:dyDescent="0.25">
      <c r="K4812" s="26" t="s">
        <v>109</v>
      </c>
      <c r="L4812" s="27" t="s">
        <v>115</v>
      </c>
      <c r="M4812" s="10">
        <v>308.07147258163894</v>
      </c>
    </row>
    <row r="4813" spans="11:13" x14ac:dyDescent="0.25">
      <c r="K4813" s="26" t="s">
        <v>113</v>
      </c>
      <c r="L4813" s="27" t="s">
        <v>116</v>
      </c>
      <c r="M4813" s="10">
        <v>15.403573629081947</v>
      </c>
    </row>
    <row r="4814" spans="11:13" x14ac:dyDescent="0.25">
      <c r="K4814" s="26" t="s">
        <v>111</v>
      </c>
      <c r="L4814" s="27" t="s">
        <v>117</v>
      </c>
      <c r="M4814" s="10">
        <v>924.21441774491689</v>
      </c>
    </row>
    <row r="4815" spans="11:13" x14ac:dyDescent="0.25">
      <c r="K4815" s="26" t="s">
        <v>109</v>
      </c>
      <c r="L4815" s="27" t="s">
        <v>118</v>
      </c>
      <c r="M4815" s="10">
        <v>308.07147258163894</v>
      </c>
    </row>
    <row r="4816" spans="11:13" x14ac:dyDescent="0.25">
      <c r="K4816" s="26" t="s">
        <v>109</v>
      </c>
      <c r="L4816" s="27" t="s">
        <v>119</v>
      </c>
      <c r="M4816" s="10">
        <v>924.21441774491689</v>
      </c>
    </row>
    <row r="4817" spans="11:13" x14ac:dyDescent="0.25">
      <c r="K4817" s="26" t="s">
        <v>109</v>
      </c>
      <c r="L4817" s="27" t="s">
        <v>115</v>
      </c>
      <c r="M4817" s="10">
        <v>462.10720887245844</v>
      </c>
    </row>
    <row r="4818" spans="11:13" x14ac:dyDescent="0.25">
      <c r="K4818" s="26" t="s">
        <v>109</v>
      </c>
      <c r="L4818" s="27" t="s">
        <v>116</v>
      </c>
      <c r="M4818" s="10">
        <v>30.807147258163894</v>
      </c>
    </row>
    <row r="4819" spans="11:13" x14ac:dyDescent="0.25">
      <c r="K4819" s="26" t="s">
        <v>112</v>
      </c>
      <c r="L4819" s="27" t="s">
        <v>117</v>
      </c>
      <c r="M4819" s="10">
        <v>462.10720887245844</v>
      </c>
    </row>
    <row r="4820" spans="11:13" x14ac:dyDescent="0.25">
      <c r="K4820" s="26" t="s">
        <v>112</v>
      </c>
      <c r="L4820" s="27" t="s">
        <v>118</v>
      </c>
      <c r="M4820" s="10">
        <v>46.210720887245841</v>
      </c>
    </row>
    <row r="4821" spans="11:13" x14ac:dyDescent="0.25">
      <c r="K4821" s="26" t="s">
        <v>109</v>
      </c>
      <c r="L4821" s="27" t="s">
        <v>119</v>
      </c>
      <c r="M4821" s="10">
        <v>77.017868145409736</v>
      </c>
    </row>
    <row r="4822" spans="11:13" x14ac:dyDescent="0.25">
      <c r="K4822" s="26" t="s">
        <v>109</v>
      </c>
      <c r="L4822" s="27" t="s">
        <v>115</v>
      </c>
      <c r="M4822" s="10">
        <v>462.10720887245844</v>
      </c>
    </row>
    <row r="4823" spans="11:13" x14ac:dyDescent="0.25">
      <c r="K4823" s="26" t="s">
        <v>111</v>
      </c>
      <c r="L4823" s="27" t="s">
        <v>116</v>
      </c>
      <c r="M4823" s="10">
        <v>1.5403573629081945E-4</v>
      </c>
    </row>
    <row r="4824" spans="11:13" x14ac:dyDescent="0.25">
      <c r="K4824" s="26" t="s">
        <v>109</v>
      </c>
      <c r="L4824" s="27" t="s">
        <v>117</v>
      </c>
      <c r="M4824" s="10">
        <v>46.210720887245841</v>
      </c>
    </row>
    <row r="4825" spans="11:13" x14ac:dyDescent="0.25">
      <c r="K4825" s="26" t="s">
        <v>109</v>
      </c>
      <c r="L4825" s="27" t="s">
        <v>118</v>
      </c>
      <c r="M4825" s="10">
        <v>61.614294516327789</v>
      </c>
    </row>
    <row r="4826" spans="11:13" x14ac:dyDescent="0.25">
      <c r="K4826" s="26" t="s">
        <v>112</v>
      </c>
      <c r="L4826" s="27" t="s">
        <v>119</v>
      </c>
      <c r="M4826" s="10">
        <v>61.614294516327789</v>
      </c>
    </row>
    <row r="4827" spans="11:13" x14ac:dyDescent="0.25">
      <c r="K4827" s="26" t="s">
        <v>109</v>
      </c>
      <c r="L4827" s="27" t="s">
        <v>115</v>
      </c>
      <c r="M4827" s="10">
        <v>61.614294516327789</v>
      </c>
    </row>
    <row r="4828" spans="11:13" x14ac:dyDescent="0.25">
      <c r="K4828" s="26" t="s">
        <v>109</v>
      </c>
      <c r="L4828" s="27" t="s">
        <v>116</v>
      </c>
      <c r="M4828" s="10">
        <v>61.614294516327789</v>
      </c>
    </row>
    <row r="4829" spans="11:13" x14ac:dyDescent="0.25">
      <c r="K4829" s="26" t="s">
        <v>109</v>
      </c>
      <c r="L4829" s="27" t="s">
        <v>117</v>
      </c>
      <c r="M4829" s="10">
        <v>61.614294516327789</v>
      </c>
    </row>
    <row r="4830" spans="11:13" x14ac:dyDescent="0.25">
      <c r="K4830" s="26" t="s">
        <v>114</v>
      </c>
      <c r="L4830" s="27" t="s">
        <v>118</v>
      </c>
      <c r="M4830" s="10">
        <v>61.614294516327789</v>
      </c>
    </row>
    <row r="4831" spans="11:13" x14ac:dyDescent="0.25">
      <c r="K4831" s="26" t="s">
        <v>114</v>
      </c>
      <c r="L4831" s="27" t="s">
        <v>119</v>
      </c>
      <c r="M4831" s="10">
        <v>61.614294516327789</v>
      </c>
    </row>
    <row r="4832" spans="11:13" x14ac:dyDescent="0.25">
      <c r="K4832" s="26" t="s">
        <v>114</v>
      </c>
      <c r="L4832" s="27" t="s">
        <v>115</v>
      </c>
      <c r="M4832" s="10">
        <v>46.210720887245841</v>
      </c>
    </row>
    <row r="4833" spans="11:13" x14ac:dyDescent="0.25">
      <c r="K4833" s="26" t="s">
        <v>113</v>
      </c>
      <c r="L4833" s="27" t="s">
        <v>116</v>
      </c>
      <c r="M4833" s="10">
        <v>61.614294516327789</v>
      </c>
    </row>
    <row r="4834" spans="11:13" x14ac:dyDescent="0.25">
      <c r="K4834" s="26" t="s">
        <v>113</v>
      </c>
      <c r="L4834" s="27" t="s">
        <v>117</v>
      </c>
      <c r="M4834" s="10">
        <v>46.210720887245841</v>
      </c>
    </row>
    <row r="4835" spans="11:13" x14ac:dyDescent="0.25">
      <c r="K4835" s="26" t="s">
        <v>110</v>
      </c>
      <c r="L4835" s="27" t="s">
        <v>118</v>
      </c>
      <c r="M4835" s="10">
        <v>0.61614294516327783</v>
      </c>
    </row>
    <row r="4836" spans="11:13" x14ac:dyDescent="0.25">
      <c r="K4836" s="26" t="s">
        <v>111</v>
      </c>
      <c r="L4836" s="27" t="s">
        <v>119</v>
      </c>
      <c r="M4836" s="10">
        <v>0.61614294516327783</v>
      </c>
    </row>
    <row r="4837" spans="11:13" x14ac:dyDescent="0.25">
      <c r="K4837" s="26" t="s">
        <v>111</v>
      </c>
      <c r="L4837" s="27" t="s">
        <v>115</v>
      </c>
      <c r="M4837" s="10">
        <v>77.017868145409736</v>
      </c>
    </row>
    <row r="4838" spans="11:13" x14ac:dyDescent="0.25">
      <c r="K4838" s="26" t="s">
        <v>111</v>
      </c>
      <c r="L4838" s="27" t="s">
        <v>116</v>
      </c>
      <c r="M4838" s="10">
        <v>31.023784901758013</v>
      </c>
    </row>
    <row r="4839" spans="11:13" x14ac:dyDescent="0.25">
      <c r="K4839" s="26" t="s">
        <v>113</v>
      </c>
      <c r="L4839" s="27" t="s">
        <v>117</v>
      </c>
      <c r="M4839" s="10">
        <v>2.5853154084798344</v>
      </c>
    </row>
    <row r="4840" spans="11:13" x14ac:dyDescent="0.25">
      <c r="K4840" s="26" t="s">
        <v>114</v>
      </c>
      <c r="L4840" s="27" t="s">
        <v>118</v>
      </c>
      <c r="M4840" s="10">
        <v>34.470872113064452</v>
      </c>
    </row>
    <row r="4841" spans="11:13" x14ac:dyDescent="0.25">
      <c r="K4841" s="26" t="s">
        <v>114</v>
      </c>
      <c r="L4841" s="27" t="s">
        <v>119</v>
      </c>
      <c r="M4841" s="10">
        <v>9.6518441916580482</v>
      </c>
    </row>
    <row r="4842" spans="11:13" x14ac:dyDescent="0.25">
      <c r="K4842" s="26" t="s">
        <v>109</v>
      </c>
      <c r="L4842" s="27" t="s">
        <v>115</v>
      </c>
      <c r="M4842" s="10">
        <v>2.6393689052201506</v>
      </c>
    </row>
    <row r="4843" spans="11:13" x14ac:dyDescent="0.25">
      <c r="K4843" s="26" t="s">
        <v>109</v>
      </c>
      <c r="L4843" s="27" t="s">
        <v>116</v>
      </c>
      <c r="M4843" s="10">
        <v>38.508934072704868</v>
      </c>
    </row>
    <row r="4844" spans="11:13" x14ac:dyDescent="0.25">
      <c r="K4844" s="26" t="s">
        <v>110</v>
      </c>
      <c r="L4844" s="27" t="s">
        <v>117</v>
      </c>
      <c r="M4844" s="10">
        <v>308.07147258163894</v>
      </c>
    </row>
    <row r="4845" spans="11:13" x14ac:dyDescent="0.25">
      <c r="K4845" s="26" t="s">
        <v>110</v>
      </c>
      <c r="L4845" s="27" t="s">
        <v>118</v>
      </c>
      <c r="M4845" s="10">
        <v>58.99819972466377</v>
      </c>
    </row>
    <row r="4846" spans="11:13" x14ac:dyDescent="0.25">
      <c r="K4846" s="26" t="s">
        <v>109</v>
      </c>
      <c r="L4846" s="27" t="s">
        <v>119</v>
      </c>
      <c r="M4846" s="10">
        <v>137.37899200454268</v>
      </c>
    </row>
    <row r="4847" spans="11:13" x14ac:dyDescent="0.25">
      <c r="K4847" s="26" t="s">
        <v>114</v>
      </c>
      <c r="L4847" s="27" t="s">
        <v>115</v>
      </c>
      <c r="M4847" s="10">
        <v>9.65</v>
      </c>
    </row>
    <row r="4848" spans="11:13" x14ac:dyDescent="0.25">
      <c r="K4848" s="26" t="s">
        <v>114</v>
      </c>
      <c r="L4848" s="27" t="s">
        <v>116</v>
      </c>
      <c r="M4848" s="10">
        <v>107.82501540357363</v>
      </c>
    </row>
    <row r="4849" spans="11:13" x14ac:dyDescent="0.25">
      <c r="K4849" s="26" t="s">
        <v>110</v>
      </c>
      <c r="L4849" s="27" t="s">
        <v>117</v>
      </c>
      <c r="M4849" s="10">
        <v>46.210720887245841</v>
      </c>
    </row>
    <row r="4850" spans="11:13" x14ac:dyDescent="0.25">
      <c r="K4850" s="26" t="s">
        <v>113</v>
      </c>
      <c r="L4850" s="27" t="s">
        <v>118</v>
      </c>
      <c r="M4850" s="10">
        <v>308.07147258163894</v>
      </c>
    </row>
    <row r="4851" spans="11:13" x14ac:dyDescent="0.25">
      <c r="K4851" s="26" t="s">
        <v>113</v>
      </c>
      <c r="L4851" s="27" t="s">
        <v>119</v>
      </c>
      <c r="M4851" s="10">
        <v>881.83421516754856</v>
      </c>
    </row>
    <row r="4852" spans="11:13" x14ac:dyDescent="0.25">
      <c r="K4852" s="26" t="s">
        <v>110</v>
      </c>
      <c r="L4852" s="27" t="s">
        <v>115</v>
      </c>
      <c r="M4852" s="10">
        <v>48.967151675485006</v>
      </c>
    </row>
    <row r="4853" spans="11:13" x14ac:dyDescent="0.25">
      <c r="K4853" s="26" t="s">
        <v>110</v>
      </c>
      <c r="L4853" s="27" t="s">
        <v>116</v>
      </c>
      <c r="M4853" s="10">
        <v>220.45855379188714</v>
      </c>
    </row>
    <row r="4854" spans="11:13" x14ac:dyDescent="0.25">
      <c r="K4854" s="26" t="s">
        <v>113</v>
      </c>
      <c r="L4854" s="27" t="s">
        <v>117</v>
      </c>
      <c r="M4854" s="10">
        <v>489.67151675485013</v>
      </c>
    </row>
    <row r="4855" spans="11:13" x14ac:dyDescent="0.25">
      <c r="K4855" s="26" t="s">
        <v>111</v>
      </c>
      <c r="L4855" s="27" t="s">
        <v>118</v>
      </c>
      <c r="M4855" s="10">
        <v>115.63218686161397</v>
      </c>
    </row>
    <row r="4856" spans="11:13" x14ac:dyDescent="0.25">
      <c r="K4856" s="26" t="s">
        <v>111</v>
      </c>
      <c r="L4856" s="27" t="s">
        <v>119</v>
      </c>
      <c r="M4856" s="10">
        <v>62.60030864197531</v>
      </c>
    </row>
    <row r="4857" spans="11:13" x14ac:dyDescent="0.25">
      <c r="K4857" s="26" t="s">
        <v>110</v>
      </c>
      <c r="L4857" s="27" t="s">
        <v>115</v>
      </c>
      <c r="M4857" s="10">
        <v>641.10196268786581</v>
      </c>
    </row>
    <row r="4858" spans="11:13" x14ac:dyDescent="0.25">
      <c r="K4858" s="26" t="s">
        <v>110</v>
      </c>
      <c r="L4858" s="27" t="s">
        <v>116</v>
      </c>
      <c r="M4858" s="10">
        <v>77.017868145409736</v>
      </c>
    </row>
    <row r="4859" spans="11:13" x14ac:dyDescent="0.25">
      <c r="K4859" s="26" t="s">
        <v>113</v>
      </c>
      <c r="L4859" s="27" t="s">
        <v>117</v>
      </c>
      <c r="M4859" s="10">
        <v>53.912507701786815</v>
      </c>
    </row>
    <row r="4860" spans="11:13" x14ac:dyDescent="0.25">
      <c r="K4860" s="26" t="s">
        <v>113</v>
      </c>
      <c r="L4860" s="27" t="s">
        <v>118</v>
      </c>
      <c r="M4860" s="10">
        <v>183.17198933939025</v>
      </c>
    </row>
    <row r="4861" spans="11:13" x14ac:dyDescent="0.25">
      <c r="K4861" s="26" t="s">
        <v>111</v>
      </c>
      <c r="L4861" s="27" t="s">
        <v>119</v>
      </c>
      <c r="M4861" s="10">
        <v>48.540577174938413</v>
      </c>
    </row>
    <row r="4862" spans="11:13" x14ac:dyDescent="0.25">
      <c r="K4862" s="26" t="s">
        <v>111</v>
      </c>
      <c r="L4862" s="27" t="s">
        <v>115</v>
      </c>
      <c r="M4862" s="10">
        <v>105.51447935921134</v>
      </c>
    </row>
    <row r="4863" spans="11:13" x14ac:dyDescent="0.25">
      <c r="K4863" s="26" t="s">
        <v>111</v>
      </c>
      <c r="L4863" s="27" t="s">
        <v>116</v>
      </c>
      <c r="M4863" s="10">
        <v>46.210720887245841</v>
      </c>
    </row>
    <row r="4864" spans="11:13" x14ac:dyDescent="0.25">
      <c r="K4864" s="26" t="s">
        <v>111</v>
      </c>
      <c r="L4864" s="27" t="s">
        <v>117</v>
      </c>
      <c r="M4864" s="10">
        <v>46.210720887245841</v>
      </c>
    </row>
    <row r="4865" spans="11:13" x14ac:dyDescent="0.25">
      <c r="K4865" s="26" t="s">
        <v>111</v>
      </c>
      <c r="L4865" s="27" t="s">
        <v>118</v>
      </c>
      <c r="M4865" s="10">
        <v>61.614294516327789</v>
      </c>
    </row>
    <row r="4866" spans="11:13" x14ac:dyDescent="0.25">
      <c r="K4866" s="26" t="s">
        <v>111</v>
      </c>
      <c r="L4866" s="27" t="s">
        <v>119</v>
      </c>
      <c r="M4866" s="10">
        <v>77.017868145409736</v>
      </c>
    </row>
    <row r="4867" spans="11:13" x14ac:dyDescent="0.25">
      <c r="K4867" s="26" t="s">
        <v>112</v>
      </c>
      <c r="L4867" s="27" t="s">
        <v>115</v>
      </c>
      <c r="M4867" s="10">
        <v>77.017868145409736</v>
      </c>
    </row>
    <row r="4868" spans="11:13" x14ac:dyDescent="0.25">
      <c r="K4868" s="26" t="s">
        <v>112</v>
      </c>
      <c r="L4868" s="27" t="s">
        <v>116</v>
      </c>
      <c r="M4868" s="10">
        <v>77.017868145409736</v>
      </c>
    </row>
    <row r="4869" spans="11:13" x14ac:dyDescent="0.25">
      <c r="K4869" s="26" t="s">
        <v>109</v>
      </c>
      <c r="L4869" s="27" t="s">
        <v>117</v>
      </c>
      <c r="M4869" s="10">
        <v>50</v>
      </c>
    </row>
    <row r="4870" spans="11:13" x14ac:dyDescent="0.25">
      <c r="K4870" s="26" t="s">
        <v>109</v>
      </c>
      <c r="L4870" s="27" t="s">
        <v>118</v>
      </c>
      <c r="M4870" s="10">
        <v>62</v>
      </c>
    </row>
    <row r="4871" spans="11:13" x14ac:dyDescent="0.25">
      <c r="K4871" s="26" t="s">
        <v>109</v>
      </c>
      <c r="L4871" s="27" t="s">
        <v>119</v>
      </c>
      <c r="M4871" s="10">
        <v>924.21441774491689</v>
      </c>
    </row>
    <row r="4872" spans="11:13" x14ac:dyDescent="0.25">
      <c r="K4872" s="26" t="s">
        <v>110</v>
      </c>
      <c r="L4872" s="27" t="s">
        <v>115</v>
      </c>
      <c r="M4872" s="10">
        <v>616.14294516327789</v>
      </c>
    </row>
    <row r="4873" spans="11:13" x14ac:dyDescent="0.25">
      <c r="K4873" s="26" t="s">
        <v>111</v>
      </c>
      <c r="L4873" s="27" t="s">
        <v>116</v>
      </c>
      <c r="M4873" s="10">
        <v>616.14294516327789</v>
      </c>
    </row>
    <row r="4874" spans="11:13" x14ac:dyDescent="0.25">
      <c r="K4874" s="26" t="s">
        <v>111</v>
      </c>
      <c r="L4874" s="27" t="s">
        <v>117</v>
      </c>
      <c r="M4874" s="10">
        <v>50</v>
      </c>
    </row>
    <row r="4875" spans="11:13" x14ac:dyDescent="0.25">
      <c r="K4875" s="26" t="s">
        <v>111</v>
      </c>
      <c r="L4875" s="27" t="s">
        <v>118</v>
      </c>
      <c r="M4875" s="10">
        <v>94.508717614469617</v>
      </c>
    </row>
    <row r="4876" spans="11:13" x14ac:dyDescent="0.25">
      <c r="K4876" s="26" t="s">
        <v>111</v>
      </c>
      <c r="L4876" s="27" t="s">
        <v>119</v>
      </c>
      <c r="M4876" s="10">
        <v>45.792997334847563</v>
      </c>
    </row>
    <row r="4877" spans="11:13" x14ac:dyDescent="0.25">
      <c r="K4877" s="26" t="s">
        <v>111</v>
      </c>
      <c r="L4877" s="27" t="s">
        <v>115</v>
      </c>
      <c r="M4877" s="10">
        <v>43.454585537918874</v>
      </c>
    </row>
    <row r="4878" spans="11:13" x14ac:dyDescent="0.25">
      <c r="K4878" s="26" t="s">
        <v>111</v>
      </c>
      <c r="L4878" s="27" t="s">
        <v>116</v>
      </c>
      <c r="M4878" s="10">
        <v>29.861717278449028</v>
      </c>
    </row>
    <row r="4879" spans="11:13" x14ac:dyDescent="0.25">
      <c r="K4879" s="26" t="s">
        <v>109</v>
      </c>
      <c r="L4879" s="27" t="s">
        <v>117</v>
      </c>
      <c r="M4879" s="10">
        <v>48.410996208204068</v>
      </c>
    </row>
    <row r="4880" spans="11:13" x14ac:dyDescent="0.25">
      <c r="K4880" s="26" t="s">
        <v>113</v>
      </c>
      <c r="L4880" s="27" t="s">
        <v>118</v>
      </c>
      <c r="M4880" s="10">
        <v>2425.0440917107585</v>
      </c>
    </row>
    <row r="4881" spans="11:13" x14ac:dyDescent="0.25">
      <c r="K4881" s="26" t="s">
        <v>113</v>
      </c>
      <c r="L4881" s="27" t="s">
        <v>119</v>
      </c>
      <c r="M4881" s="10">
        <v>13.401675485008818</v>
      </c>
    </row>
    <row r="4882" spans="11:13" x14ac:dyDescent="0.25">
      <c r="K4882" s="26" t="s">
        <v>113</v>
      </c>
      <c r="L4882" s="27" t="s">
        <v>115</v>
      </c>
      <c r="M4882" s="10">
        <v>55.153395380903135</v>
      </c>
    </row>
    <row r="4883" spans="11:13" x14ac:dyDescent="0.25">
      <c r="K4883" s="26" t="s">
        <v>113</v>
      </c>
      <c r="L4883" s="27" t="s">
        <v>116</v>
      </c>
      <c r="M4883" s="10">
        <v>15.4320987654321</v>
      </c>
    </row>
    <row r="4884" spans="11:13" x14ac:dyDescent="0.25">
      <c r="K4884" s="26" t="s">
        <v>111</v>
      </c>
      <c r="L4884" s="27" t="s">
        <v>117</v>
      </c>
      <c r="M4884" s="10">
        <v>30.8641975308642</v>
      </c>
    </row>
    <row r="4885" spans="11:13" x14ac:dyDescent="0.25">
      <c r="K4885" s="26" t="s">
        <v>111</v>
      </c>
      <c r="L4885" s="27" t="s">
        <v>118</v>
      </c>
      <c r="M4885" s="10">
        <v>17.235436056532226</v>
      </c>
    </row>
    <row r="4886" spans="11:13" x14ac:dyDescent="0.25">
      <c r="K4886" s="26" t="s">
        <v>111</v>
      </c>
      <c r="L4886" s="27" t="s">
        <v>119</v>
      </c>
      <c r="M4886" s="10">
        <v>97.081154349876826</v>
      </c>
    </row>
    <row r="4887" spans="11:13" x14ac:dyDescent="0.25">
      <c r="K4887" s="26" t="s">
        <v>111</v>
      </c>
      <c r="L4887" s="27" t="s">
        <v>115</v>
      </c>
      <c r="M4887" s="10">
        <v>110.22927689594357</v>
      </c>
    </row>
    <row r="4888" spans="11:13" x14ac:dyDescent="0.25">
      <c r="K4888" s="26" t="s">
        <v>111</v>
      </c>
      <c r="L4888" s="27" t="s">
        <v>116</v>
      </c>
      <c r="M4888" s="10">
        <v>440.91710758377428</v>
      </c>
    </row>
    <row r="4889" spans="11:13" x14ac:dyDescent="0.25">
      <c r="K4889" s="26" t="s">
        <v>110</v>
      </c>
      <c r="L4889" s="27" t="s">
        <v>117</v>
      </c>
      <c r="M4889" s="10">
        <v>66.137566137566139</v>
      </c>
    </row>
    <row r="4890" spans="11:13" x14ac:dyDescent="0.25">
      <c r="K4890" s="26" t="s">
        <v>113</v>
      </c>
      <c r="L4890" s="27" t="s">
        <v>118</v>
      </c>
      <c r="M4890" s="10">
        <v>78.331038864767564</v>
      </c>
    </row>
    <row r="4891" spans="11:13" x14ac:dyDescent="0.25">
      <c r="K4891" s="26" t="s">
        <v>111</v>
      </c>
      <c r="L4891" s="27" t="s">
        <v>119</v>
      </c>
      <c r="M4891" s="10">
        <v>75</v>
      </c>
    </row>
    <row r="4892" spans="11:13" x14ac:dyDescent="0.25">
      <c r="K4892" s="26" t="s">
        <v>111</v>
      </c>
      <c r="L4892" s="27" t="s">
        <v>115</v>
      </c>
      <c r="M4892" s="10">
        <v>154.03573629081947</v>
      </c>
    </row>
    <row r="4893" spans="11:13" x14ac:dyDescent="0.25">
      <c r="K4893" s="26" t="s">
        <v>111</v>
      </c>
      <c r="L4893" s="27" t="s">
        <v>116</v>
      </c>
      <c r="M4893" s="10">
        <v>77.017868145409736</v>
      </c>
    </row>
    <row r="4894" spans="11:13" x14ac:dyDescent="0.25">
      <c r="K4894" s="26" t="s">
        <v>111</v>
      </c>
      <c r="L4894" s="27" t="s">
        <v>117</v>
      </c>
      <c r="M4894" s="10">
        <v>31.769564756962826</v>
      </c>
    </row>
    <row r="4895" spans="11:13" x14ac:dyDescent="0.25">
      <c r="K4895" s="26" t="s">
        <v>111</v>
      </c>
      <c r="L4895" s="27" t="s">
        <v>118</v>
      </c>
      <c r="M4895" s="10">
        <v>137.88348845225781</v>
      </c>
    </row>
    <row r="4896" spans="11:13" x14ac:dyDescent="0.25">
      <c r="K4896" s="26" t="s">
        <v>111</v>
      </c>
      <c r="L4896" s="27" t="s">
        <v>119</v>
      </c>
      <c r="M4896" s="10">
        <v>33.06878306878307</v>
      </c>
    </row>
    <row r="4897" spans="11:13" x14ac:dyDescent="0.25">
      <c r="K4897" s="26" t="s">
        <v>111</v>
      </c>
      <c r="L4897" s="27" t="s">
        <v>115</v>
      </c>
      <c r="M4897" s="10">
        <v>472.30752938684742</v>
      </c>
    </row>
    <row r="4898" spans="11:13" x14ac:dyDescent="0.25">
      <c r="K4898" s="26" t="s">
        <v>111</v>
      </c>
      <c r="L4898" s="27" t="s">
        <v>116</v>
      </c>
      <c r="M4898" s="10">
        <v>52.949274594938046</v>
      </c>
    </row>
    <row r="4899" spans="11:13" x14ac:dyDescent="0.25">
      <c r="K4899" s="26" t="s">
        <v>113</v>
      </c>
      <c r="L4899" s="27" t="s">
        <v>117</v>
      </c>
      <c r="M4899" s="10">
        <v>107.82501540357363</v>
      </c>
    </row>
    <row r="4900" spans="11:13" x14ac:dyDescent="0.25">
      <c r="K4900" s="26" t="s">
        <v>113</v>
      </c>
      <c r="L4900" s="27" t="s">
        <v>118</v>
      </c>
      <c r="M4900" s="10">
        <v>308.07147258163894</v>
      </c>
    </row>
    <row r="4901" spans="11:13" x14ac:dyDescent="0.25">
      <c r="K4901" s="26" t="s">
        <v>113</v>
      </c>
      <c r="L4901" s="27" t="s">
        <v>119</v>
      </c>
      <c r="M4901" s="10">
        <v>34.470872113064452</v>
      </c>
    </row>
    <row r="4902" spans="11:13" x14ac:dyDescent="0.25">
      <c r="K4902" s="26" t="s">
        <v>113</v>
      </c>
      <c r="L4902" s="27" t="s">
        <v>115</v>
      </c>
      <c r="M4902" s="10">
        <v>30.807147258163894</v>
      </c>
    </row>
    <row r="4903" spans="11:13" x14ac:dyDescent="0.25">
      <c r="K4903" s="26" t="s">
        <v>111</v>
      </c>
      <c r="L4903" s="27" t="s">
        <v>116</v>
      </c>
      <c r="M4903" s="10">
        <v>529.49274594938049</v>
      </c>
    </row>
    <row r="4904" spans="11:13" x14ac:dyDescent="0.25">
      <c r="K4904" s="26" t="s">
        <v>114</v>
      </c>
      <c r="L4904" s="27" t="s">
        <v>117</v>
      </c>
      <c r="M4904" s="10">
        <v>18.92543758901089</v>
      </c>
    </row>
    <row r="4905" spans="11:13" x14ac:dyDescent="0.25">
      <c r="K4905" s="26" t="s">
        <v>114</v>
      </c>
      <c r="L4905" s="27" t="s">
        <v>118</v>
      </c>
      <c r="M4905" s="10">
        <v>105.51447935921134</v>
      </c>
    </row>
    <row r="4906" spans="11:13" x14ac:dyDescent="0.25">
      <c r="K4906" s="26" t="s">
        <v>114</v>
      </c>
      <c r="L4906" s="27" t="s">
        <v>119</v>
      </c>
      <c r="M4906" s="10">
        <v>310.23784901758017</v>
      </c>
    </row>
    <row r="4907" spans="11:13" x14ac:dyDescent="0.25">
      <c r="K4907" s="26" t="s">
        <v>111</v>
      </c>
      <c r="L4907" s="27" t="s">
        <v>115</v>
      </c>
      <c r="M4907" s="10">
        <v>27.576697690451567</v>
      </c>
    </row>
    <row r="4908" spans="11:13" x14ac:dyDescent="0.25">
      <c r="K4908" s="26" t="s">
        <v>111</v>
      </c>
      <c r="L4908" s="27" t="s">
        <v>116</v>
      </c>
      <c r="M4908" s="10">
        <v>25.853154084798344</v>
      </c>
    </row>
    <row r="4909" spans="11:13" x14ac:dyDescent="0.25">
      <c r="K4909" s="26" t="s">
        <v>112</v>
      </c>
      <c r="L4909" s="27" t="s">
        <v>117</v>
      </c>
      <c r="M4909" s="10">
        <v>30.807147258163894</v>
      </c>
    </row>
    <row r="4910" spans="11:13" x14ac:dyDescent="0.25">
      <c r="K4910" s="26" t="s">
        <v>113</v>
      </c>
      <c r="L4910" s="27" t="s">
        <v>118</v>
      </c>
      <c r="M4910" s="10">
        <v>45.792997334847563</v>
      </c>
    </row>
    <row r="4911" spans="11:13" x14ac:dyDescent="0.25">
      <c r="K4911" s="26" t="s">
        <v>111</v>
      </c>
      <c r="L4911" s="27" t="s">
        <v>119</v>
      </c>
      <c r="M4911" s="10">
        <v>137.37899200454268</v>
      </c>
    </row>
    <row r="4912" spans="11:13" x14ac:dyDescent="0.25">
      <c r="K4912" s="26" t="s">
        <v>110</v>
      </c>
      <c r="L4912" s="27" t="s">
        <v>115</v>
      </c>
      <c r="M4912" s="10">
        <v>45.792997334847563</v>
      </c>
    </row>
    <row r="4913" spans="11:13" x14ac:dyDescent="0.25">
      <c r="K4913" s="26" t="s">
        <v>111</v>
      </c>
      <c r="L4913" s="27" t="s">
        <v>116</v>
      </c>
      <c r="M4913" s="10">
        <v>48.259220958290243</v>
      </c>
    </row>
    <row r="4914" spans="11:13" x14ac:dyDescent="0.25">
      <c r="K4914" s="26" t="s">
        <v>111</v>
      </c>
      <c r="L4914" s="27" t="s">
        <v>117</v>
      </c>
      <c r="M4914" s="10">
        <v>10</v>
      </c>
    </row>
    <row r="4915" spans="11:13" x14ac:dyDescent="0.25">
      <c r="K4915" s="26" t="s">
        <v>113</v>
      </c>
      <c r="L4915" s="27" t="s">
        <v>118</v>
      </c>
      <c r="M4915" s="10">
        <v>10</v>
      </c>
    </row>
    <row r="4916" spans="11:13" x14ac:dyDescent="0.25">
      <c r="K4916" s="26" t="s">
        <v>113</v>
      </c>
      <c r="L4916" s="27" t="s">
        <v>119</v>
      </c>
      <c r="M4916" s="10">
        <v>10</v>
      </c>
    </row>
    <row r="4917" spans="11:13" x14ac:dyDescent="0.25">
      <c r="K4917" s="26" t="s">
        <v>111</v>
      </c>
      <c r="L4917" s="27" t="s">
        <v>115</v>
      </c>
      <c r="M4917" s="10">
        <v>34.470872113064452</v>
      </c>
    </row>
    <row r="4918" spans="11:13" x14ac:dyDescent="0.25">
      <c r="K4918" s="26" t="s">
        <v>111</v>
      </c>
      <c r="L4918" s="27" t="s">
        <v>116</v>
      </c>
      <c r="M4918" s="10">
        <v>18</v>
      </c>
    </row>
    <row r="4919" spans="11:13" x14ac:dyDescent="0.25">
      <c r="K4919" s="26" t="s">
        <v>110</v>
      </c>
      <c r="L4919" s="27" t="s">
        <v>117</v>
      </c>
      <c r="M4919" s="10">
        <v>5</v>
      </c>
    </row>
    <row r="4920" spans="11:13" x14ac:dyDescent="0.25">
      <c r="K4920" s="26" t="s">
        <v>112</v>
      </c>
      <c r="L4920" s="27" t="s">
        <v>118</v>
      </c>
      <c r="M4920" s="10">
        <v>8</v>
      </c>
    </row>
    <row r="4921" spans="11:13" x14ac:dyDescent="0.25">
      <c r="K4921" s="26" t="s">
        <v>110</v>
      </c>
      <c r="L4921" s="27" t="s">
        <v>119</v>
      </c>
      <c r="M4921" s="10">
        <v>10</v>
      </c>
    </row>
    <row r="4922" spans="11:13" x14ac:dyDescent="0.25">
      <c r="K4922" s="26" t="s">
        <v>111</v>
      </c>
      <c r="L4922" s="27" t="s">
        <v>115</v>
      </c>
      <c r="M4922" s="10">
        <v>154.03573629081947</v>
      </c>
    </row>
    <row r="4923" spans="11:13" x14ac:dyDescent="0.25">
      <c r="K4923" s="26" t="s">
        <v>111</v>
      </c>
      <c r="L4923" s="27" t="s">
        <v>116</v>
      </c>
      <c r="M4923" s="10">
        <v>123.22858903265558</v>
      </c>
    </row>
    <row r="4924" spans="11:13" x14ac:dyDescent="0.25">
      <c r="K4924" s="26" t="s">
        <v>111</v>
      </c>
      <c r="L4924" s="27" t="s">
        <v>117</v>
      </c>
      <c r="M4924" s="10">
        <v>46.210720887245841</v>
      </c>
    </row>
    <row r="4925" spans="11:13" x14ac:dyDescent="0.25">
      <c r="K4925" s="26" t="s">
        <v>112</v>
      </c>
      <c r="L4925" s="27" t="s">
        <v>118</v>
      </c>
      <c r="M4925" s="10">
        <v>1617.3752310536045</v>
      </c>
    </row>
    <row r="4926" spans="11:13" x14ac:dyDescent="0.25">
      <c r="K4926" s="26" t="s">
        <v>110</v>
      </c>
      <c r="L4926" s="27" t="s">
        <v>119</v>
      </c>
      <c r="M4926" s="10">
        <v>115.63218686161397</v>
      </c>
    </row>
    <row r="4927" spans="11:13" x14ac:dyDescent="0.25">
      <c r="K4927" s="26" t="s">
        <v>110</v>
      </c>
      <c r="L4927" s="27" t="s">
        <v>115</v>
      </c>
      <c r="M4927" s="10">
        <v>34.470872113064452</v>
      </c>
    </row>
    <row r="4928" spans="11:13" x14ac:dyDescent="0.25">
      <c r="K4928" s="26" t="s">
        <v>111</v>
      </c>
      <c r="L4928" s="27" t="s">
        <v>116</v>
      </c>
      <c r="M4928" s="10">
        <v>17.235436056532226</v>
      </c>
    </row>
    <row r="4929" spans="11:13" x14ac:dyDescent="0.25">
      <c r="K4929" s="26" t="s">
        <v>111</v>
      </c>
      <c r="L4929" s="27" t="s">
        <v>117</v>
      </c>
      <c r="M4929" s="10">
        <v>34.470872113064452</v>
      </c>
    </row>
    <row r="4930" spans="11:13" x14ac:dyDescent="0.25">
      <c r="K4930" s="26" t="s">
        <v>111</v>
      </c>
      <c r="L4930" s="27" t="s">
        <v>118</v>
      </c>
      <c r="M4930" s="10">
        <v>43.088590141330577</v>
      </c>
    </row>
    <row r="4931" spans="11:13" x14ac:dyDescent="0.25">
      <c r="K4931" s="26" t="s">
        <v>111</v>
      </c>
      <c r="L4931" s="27" t="s">
        <v>119</v>
      </c>
      <c r="M4931" s="10">
        <v>10</v>
      </c>
    </row>
    <row r="4932" spans="11:13" x14ac:dyDescent="0.25">
      <c r="K4932" s="26" t="s">
        <v>111</v>
      </c>
      <c r="L4932" s="27" t="s">
        <v>115</v>
      </c>
      <c r="M4932" s="10">
        <v>10</v>
      </c>
    </row>
    <row r="4933" spans="11:13" x14ac:dyDescent="0.25">
      <c r="K4933" s="26" t="s">
        <v>111</v>
      </c>
      <c r="L4933" s="27" t="s">
        <v>116</v>
      </c>
      <c r="M4933" s="10">
        <v>10</v>
      </c>
    </row>
    <row r="4934" spans="11:13" x14ac:dyDescent="0.25">
      <c r="K4934" s="26" t="s">
        <v>111</v>
      </c>
      <c r="L4934" s="27" t="s">
        <v>117</v>
      </c>
      <c r="M4934" s="10">
        <v>51.706308169596689</v>
      </c>
    </row>
    <row r="4935" spans="11:13" x14ac:dyDescent="0.25">
      <c r="K4935" s="26" t="s">
        <v>111</v>
      </c>
      <c r="L4935" s="27" t="s">
        <v>118</v>
      </c>
      <c r="M4935" s="10">
        <v>62.047569803516026</v>
      </c>
    </row>
    <row r="4936" spans="11:13" x14ac:dyDescent="0.25">
      <c r="K4936" s="26" t="s">
        <v>113</v>
      </c>
      <c r="L4936" s="27" t="s">
        <v>119</v>
      </c>
      <c r="M4936" s="10">
        <v>1.5403573629081948</v>
      </c>
    </row>
    <row r="4937" spans="11:13" x14ac:dyDescent="0.25">
      <c r="K4937" s="26" t="s">
        <v>110</v>
      </c>
      <c r="L4937" s="27" t="s">
        <v>115</v>
      </c>
      <c r="M4937" s="10">
        <v>1.5403573629081948</v>
      </c>
    </row>
    <row r="4938" spans="11:13" x14ac:dyDescent="0.25">
      <c r="K4938" s="26" t="s">
        <v>111</v>
      </c>
      <c r="L4938" s="27" t="s">
        <v>116</v>
      </c>
      <c r="M4938" s="10">
        <v>1.5403573629081948</v>
      </c>
    </row>
    <row r="4939" spans="11:13" x14ac:dyDescent="0.25">
      <c r="K4939" s="26" t="s">
        <v>111</v>
      </c>
      <c r="L4939" s="27" t="s">
        <v>117</v>
      </c>
      <c r="M4939" s="10">
        <v>1.5403573629081948</v>
      </c>
    </row>
    <row r="4940" spans="11:13" x14ac:dyDescent="0.25">
      <c r="K4940" s="26" t="s">
        <v>113</v>
      </c>
      <c r="L4940" s="27" t="s">
        <v>118</v>
      </c>
      <c r="M4940" s="10">
        <v>1.5403573629081948</v>
      </c>
    </row>
    <row r="4941" spans="11:13" x14ac:dyDescent="0.25">
      <c r="K4941" s="26" t="s">
        <v>112</v>
      </c>
      <c r="L4941" s="27" t="s">
        <v>119</v>
      </c>
      <c r="M4941" s="10">
        <v>1.5403573629081948</v>
      </c>
    </row>
    <row r="4942" spans="11:13" x14ac:dyDescent="0.25">
      <c r="K4942" s="26" t="s">
        <v>112</v>
      </c>
      <c r="L4942" s="27" t="s">
        <v>115</v>
      </c>
      <c r="M4942" s="10">
        <v>1.5403573629081948</v>
      </c>
    </row>
    <row r="4943" spans="11:13" x14ac:dyDescent="0.25">
      <c r="K4943" s="26" t="s">
        <v>112</v>
      </c>
      <c r="L4943" s="27" t="s">
        <v>116</v>
      </c>
      <c r="M4943" s="10">
        <v>1.5403573629081948</v>
      </c>
    </row>
    <row r="4944" spans="11:13" x14ac:dyDescent="0.25">
      <c r="K4944" s="26" t="s">
        <v>113</v>
      </c>
      <c r="L4944" s="27" t="s">
        <v>117</v>
      </c>
      <c r="M4944" s="10">
        <v>1.5403573629081948</v>
      </c>
    </row>
    <row r="4945" spans="11:13" x14ac:dyDescent="0.25">
      <c r="K4945" s="26" t="s">
        <v>113</v>
      </c>
      <c r="L4945" s="27" t="s">
        <v>118</v>
      </c>
      <c r="M4945" s="10">
        <v>1.5403573629081948</v>
      </c>
    </row>
    <row r="4946" spans="11:13" x14ac:dyDescent="0.25">
      <c r="K4946" s="26" t="s">
        <v>113</v>
      </c>
      <c r="L4946" s="27" t="s">
        <v>119</v>
      </c>
      <c r="M4946" s="10">
        <v>1.5403573629081948</v>
      </c>
    </row>
    <row r="4947" spans="11:13" x14ac:dyDescent="0.25">
      <c r="K4947" s="26" t="s">
        <v>113</v>
      </c>
      <c r="L4947" s="27" t="s">
        <v>115</v>
      </c>
      <c r="M4947" s="10">
        <v>1.5403573629081948</v>
      </c>
    </row>
    <row r="4948" spans="11:13" x14ac:dyDescent="0.25">
      <c r="K4948" s="26" t="s">
        <v>113</v>
      </c>
      <c r="L4948" s="27" t="s">
        <v>116</v>
      </c>
      <c r="M4948" s="10">
        <v>211.79709837975219</v>
      </c>
    </row>
    <row r="4949" spans="11:13" x14ac:dyDescent="0.25">
      <c r="K4949" s="26" t="s">
        <v>110</v>
      </c>
      <c r="L4949" s="27" t="s">
        <v>117</v>
      </c>
      <c r="M4949" s="10">
        <v>81.030710639332298</v>
      </c>
    </row>
    <row r="4950" spans="11:13" x14ac:dyDescent="0.25">
      <c r="K4950" s="26" t="s">
        <v>110</v>
      </c>
      <c r="L4950" s="27" t="s">
        <v>118</v>
      </c>
      <c r="M4950" s="10">
        <v>58.841651263093034</v>
      </c>
    </row>
    <row r="4951" spans="11:13" x14ac:dyDescent="0.25">
      <c r="K4951" s="26" t="s">
        <v>109</v>
      </c>
      <c r="L4951" s="27" t="s">
        <v>119</v>
      </c>
      <c r="M4951" s="10">
        <v>40.515355319666149</v>
      </c>
    </row>
    <row r="4952" spans="11:13" x14ac:dyDescent="0.25">
      <c r="K4952" s="26" t="s">
        <v>109</v>
      </c>
      <c r="L4952" s="27" t="s">
        <v>115</v>
      </c>
      <c r="M4952" s="10">
        <v>66.137566137566139</v>
      </c>
    </row>
    <row r="4953" spans="11:13" x14ac:dyDescent="0.25">
      <c r="K4953" s="26" t="s">
        <v>113</v>
      </c>
      <c r="L4953" s="27" t="s">
        <v>116</v>
      </c>
      <c r="M4953" s="10">
        <v>55.114638447971785</v>
      </c>
    </row>
    <row r="4954" spans="11:13" x14ac:dyDescent="0.25">
      <c r="K4954" s="26" t="s">
        <v>109</v>
      </c>
      <c r="L4954" s="27" t="s">
        <v>117</v>
      </c>
      <c r="M4954" s="10">
        <v>205.47617953783251</v>
      </c>
    </row>
    <row r="4955" spans="11:13" x14ac:dyDescent="0.25">
      <c r="K4955" s="26" t="s">
        <v>109</v>
      </c>
      <c r="L4955" s="27" t="s">
        <v>118</v>
      </c>
      <c r="M4955" s="10">
        <v>47.654347135444247</v>
      </c>
    </row>
    <row r="4956" spans="11:13" x14ac:dyDescent="0.25">
      <c r="K4956" s="26" t="s">
        <v>109</v>
      </c>
      <c r="L4956" s="27" t="s">
        <v>119</v>
      </c>
      <c r="M4956" s="10">
        <v>52.949274594938046</v>
      </c>
    </row>
    <row r="4957" spans="11:13" x14ac:dyDescent="0.25">
      <c r="K4957" s="26" t="s">
        <v>110</v>
      </c>
      <c r="L4957" s="27" t="s">
        <v>115</v>
      </c>
      <c r="M4957" s="10">
        <v>15.403573629081947</v>
      </c>
    </row>
    <row r="4958" spans="11:13" x14ac:dyDescent="0.25">
      <c r="K4958" s="26" t="s">
        <v>110</v>
      </c>
      <c r="L4958" s="27" t="s">
        <v>116</v>
      </c>
      <c r="M4958" s="10">
        <v>18.484288354898336</v>
      </c>
    </row>
    <row r="4959" spans="11:13" x14ac:dyDescent="0.25">
      <c r="K4959" s="26" t="s">
        <v>114</v>
      </c>
      <c r="L4959" s="27" t="s">
        <v>117</v>
      </c>
      <c r="M4959" s="10">
        <v>12.322858903265558</v>
      </c>
    </row>
    <row r="4960" spans="11:13" x14ac:dyDescent="0.25">
      <c r="K4960" s="26" t="s">
        <v>112</v>
      </c>
      <c r="L4960" s="27" t="s">
        <v>118</v>
      </c>
      <c r="M4960" s="10">
        <v>15.403573629081947</v>
      </c>
    </row>
    <row r="4961" spans="11:13" x14ac:dyDescent="0.25">
      <c r="K4961" s="26" t="s">
        <v>112</v>
      </c>
      <c r="L4961" s="27" t="s">
        <v>119</v>
      </c>
      <c r="M4961" s="10">
        <v>88.183421516754848</v>
      </c>
    </row>
    <row r="4962" spans="11:13" x14ac:dyDescent="0.25">
      <c r="K4962" s="26" t="s">
        <v>111</v>
      </c>
      <c r="L4962" s="27" t="s">
        <v>115</v>
      </c>
      <c r="M4962" s="10">
        <v>25.696041524803107</v>
      </c>
    </row>
    <row r="4963" spans="11:13" x14ac:dyDescent="0.25">
      <c r="K4963" s="26" t="s">
        <v>114</v>
      </c>
      <c r="L4963" s="27" t="s">
        <v>116</v>
      </c>
      <c r="M4963" s="10">
        <v>412.13697601362799</v>
      </c>
    </row>
    <row r="4964" spans="11:13" x14ac:dyDescent="0.25">
      <c r="K4964" s="26" t="s">
        <v>114</v>
      </c>
      <c r="L4964" s="27" t="s">
        <v>117</v>
      </c>
      <c r="M4964" s="10">
        <v>13.788348845225784</v>
      </c>
    </row>
    <row r="4965" spans="11:13" x14ac:dyDescent="0.25">
      <c r="K4965" s="26" t="s">
        <v>110</v>
      </c>
      <c r="L4965" s="27" t="s">
        <v>118</v>
      </c>
      <c r="M4965" s="10">
        <v>103.41261633919338</v>
      </c>
    </row>
    <row r="4966" spans="11:13" x14ac:dyDescent="0.25">
      <c r="K4966" s="26" t="s">
        <v>110</v>
      </c>
      <c r="L4966" s="27" t="s">
        <v>119</v>
      </c>
      <c r="M4966" s="10">
        <v>689.41744226128924</v>
      </c>
    </row>
    <row r="4967" spans="11:13" x14ac:dyDescent="0.25">
      <c r="K4967" s="26" t="s">
        <v>110</v>
      </c>
      <c r="L4967" s="27" t="s">
        <v>115</v>
      </c>
      <c r="M4967" s="10">
        <v>44.091710758377424</v>
      </c>
    </row>
    <row r="4968" spans="11:13" x14ac:dyDescent="0.25">
      <c r="K4968" s="26" t="s">
        <v>111</v>
      </c>
      <c r="L4968" s="27" t="s">
        <v>116</v>
      </c>
      <c r="M4968" s="10">
        <v>90.202557319223985</v>
      </c>
    </row>
    <row r="4969" spans="11:13" x14ac:dyDescent="0.25">
      <c r="K4969" s="26" t="s">
        <v>113</v>
      </c>
      <c r="L4969" s="27" t="s">
        <v>117</v>
      </c>
      <c r="M4969" s="10">
        <v>30.8641975308642</v>
      </c>
    </row>
    <row r="4970" spans="11:13" x14ac:dyDescent="0.25">
      <c r="K4970" s="26" t="s">
        <v>113</v>
      </c>
      <c r="L4970" s="27" t="s">
        <v>118</v>
      </c>
      <c r="M4970" s="10">
        <v>32.589212970506765</v>
      </c>
    </row>
    <row r="4971" spans="11:13" x14ac:dyDescent="0.25">
      <c r="K4971" s="26" t="s">
        <v>114</v>
      </c>
      <c r="L4971" s="27" t="s">
        <v>119</v>
      </c>
      <c r="M4971" s="10">
        <v>44.735997432193869</v>
      </c>
    </row>
    <row r="4972" spans="11:13" x14ac:dyDescent="0.25">
      <c r="K4972" s="26" t="s">
        <v>114</v>
      </c>
      <c r="L4972" s="27" t="s">
        <v>115</v>
      </c>
      <c r="M4972" s="10">
        <v>28.659611992945326</v>
      </c>
    </row>
    <row r="4973" spans="11:13" x14ac:dyDescent="0.25">
      <c r="K4973" s="26" t="s">
        <v>111</v>
      </c>
      <c r="L4973" s="27" t="s">
        <v>116</v>
      </c>
      <c r="M4973" s="10">
        <v>132.27513227513228</v>
      </c>
    </row>
    <row r="4974" spans="11:13" x14ac:dyDescent="0.25">
      <c r="K4974" s="26" t="s">
        <v>111</v>
      </c>
      <c r="L4974" s="27" t="s">
        <v>117</v>
      </c>
      <c r="M4974" s="10">
        <v>317.69564756962825</v>
      </c>
    </row>
    <row r="4975" spans="11:13" x14ac:dyDescent="0.25">
      <c r="K4975" s="26" t="s">
        <v>113</v>
      </c>
      <c r="L4975" s="27" t="s">
        <v>118</v>
      </c>
      <c r="M4975" s="10">
        <v>211.79709837975219</v>
      </c>
    </row>
    <row r="4976" spans="11:13" x14ac:dyDescent="0.25">
      <c r="K4976" s="26" t="s">
        <v>113</v>
      </c>
      <c r="L4976" s="27" t="s">
        <v>119</v>
      </c>
      <c r="M4976" s="10">
        <v>317.69564756962825</v>
      </c>
    </row>
    <row r="4977" spans="11:13" x14ac:dyDescent="0.25">
      <c r="K4977" s="26" t="s">
        <v>111</v>
      </c>
      <c r="L4977" s="27" t="s">
        <v>115</v>
      </c>
      <c r="M4977" s="10">
        <v>317.69564756962825</v>
      </c>
    </row>
    <row r="4978" spans="11:13" x14ac:dyDescent="0.25">
      <c r="K4978" s="26" t="s">
        <v>114</v>
      </c>
      <c r="L4978" s="27" t="s">
        <v>116</v>
      </c>
      <c r="M4978" s="10">
        <v>427.75258790315684</v>
      </c>
    </row>
    <row r="4979" spans="11:13" x14ac:dyDescent="0.25">
      <c r="K4979" s="26" t="s">
        <v>111</v>
      </c>
      <c r="L4979" s="27" t="s">
        <v>117</v>
      </c>
      <c r="M4979" s="10">
        <v>211.79709837975219</v>
      </c>
    </row>
    <row r="4980" spans="11:13" x14ac:dyDescent="0.25">
      <c r="K4980" s="26" t="s">
        <v>113</v>
      </c>
      <c r="L4980" s="27" t="s">
        <v>118</v>
      </c>
      <c r="M4980" s="10">
        <v>68.941744226128904</v>
      </c>
    </row>
    <row r="4981" spans="11:13" x14ac:dyDescent="0.25">
      <c r="K4981" s="26" t="s">
        <v>113</v>
      </c>
      <c r="L4981" s="27" t="s">
        <v>119</v>
      </c>
      <c r="M4981" s="10">
        <v>24.687530091478092</v>
      </c>
    </row>
    <row r="4982" spans="11:13" x14ac:dyDescent="0.25">
      <c r="K4982" s="26" t="s">
        <v>113</v>
      </c>
      <c r="L4982" s="27" t="s">
        <v>115</v>
      </c>
      <c r="M4982" s="10">
        <v>5</v>
      </c>
    </row>
    <row r="4983" spans="11:13" x14ac:dyDescent="0.25">
      <c r="K4983" s="26" t="s">
        <v>113</v>
      </c>
      <c r="L4983" s="27" t="s">
        <v>116</v>
      </c>
      <c r="M4983" s="10">
        <v>137.37899200454268</v>
      </c>
    </row>
    <row r="4984" spans="11:13" x14ac:dyDescent="0.25">
      <c r="K4984" s="26" t="s">
        <v>113</v>
      </c>
      <c r="L4984" s="27" t="s">
        <v>117</v>
      </c>
      <c r="M4984" s="10">
        <v>70</v>
      </c>
    </row>
    <row r="4985" spans="11:13" x14ac:dyDescent="0.25">
      <c r="K4985" s="26" t="s">
        <v>113</v>
      </c>
      <c r="L4985" s="27" t="s">
        <v>118</v>
      </c>
      <c r="M4985" s="10">
        <v>100</v>
      </c>
    </row>
    <row r="4986" spans="11:13" x14ac:dyDescent="0.25">
      <c r="K4986" s="26" t="s">
        <v>113</v>
      </c>
      <c r="L4986" s="27" t="s">
        <v>119</v>
      </c>
      <c r="M4986" s="10">
        <v>22.707231040564373</v>
      </c>
    </row>
    <row r="4987" spans="11:13" x14ac:dyDescent="0.25">
      <c r="K4987" s="26" t="s">
        <v>113</v>
      </c>
      <c r="L4987" s="27" t="s">
        <v>115</v>
      </c>
      <c r="M4987" s="10">
        <v>587.60515873015868</v>
      </c>
    </row>
    <row r="4988" spans="11:13" x14ac:dyDescent="0.25">
      <c r="K4988" s="26" t="s">
        <v>109</v>
      </c>
      <c r="L4988" s="27" t="s">
        <v>116</v>
      </c>
      <c r="M4988" s="10">
        <v>26.455026455026456</v>
      </c>
    </row>
    <row r="4989" spans="11:13" x14ac:dyDescent="0.25">
      <c r="K4989" s="26" t="s">
        <v>109</v>
      </c>
      <c r="L4989" s="27" t="s">
        <v>117</v>
      </c>
      <c r="M4989" s="10">
        <v>97.976190476190467</v>
      </c>
    </row>
    <row r="4990" spans="11:13" x14ac:dyDescent="0.25">
      <c r="K4990" s="26" t="s">
        <v>110</v>
      </c>
      <c r="L4990" s="27" t="s">
        <v>118</v>
      </c>
      <c r="M4990" s="10">
        <v>4.621072088724584</v>
      </c>
    </row>
    <row r="4991" spans="11:13" x14ac:dyDescent="0.25">
      <c r="K4991" s="26" t="s">
        <v>109</v>
      </c>
      <c r="L4991" s="27" t="s">
        <v>119</v>
      </c>
      <c r="M4991" s="10">
        <v>46.210720887245841</v>
      </c>
    </row>
    <row r="4992" spans="11:13" x14ac:dyDescent="0.25">
      <c r="K4992" s="26" t="s">
        <v>113</v>
      </c>
      <c r="L4992" s="27" t="s">
        <v>115</v>
      </c>
      <c r="M4992" s="10">
        <v>154.03573629081947</v>
      </c>
    </row>
    <row r="4993" spans="11:13" x14ac:dyDescent="0.25">
      <c r="K4993" s="26" t="s">
        <v>113</v>
      </c>
      <c r="L4993" s="27" t="s">
        <v>116</v>
      </c>
      <c r="M4993" s="10">
        <v>154.03573629081947</v>
      </c>
    </row>
    <row r="4994" spans="11:13" x14ac:dyDescent="0.25">
      <c r="K4994" s="26" t="s">
        <v>113</v>
      </c>
      <c r="L4994" s="27" t="s">
        <v>117</v>
      </c>
      <c r="M4994" s="10">
        <v>105.79688658265381</v>
      </c>
    </row>
    <row r="4995" spans="11:13" x14ac:dyDescent="0.25">
      <c r="K4995" s="26" t="s">
        <v>113</v>
      </c>
      <c r="L4995" s="27" t="s">
        <v>118</v>
      </c>
      <c r="M4995" s="10">
        <v>385.08934072704869</v>
      </c>
    </row>
    <row r="4996" spans="11:13" x14ac:dyDescent="0.25">
      <c r="K4996" s="26" t="s">
        <v>112</v>
      </c>
      <c r="L4996" s="27" t="s">
        <v>119</v>
      </c>
      <c r="M4996" s="10">
        <v>61.614294516327789</v>
      </c>
    </row>
    <row r="4997" spans="11:13" x14ac:dyDescent="0.25">
      <c r="K4997" s="26" t="s">
        <v>112</v>
      </c>
      <c r="L4997" s="27" t="s">
        <v>115</v>
      </c>
      <c r="M4997" s="10">
        <v>27.576697690451567</v>
      </c>
    </row>
    <row r="4998" spans="11:13" x14ac:dyDescent="0.25">
      <c r="K4998" s="26" t="s">
        <v>110</v>
      </c>
      <c r="L4998" s="27" t="s">
        <v>116</v>
      </c>
      <c r="M4998" s="10">
        <v>20.682523267838675</v>
      </c>
    </row>
    <row r="4999" spans="11:13" x14ac:dyDescent="0.25">
      <c r="K4999" s="26" t="s">
        <v>110</v>
      </c>
      <c r="L4999" s="27" t="s">
        <v>117</v>
      </c>
      <c r="M4999" s="10">
        <v>529.49274594938049</v>
      </c>
    </row>
    <row r="5000" spans="11:13" x14ac:dyDescent="0.25">
      <c r="K5000" s="26" t="s">
        <v>110</v>
      </c>
      <c r="L5000" s="27" t="s">
        <v>118</v>
      </c>
      <c r="M5000" s="10">
        <v>59.530896535301828</v>
      </c>
    </row>
    <row r="5001" spans="11:13" x14ac:dyDescent="0.25">
      <c r="K5001" s="26" t="s">
        <v>110</v>
      </c>
      <c r="L5001" s="27" t="s">
        <v>119</v>
      </c>
      <c r="M5001" s="10">
        <v>24.129610479145121</v>
      </c>
    </row>
    <row r="5002" spans="11:13" x14ac:dyDescent="0.25">
      <c r="K5002" s="26" t="s">
        <v>113</v>
      </c>
      <c r="L5002" s="27" t="s">
        <v>115</v>
      </c>
      <c r="M5002" s="10">
        <v>68.941744226128904</v>
      </c>
    </row>
    <row r="5003" spans="11:13" x14ac:dyDescent="0.25">
      <c r="K5003" s="26" t="s">
        <v>113</v>
      </c>
      <c r="L5003" s="27" t="s">
        <v>116</v>
      </c>
      <c r="M5003" s="10">
        <v>68.941744226128904</v>
      </c>
    </row>
    <row r="5004" spans="11:13" x14ac:dyDescent="0.25">
      <c r="K5004" s="26" t="s">
        <v>111</v>
      </c>
      <c r="L5004" s="27" t="s">
        <v>117</v>
      </c>
      <c r="M5004" s="10">
        <v>68.941744226128904</v>
      </c>
    </row>
    <row r="5005" spans="11:13" x14ac:dyDescent="0.25">
      <c r="K5005" s="26" t="s">
        <v>111</v>
      </c>
      <c r="L5005" s="27" t="s">
        <v>118</v>
      </c>
      <c r="M5005" s="10">
        <v>46.144260599793178</v>
      </c>
    </row>
    <row r="5006" spans="11:13" x14ac:dyDescent="0.25">
      <c r="K5006" s="26" t="s">
        <v>111</v>
      </c>
      <c r="L5006" s="27" t="s">
        <v>119</v>
      </c>
      <c r="M5006" s="10">
        <v>115.39835328381585</v>
      </c>
    </row>
    <row r="5007" spans="11:13" x14ac:dyDescent="0.25">
      <c r="K5007" s="26" t="s">
        <v>110</v>
      </c>
      <c r="L5007" s="27" t="s">
        <v>115</v>
      </c>
      <c r="M5007" s="10">
        <v>36.63439786787805</v>
      </c>
    </row>
    <row r="5008" spans="11:13" x14ac:dyDescent="0.25">
      <c r="K5008" s="26" t="s">
        <v>110</v>
      </c>
      <c r="L5008" s="27" t="s">
        <v>116</v>
      </c>
      <c r="M5008" s="10">
        <v>36.63439786787805</v>
      </c>
    </row>
    <row r="5009" spans="11:13" x14ac:dyDescent="0.25">
      <c r="K5009" s="26" t="s">
        <v>113</v>
      </c>
      <c r="L5009" s="27" t="s">
        <v>117</v>
      </c>
      <c r="M5009" s="10">
        <v>55.114638447971785</v>
      </c>
    </row>
    <row r="5010" spans="11:13" x14ac:dyDescent="0.25">
      <c r="K5010" s="26" t="s">
        <v>109</v>
      </c>
      <c r="L5010" s="27" t="s">
        <v>118</v>
      </c>
      <c r="M5010" s="10">
        <v>165.34391534391534</v>
      </c>
    </row>
    <row r="5011" spans="11:13" x14ac:dyDescent="0.25">
      <c r="K5011" s="26" t="s">
        <v>112</v>
      </c>
      <c r="L5011" s="27" t="s">
        <v>119</v>
      </c>
      <c r="M5011" s="10">
        <v>88.183421516754848</v>
      </c>
    </row>
    <row r="5012" spans="11:13" x14ac:dyDescent="0.25">
      <c r="K5012" s="26" t="s">
        <v>113</v>
      </c>
      <c r="L5012" s="27" t="s">
        <v>115</v>
      </c>
      <c r="M5012" s="10">
        <v>77.088124574409321</v>
      </c>
    </row>
    <row r="5013" spans="11:13" x14ac:dyDescent="0.25">
      <c r="K5013" s="26" t="s">
        <v>113</v>
      </c>
      <c r="L5013" s="27" t="s">
        <v>116</v>
      </c>
      <c r="M5013" s="10">
        <v>41.08</v>
      </c>
    </row>
    <row r="5014" spans="11:13" x14ac:dyDescent="0.25">
      <c r="K5014" s="26" t="s">
        <v>114</v>
      </c>
      <c r="L5014" s="27" t="s">
        <v>117</v>
      </c>
      <c r="M5014" s="10">
        <v>15.403573629081947</v>
      </c>
    </row>
    <row r="5015" spans="11:13" x14ac:dyDescent="0.25">
      <c r="K5015" s="26" t="s">
        <v>109</v>
      </c>
      <c r="L5015" s="27" t="s">
        <v>118</v>
      </c>
      <c r="M5015" s="10">
        <v>13.227513227513228</v>
      </c>
    </row>
    <row r="5016" spans="11:13" x14ac:dyDescent="0.25">
      <c r="K5016" s="26" t="s">
        <v>110</v>
      </c>
      <c r="L5016" s="27" t="s">
        <v>119</v>
      </c>
      <c r="M5016" s="10">
        <v>33.06878306878307</v>
      </c>
    </row>
    <row r="5017" spans="11:13" x14ac:dyDescent="0.25">
      <c r="K5017" s="26" t="s">
        <v>110</v>
      </c>
      <c r="L5017" s="27" t="s">
        <v>115</v>
      </c>
      <c r="M5017" s="10">
        <v>98.712135669959252</v>
      </c>
    </row>
    <row r="5018" spans="11:13" x14ac:dyDescent="0.25">
      <c r="K5018" s="26" t="s">
        <v>112</v>
      </c>
      <c r="L5018" s="27" t="s">
        <v>116</v>
      </c>
      <c r="M5018" s="10">
        <v>15.403573629081947</v>
      </c>
    </row>
    <row r="5019" spans="11:13" x14ac:dyDescent="0.25">
      <c r="K5019" s="26" t="s">
        <v>111</v>
      </c>
      <c r="L5019" s="27" t="s">
        <v>117</v>
      </c>
      <c r="M5019" s="10">
        <v>66.137566137566139</v>
      </c>
    </row>
    <row r="5020" spans="11:13" x14ac:dyDescent="0.25">
      <c r="K5020" s="26" t="s">
        <v>113</v>
      </c>
      <c r="L5020" s="27" t="s">
        <v>118</v>
      </c>
      <c r="M5020" s="10">
        <v>44.091710758377424</v>
      </c>
    </row>
    <row r="5021" spans="11:13" x14ac:dyDescent="0.25">
      <c r="K5021" s="26" t="s">
        <v>112</v>
      </c>
      <c r="L5021" s="27" t="s">
        <v>119</v>
      </c>
      <c r="M5021" s="10">
        <v>165.34391534391534</v>
      </c>
    </row>
    <row r="5022" spans="11:13" x14ac:dyDescent="0.25">
      <c r="K5022" s="26" t="s">
        <v>111</v>
      </c>
      <c r="L5022" s="27" t="s">
        <v>115</v>
      </c>
      <c r="M5022" s="10">
        <v>14.907837552258007</v>
      </c>
    </row>
    <row r="5023" spans="11:13" x14ac:dyDescent="0.25">
      <c r="K5023" s="26" t="s">
        <v>111</v>
      </c>
      <c r="L5023" s="27" t="s">
        <v>116</v>
      </c>
      <c r="M5023" s="10">
        <v>5.6170759107687376</v>
      </c>
    </row>
    <row r="5024" spans="11:13" x14ac:dyDescent="0.25">
      <c r="K5024" s="26" t="s">
        <v>111</v>
      </c>
      <c r="L5024" s="27" t="s">
        <v>117</v>
      </c>
      <c r="M5024" s="10">
        <v>22.970551752653101</v>
      </c>
    </row>
    <row r="5025" spans="11:13" x14ac:dyDescent="0.25">
      <c r="K5025" s="26" t="s">
        <v>111</v>
      </c>
      <c r="L5025" s="27" t="s">
        <v>118</v>
      </c>
      <c r="M5025" s="10">
        <v>14.296304140633271</v>
      </c>
    </row>
    <row r="5026" spans="11:13" x14ac:dyDescent="0.25">
      <c r="K5026" s="26" t="s">
        <v>111</v>
      </c>
      <c r="L5026" s="27" t="s">
        <v>119</v>
      </c>
      <c r="M5026" s="10">
        <v>115.63218686161397</v>
      </c>
    </row>
    <row r="5027" spans="11:13" x14ac:dyDescent="0.25">
      <c r="K5027" s="26" t="s">
        <v>111</v>
      </c>
      <c r="L5027" s="27" t="s">
        <v>115</v>
      </c>
      <c r="M5027" s="10">
        <v>128.48020762401552</v>
      </c>
    </row>
    <row r="5028" spans="11:13" x14ac:dyDescent="0.25">
      <c r="K5028" s="26" t="s">
        <v>113</v>
      </c>
      <c r="L5028" s="27" t="s">
        <v>116</v>
      </c>
      <c r="M5028" s="10">
        <v>2.1633766650617878</v>
      </c>
    </row>
    <row r="5029" spans="11:13" x14ac:dyDescent="0.25">
      <c r="K5029" s="26" t="s">
        <v>113</v>
      </c>
      <c r="L5029" s="27" t="s">
        <v>117</v>
      </c>
      <c r="M5029" s="10">
        <v>274.75798400908536</v>
      </c>
    </row>
    <row r="5030" spans="11:13" x14ac:dyDescent="0.25">
      <c r="K5030" s="26" t="s">
        <v>113</v>
      </c>
      <c r="L5030" s="27" t="s">
        <v>118</v>
      </c>
      <c r="M5030" s="10">
        <v>32.42398589065256</v>
      </c>
    </row>
    <row r="5031" spans="11:13" x14ac:dyDescent="0.25">
      <c r="K5031" s="26" t="s">
        <v>111</v>
      </c>
      <c r="L5031" s="27" t="s">
        <v>119</v>
      </c>
      <c r="M5031" s="10">
        <v>77.160493827160494</v>
      </c>
    </row>
    <row r="5032" spans="11:13" x14ac:dyDescent="0.25">
      <c r="K5032" s="26" t="s">
        <v>110</v>
      </c>
      <c r="L5032" s="27" t="s">
        <v>115</v>
      </c>
      <c r="M5032" s="10">
        <v>20.106240834283852</v>
      </c>
    </row>
    <row r="5033" spans="11:13" x14ac:dyDescent="0.25">
      <c r="K5033" s="26" t="s">
        <v>110</v>
      </c>
      <c r="L5033" s="27" t="s">
        <v>116</v>
      </c>
      <c r="M5033" s="10">
        <v>16.20614212786646</v>
      </c>
    </row>
    <row r="5034" spans="11:13" x14ac:dyDescent="0.25">
      <c r="K5034" s="26" t="s">
        <v>109</v>
      </c>
      <c r="L5034" s="27" t="s">
        <v>117</v>
      </c>
      <c r="M5034" s="10">
        <v>25.696041524803107</v>
      </c>
    </row>
    <row r="5035" spans="11:13" x14ac:dyDescent="0.25">
      <c r="K5035" s="26" t="s">
        <v>109</v>
      </c>
      <c r="L5035" s="27" t="s">
        <v>118</v>
      </c>
      <c r="M5035" s="10">
        <v>110.22927689594357</v>
      </c>
    </row>
    <row r="5036" spans="11:13" x14ac:dyDescent="0.25">
      <c r="K5036" s="26" t="s">
        <v>110</v>
      </c>
      <c r="L5036" s="27" t="s">
        <v>119</v>
      </c>
      <c r="M5036" s="10">
        <v>42.359419675950441</v>
      </c>
    </row>
    <row r="5037" spans="11:13" x14ac:dyDescent="0.25">
      <c r="K5037" s="26" t="s">
        <v>110</v>
      </c>
      <c r="L5037" s="27" t="s">
        <v>115</v>
      </c>
      <c r="M5037" s="10">
        <v>12.566137566137566</v>
      </c>
    </row>
    <row r="5038" spans="11:13" x14ac:dyDescent="0.25">
      <c r="K5038" s="26" t="s">
        <v>110</v>
      </c>
      <c r="L5038" s="27" t="s">
        <v>116</v>
      </c>
      <c r="M5038" s="10">
        <v>25.696041524803107</v>
      </c>
    </row>
    <row r="5039" spans="11:13" x14ac:dyDescent="0.25">
      <c r="K5039" s="26" t="s">
        <v>110</v>
      </c>
      <c r="L5039" s="27" t="s">
        <v>117</v>
      </c>
      <c r="M5039" s="10">
        <v>110.22927689594357</v>
      </c>
    </row>
    <row r="5040" spans="11:13" x14ac:dyDescent="0.25">
      <c r="K5040" s="26" t="s">
        <v>110</v>
      </c>
      <c r="L5040" s="27" t="s">
        <v>118</v>
      </c>
      <c r="M5040" s="10">
        <v>110.22927689594357</v>
      </c>
    </row>
    <row r="5041" spans="11:13" x14ac:dyDescent="0.25">
      <c r="K5041" s="26" t="s">
        <v>110</v>
      </c>
      <c r="L5041" s="27" t="s">
        <v>119</v>
      </c>
      <c r="M5041" s="10">
        <v>77.160493827160494</v>
      </c>
    </row>
    <row r="5042" spans="11:13" x14ac:dyDescent="0.25">
      <c r="K5042" s="26" t="s">
        <v>110</v>
      </c>
      <c r="L5042" s="27" t="s">
        <v>115</v>
      </c>
      <c r="M5042" s="10">
        <v>55.114638447971785</v>
      </c>
    </row>
    <row r="5043" spans="11:13" x14ac:dyDescent="0.25">
      <c r="K5043" s="26" t="s">
        <v>110</v>
      </c>
      <c r="L5043" s="27" t="s">
        <v>116</v>
      </c>
      <c r="M5043" s="10">
        <v>141.09347442680775</v>
      </c>
    </row>
    <row r="5044" spans="11:13" x14ac:dyDescent="0.25">
      <c r="K5044" s="26" t="s">
        <v>110</v>
      </c>
      <c r="L5044" s="27" t="s">
        <v>117</v>
      </c>
      <c r="M5044" s="10">
        <v>66.137566137566139</v>
      </c>
    </row>
    <row r="5045" spans="11:13" x14ac:dyDescent="0.25">
      <c r="K5045" s="26" t="s">
        <v>111</v>
      </c>
      <c r="L5045" s="27" t="s">
        <v>118</v>
      </c>
      <c r="M5045" s="10">
        <v>22</v>
      </c>
    </row>
    <row r="5046" spans="11:13" x14ac:dyDescent="0.25">
      <c r="K5046" s="26" t="s">
        <v>111</v>
      </c>
      <c r="L5046" s="27" t="s">
        <v>119</v>
      </c>
      <c r="M5046" s="10">
        <v>18.38</v>
      </c>
    </row>
    <row r="5047" spans="11:13" x14ac:dyDescent="0.25">
      <c r="K5047" s="26" t="s">
        <v>111</v>
      </c>
      <c r="L5047" s="27" t="s">
        <v>115</v>
      </c>
      <c r="M5047" s="10">
        <v>17.050482132728305</v>
      </c>
    </row>
    <row r="5048" spans="11:13" x14ac:dyDescent="0.25">
      <c r="K5048" s="26" t="s">
        <v>110</v>
      </c>
      <c r="L5048" s="27" t="s">
        <v>116</v>
      </c>
      <c r="M5048" s="10">
        <v>3.1769564756962829</v>
      </c>
    </row>
    <row r="5049" spans="11:13" x14ac:dyDescent="0.25">
      <c r="K5049" s="26" t="s">
        <v>110</v>
      </c>
      <c r="L5049" s="27" t="s">
        <v>117</v>
      </c>
      <c r="M5049" s="10">
        <v>110.22927689594357</v>
      </c>
    </row>
    <row r="5050" spans="11:13" x14ac:dyDescent="0.25">
      <c r="K5050" s="26" t="s">
        <v>113</v>
      </c>
      <c r="L5050" s="27" t="s">
        <v>118</v>
      </c>
      <c r="M5050" s="10">
        <v>21.179709837975221</v>
      </c>
    </row>
    <row r="5051" spans="11:13" x14ac:dyDescent="0.25">
      <c r="K5051" s="26" t="s">
        <v>113</v>
      </c>
      <c r="L5051" s="27" t="s">
        <v>119</v>
      </c>
      <c r="M5051" s="10">
        <v>74.128984432913256</v>
      </c>
    </row>
    <row r="5052" spans="11:13" x14ac:dyDescent="0.25">
      <c r="K5052" s="26" t="s">
        <v>114</v>
      </c>
      <c r="L5052" s="27" t="s">
        <v>115</v>
      </c>
      <c r="M5052" s="10">
        <v>105.89854918987609</v>
      </c>
    </row>
    <row r="5053" spans="11:13" x14ac:dyDescent="0.25">
      <c r="K5053" s="26" t="s">
        <v>111</v>
      </c>
      <c r="L5053" s="27" t="s">
        <v>116</v>
      </c>
      <c r="M5053" s="10">
        <v>22.045855379188712</v>
      </c>
    </row>
    <row r="5054" spans="11:13" x14ac:dyDescent="0.25">
      <c r="K5054" s="26" t="s">
        <v>111</v>
      </c>
      <c r="L5054" s="27" t="s">
        <v>117</v>
      </c>
      <c r="M5054" s="10">
        <v>88.183421516754848</v>
      </c>
    </row>
    <row r="5055" spans="11:13" x14ac:dyDescent="0.25">
      <c r="K5055" s="26" t="s">
        <v>112</v>
      </c>
      <c r="L5055" s="27" t="s">
        <v>118</v>
      </c>
      <c r="M5055" s="10">
        <v>110.22927689594357</v>
      </c>
    </row>
    <row r="5056" spans="11:13" x14ac:dyDescent="0.25">
      <c r="K5056" s="26" t="s">
        <v>112</v>
      </c>
      <c r="L5056" s="27" t="s">
        <v>119</v>
      </c>
      <c r="M5056" s="10">
        <v>194.00352733686069</v>
      </c>
    </row>
    <row r="5057" spans="11:13" x14ac:dyDescent="0.25">
      <c r="K5057" s="26" t="s">
        <v>113</v>
      </c>
      <c r="L5057" s="27" t="s">
        <v>115</v>
      </c>
      <c r="M5057" s="10">
        <v>52.949274594938046</v>
      </c>
    </row>
    <row r="5058" spans="11:13" x14ac:dyDescent="0.25">
      <c r="K5058" s="26" t="s">
        <v>113</v>
      </c>
      <c r="L5058" s="27" t="s">
        <v>116</v>
      </c>
      <c r="M5058" s="10">
        <v>22.975000000000001</v>
      </c>
    </row>
    <row r="5059" spans="11:13" x14ac:dyDescent="0.25">
      <c r="K5059" s="26" t="s">
        <v>109</v>
      </c>
      <c r="L5059" s="27" t="s">
        <v>117</v>
      </c>
      <c r="M5059" s="10">
        <v>154.32098765432099</v>
      </c>
    </row>
    <row r="5060" spans="11:13" x14ac:dyDescent="0.25">
      <c r="K5060" s="26" t="s">
        <v>112</v>
      </c>
      <c r="L5060" s="27" t="s">
        <v>118</v>
      </c>
      <c r="M5060" s="10">
        <v>22.045855379188712</v>
      </c>
    </row>
    <row r="5061" spans="11:13" x14ac:dyDescent="0.25">
      <c r="K5061" s="26" t="s">
        <v>112</v>
      </c>
      <c r="L5061" s="27" t="s">
        <v>119</v>
      </c>
      <c r="M5061" s="10">
        <v>75.701750356043561</v>
      </c>
    </row>
    <row r="5062" spans="11:13" x14ac:dyDescent="0.25">
      <c r="K5062" s="26" t="s">
        <v>109</v>
      </c>
      <c r="L5062" s="27" t="s">
        <v>115</v>
      </c>
      <c r="M5062" s="10">
        <v>2.4801587301587302</v>
      </c>
    </row>
    <row r="5063" spans="11:13" x14ac:dyDescent="0.25">
      <c r="K5063" s="26" t="s">
        <v>110</v>
      </c>
      <c r="L5063" s="27" t="s">
        <v>116</v>
      </c>
      <c r="M5063" s="10">
        <v>151.40350071208712</v>
      </c>
    </row>
    <row r="5064" spans="11:13" x14ac:dyDescent="0.25">
      <c r="K5064" s="26" t="s">
        <v>109</v>
      </c>
      <c r="L5064" s="27" t="s">
        <v>117</v>
      </c>
      <c r="M5064" s="10">
        <v>400</v>
      </c>
    </row>
    <row r="5065" spans="11:13" x14ac:dyDescent="0.25">
      <c r="K5065" s="26" t="s">
        <v>112</v>
      </c>
      <c r="L5065" s="27" t="s">
        <v>118</v>
      </c>
      <c r="M5065" s="10">
        <v>300</v>
      </c>
    </row>
    <row r="5066" spans="11:13" x14ac:dyDescent="0.25">
      <c r="K5066" s="26" t="s">
        <v>111</v>
      </c>
      <c r="L5066" s="27" t="s">
        <v>119</v>
      </c>
      <c r="M5066" s="10">
        <v>264.74637297469025</v>
      </c>
    </row>
    <row r="5067" spans="11:13" x14ac:dyDescent="0.25">
      <c r="K5067" s="26" t="s">
        <v>111</v>
      </c>
      <c r="L5067" s="27" t="s">
        <v>115</v>
      </c>
      <c r="M5067" s="10">
        <v>82.260113058299382</v>
      </c>
    </row>
    <row r="5068" spans="11:13" x14ac:dyDescent="0.25">
      <c r="K5068" s="26" t="s">
        <v>111</v>
      </c>
      <c r="L5068" s="27" t="s">
        <v>116</v>
      </c>
      <c r="M5068" s="10">
        <v>46.065663312647658</v>
      </c>
    </row>
    <row r="5069" spans="11:13" x14ac:dyDescent="0.25">
      <c r="K5069" s="26" t="s">
        <v>113</v>
      </c>
      <c r="L5069" s="27" t="s">
        <v>117</v>
      </c>
      <c r="M5069" s="10">
        <v>88.840922102963333</v>
      </c>
    </row>
    <row r="5070" spans="11:13" x14ac:dyDescent="0.25">
      <c r="K5070" s="26" t="s">
        <v>113</v>
      </c>
      <c r="L5070" s="27" t="s">
        <v>118</v>
      </c>
      <c r="M5070" s="10">
        <v>23.690912560790224</v>
      </c>
    </row>
    <row r="5071" spans="11:13" x14ac:dyDescent="0.25">
      <c r="K5071" s="26" t="s">
        <v>110</v>
      </c>
      <c r="L5071" s="27" t="s">
        <v>119</v>
      </c>
      <c r="M5071" s="10">
        <v>32.904045223319756</v>
      </c>
    </row>
    <row r="5072" spans="11:13" x14ac:dyDescent="0.25">
      <c r="K5072" s="26" t="s">
        <v>111</v>
      </c>
      <c r="L5072" s="27" t="s">
        <v>115</v>
      </c>
      <c r="M5072" s="10">
        <v>65.808090446639511</v>
      </c>
    </row>
    <row r="5073" spans="11:13" x14ac:dyDescent="0.25">
      <c r="K5073" s="26" t="s">
        <v>111</v>
      </c>
      <c r="L5073" s="27" t="s">
        <v>116</v>
      </c>
      <c r="M5073" s="10">
        <v>3.2904045223319756</v>
      </c>
    </row>
    <row r="5074" spans="11:13" x14ac:dyDescent="0.25">
      <c r="K5074" s="26" t="s">
        <v>111</v>
      </c>
      <c r="L5074" s="27" t="s">
        <v>117</v>
      </c>
      <c r="M5074" s="10">
        <v>0.9</v>
      </c>
    </row>
    <row r="5075" spans="11:13" x14ac:dyDescent="0.25">
      <c r="K5075" s="26" t="s">
        <v>110</v>
      </c>
      <c r="L5075" s="27" t="s">
        <v>118</v>
      </c>
      <c r="M5075" s="10">
        <v>44.091710758377424</v>
      </c>
    </row>
    <row r="5076" spans="11:13" x14ac:dyDescent="0.25">
      <c r="K5076" s="26" t="s">
        <v>111</v>
      </c>
      <c r="L5076" s="27" t="s">
        <v>119</v>
      </c>
      <c r="M5076" s="10">
        <v>11.6</v>
      </c>
    </row>
    <row r="5077" spans="11:13" x14ac:dyDescent="0.25">
      <c r="K5077" s="26" t="s">
        <v>112</v>
      </c>
      <c r="L5077" s="27" t="s">
        <v>115</v>
      </c>
      <c r="M5077" s="10">
        <v>130.35685188202706</v>
      </c>
    </row>
    <row r="5078" spans="11:13" x14ac:dyDescent="0.25">
      <c r="K5078" s="26" t="s">
        <v>110</v>
      </c>
      <c r="L5078" s="27" t="s">
        <v>116</v>
      </c>
      <c r="M5078" s="10">
        <v>4.409171075837742</v>
      </c>
    </row>
    <row r="5079" spans="11:13" x14ac:dyDescent="0.25">
      <c r="K5079" s="26" t="s">
        <v>109</v>
      </c>
      <c r="L5079" s="27" t="s">
        <v>117</v>
      </c>
      <c r="M5079" s="10">
        <v>17.235436056532226</v>
      </c>
    </row>
    <row r="5080" spans="11:13" x14ac:dyDescent="0.25">
      <c r="K5080" s="26" t="s">
        <v>109</v>
      </c>
      <c r="L5080" s="27" t="s">
        <v>118</v>
      </c>
      <c r="M5080" s="10">
        <v>162.94606485253382</v>
      </c>
    </row>
    <row r="5081" spans="11:13" x14ac:dyDescent="0.25">
      <c r="K5081" s="26" t="s">
        <v>110</v>
      </c>
      <c r="L5081" s="27" t="s">
        <v>119</v>
      </c>
      <c r="M5081" s="10">
        <v>48.883819455760147</v>
      </c>
    </row>
    <row r="5082" spans="11:13" x14ac:dyDescent="0.25">
      <c r="K5082" s="26" t="s">
        <v>114</v>
      </c>
      <c r="L5082" s="27" t="s">
        <v>115</v>
      </c>
      <c r="M5082" s="10">
        <v>110.22927689594357</v>
      </c>
    </row>
    <row r="5083" spans="11:13" x14ac:dyDescent="0.25">
      <c r="K5083" s="26" t="s">
        <v>114</v>
      </c>
      <c r="L5083" s="27" t="s">
        <v>116</v>
      </c>
      <c r="M5083" s="10">
        <v>66.137566137566139</v>
      </c>
    </row>
    <row r="5084" spans="11:13" x14ac:dyDescent="0.25">
      <c r="K5084" s="26" t="s">
        <v>109</v>
      </c>
      <c r="L5084" s="27" t="s">
        <v>117</v>
      </c>
      <c r="M5084" s="10">
        <v>137.88348845225781</v>
      </c>
    </row>
    <row r="5085" spans="11:13" x14ac:dyDescent="0.25">
      <c r="K5085" s="26" t="s">
        <v>109</v>
      </c>
      <c r="L5085" s="27" t="s">
        <v>118</v>
      </c>
      <c r="M5085" s="10">
        <v>66.137566137566139</v>
      </c>
    </row>
    <row r="5086" spans="11:13" x14ac:dyDescent="0.25">
      <c r="K5086" s="26" t="s">
        <v>112</v>
      </c>
      <c r="L5086" s="27" t="s">
        <v>119</v>
      </c>
      <c r="M5086" s="10">
        <v>88.183421516754848</v>
      </c>
    </row>
    <row r="5087" spans="11:13" x14ac:dyDescent="0.25">
      <c r="K5087" s="26" t="s">
        <v>110</v>
      </c>
      <c r="L5087" s="27" t="s">
        <v>115</v>
      </c>
      <c r="M5087" s="10">
        <v>88.183421516754848</v>
      </c>
    </row>
    <row r="5088" spans="11:13" x14ac:dyDescent="0.25">
      <c r="K5088" s="26" t="s">
        <v>109</v>
      </c>
      <c r="L5088" s="27" t="s">
        <v>116</v>
      </c>
      <c r="M5088" s="10">
        <v>110.22927689594357</v>
      </c>
    </row>
    <row r="5089" spans="11:13" x14ac:dyDescent="0.25">
      <c r="K5089" s="26" t="s">
        <v>109</v>
      </c>
      <c r="L5089" s="27" t="s">
        <v>117</v>
      </c>
      <c r="M5089" s="10">
        <v>66.137566137566139</v>
      </c>
    </row>
    <row r="5090" spans="11:13" x14ac:dyDescent="0.25">
      <c r="K5090" s="26" t="s">
        <v>110</v>
      </c>
      <c r="L5090" s="27" t="s">
        <v>118</v>
      </c>
      <c r="M5090" s="10">
        <v>66.137566137566139</v>
      </c>
    </row>
    <row r="5091" spans="11:13" x14ac:dyDescent="0.25">
      <c r="K5091" s="26" t="s">
        <v>110</v>
      </c>
      <c r="L5091" s="27" t="s">
        <v>119</v>
      </c>
      <c r="M5091" s="10">
        <v>66.137566137566139</v>
      </c>
    </row>
    <row r="5092" spans="11:13" x14ac:dyDescent="0.25">
      <c r="K5092" s="26" t="s">
        <v>110</v>
      </c>
      <c r="L5092" s="27" t="s">
        <v>115</v>
      </c>
      <c r="M5092" s="10">
        <v>66.137566137566139</v>
      </c>
    </row>
    <row r="5093" spans="11:13" x14ac:dyDescent="0.25">
      <c r="K5093" s="26" t="s">
        <v>112</v>
      </c>
      <c r="L5093" s="27" t="s">
        <v>116</v>
      </c>
      <c r="M5093" s="10">
        <v>11.243278474824834</v>
      </c>
    </row>
    <row r="5094" spans="11:13" x14ac:dyDescent="0.25">
      <c r="K5094" s="26" t="s">
        <v>111</v>
      </c>
      <c r="L5094" s="27" t="s">
        <v>117</v>
      </c>
      <c r="M5094" s="10">
        <v>794.23911892407068</v>
      </c>
    </row>
    <row r="5095" spans="11:13" x14ac:dyDescent="0.25">
      <c r="K5095" s="26" t="s">
        <v>111</v>
      </c>
      <c r="L5095" s="27" t="s">
        <v>118</v>
      </c>
      <c r="M5095" s="10">
        <v>110.22927689594357</v>
      </c>
    </row>
    <row r="5096" spans="11:13" x14ac:dyDescent="0.25">
      <c r="K5096" s="26" t="s">
        <v>111</v>
      </c>
      <c r="L5096" s="27" t="s">
        <v>119</v>
      </c>
      <c r="M5096" s="10">
        <v>86.177180282661155</v>
      </c>
    </row>
    <row r="5097" spans="11:13" x14ac:dyDescent="0.25">
      <c r="K5097" s="26" t="s">
        <v>110</v>
      </c>
      <c r="L5097" s="27" t="s">
        <v>115</v>
      </c>
      <c r="M5097" s="10">
        <v>86.177180282661155</v>
      </c>
    </row>
    <row r="5098" spans="11:13" x14ac:dyDescent="0.25">
      <c r="K5098" s="26" t="s">
        <v>113</v>
      </c>
      <c r="L5098" s="27" t="s">
        <v>116</v>
      </c>
      <c r="M5098" s="10">
        <v>86.177180282661155</v>
      </c>
    </row>
    <row r="5099" spans="11:13" x14ac:dyDescent="0.25">
      <c r="K5099" s="26" t="s">
        <v>112</v>
      </c>
      <c r="L5099" s="27" t="s">
        <v>117</v>
      </c>
      <c r="M5099" s="10">
        <v>37.850875178021781</v>
      </c>
    </row>
    <row r="5100" spans="11:13" x14ac:dyDescent="0.25">
      <c r="K5100" s="26" t="s">
        <v>110</v>
      </c>
      <c r="L5100" s="27" t="s">
        <v>118</v>
      </c>
      <c r="M5100" s="10">
        <v>55.114638447971785</v>
      </c>
    </row>
    <row r="5101" spans="11:13" x14ac:dyDescent="0.25">
      <c r="K5101" s="26" t="s">
        <v>109</v>
      </c>
      <c r="L5101" s="27" t="s">
        <v>119</v>
      </c>
      <c r="M5101" s="10">
        <v>881.83421516754856</v>
      </c>
    </row>
    <row r="5102" spans="11:13" x14ac:dyDescent="0.25">
      <c r="K5102" s="26" t="s">
        <v>113</v>
      </c>
      <c r="L5102" s="27" t="s">
        <v>115</v>
      </c>
      <c r="M5102" s="10">
        <v>44.091710758377424</v>
      </c>
    </row>
    <row r="5103" spans="11:13" x14ac:dyDescent="0.25">
      <c r="K5103" s="26" t="s">
        <v>109</v>
      </c>
      <c r="L5103" s="27" t="s">
        <v>116</v>
      </c>
      <c r="M5103" s="10">
        <v>44.091710758377424</v>
      </c>
    </row>
    <row r="5104" spans="11:13" x14ac:dyDescent="0.25">
      <c r="K5104" s="26" t="s">
        <v>110</v>
      </c>
      <c r="L5104" s="27" t="s">
        <v>117</v>
      </c>
      <c r="M5104" s="10">
        <v>66.137566137566139</v>
      </c>
    </row>
    <row r="5105" spans="11:13" x14ac:dyDescent="0.25">
      <c r="K5105" s="26" t="s">
        <v>110</v>
      </c>
      <c r="L5105" s="27" t="s">
        <v>118</v>
      </c>
      <c r="M5105" s="10">
        <v>279.57216986127293</v>
      </c>
    </row>
    <row r="5106" spans="11:13" x14ac:dyDescent="0.25">
      <c r="K5106" s="26" t="s">
        <v>113</v>
      </c>
      <c r="L5106" s="27" t="s">
        <v>119</v>
      </c>
      <c r="M5106" s="10">
        <v>211.79709837975219</v>
      </c>
    </row>
    <row r="5107" spans="11:13" x14ac:dyDescent="0.25">
      <c r="K5107" s="26" t="s">
        <v>113</v>
      </c>
      <c r="L5107" s="27" t="s">
        <v>115</v>
      </c>
      <c r="M5107" s="10">
        <v>105.89854918987609</v>
      </c>
    </row>
    <row r="5108" spans="11:13" x14ac:dyDescent="0.25">
      <c r="K5108" s="26" t="s">
        <v>111</v>
      </c>
      <c r="L5108" s="27" t="s">
        <v>116</v>
      </c>
      <c r="M5108" s="10">
        <v>12.848020762401553</v>
      </c>
    </row>
    <row r="5109" spans="11:13" x14ac:dyDescent="0.25">
      <c r="K5109" s="26" t="s">
        <v>111</v>
      </c>
      <c r="L5109" s="27" t="s">
        <v>117</v>
      </c>
      <c r="M5109" s="10">
        <v>88.183421516754848</v>
      </c>
    </row>
    <row r="5110" spans="11:13" x14ac:dyDescent="0.25">
      <c r="K5110" s="26" t="s">
        <v>111</v>
      </c>
      <c r="L5110" s="27" t="s">
        <v>118</v>
      </c>
      <c r="M5110" s="10">
        <v>88.183421516754848</v>
      </c>
    </row>
    <row r="5111" spans="11:13" x14ac:dyDescent="0.25">
      <c r="K5111" s="26" t="s">
        <v>111</v>
      </c>
      <c r="L5111" s="27" t="s">
        <v>119</v>
      </c>
      <c r="M5111" s="10">
        <v>97.934303350970012</v>
      </c>
    </row>
    <row r="5112" spans="11:13" x14ac:dyDescent="0.25">
      <c r="K5112" s="26" t="s">
        <v>111</v>
      </c>
      <c r="L5112" s="27" t="s">
        <v>115</v>
      </c>
      <c r="M5112" s="10">
        <v>88.183421516754848</v>
      </c>
    </row>
    <row r="5113" spans="11:13" x14ac:dyDescent="0.25">
      <c r="K5113" s="26" t="s">
        <v>111</v>
      </c>
      <c r="L5113" s="27" t="s">
        <v>116</v>
      </c>
      <c r="M5113" s="10">
        <v>51.706308169596689</v>
      </c>
    </row>
    <row r="5114" spans="11:13" x14ac:dyDescent="0.25">
      <c r="K5114" s="26" t="s">
        <v>111</v>
      </c>
      <c r="L5114" s="27" t="s">
        <v>117</v>
      </c>
      <c r="M5114" s="10">
        <v>9.3293791754929138</v>
      </c>
    </row>
    <row r="5115" spans="11:13" x14ac:dyDescent="0.25">
      <c r="K5115" s="26" t="s">
        <v>111</v>
      </c>
      <c r="L5115" s="27" t="s">
        <v>118</v>
      </c>
      <c r="M5115" s="10">
        <v>317.69564756962825</v>
      </c>
    </row>
    <row r="5116" spans="11:13" x14ac:dyDescent="0.25">
      <c r="K5116" s="26" t="s">
        <v>111</v>
      </c>
      <c r="L5116" s="27" t="s">
        <v>119</v>
      </c>
      <c r="M5116" s="10">
        <v>616.42853861349749</v>
      </c>
    </row>
    <row r="5117" spans="11:13" x14ac:dyDescent="0.25">
      <c r="K5117" s="26" t="s">
        <v>111</v>
      </c>
      <c r="L5117" s="27" t="s">
        <v>115</v>
      </c>
      <c r="M5117" s="10">
        <v>616.42853861349749</v>
      </c>
    </row>
    <row r="5118" spans="11:13" x14ac:dyDescent="0.25">
      <c r="K5118" s="26" t="s">
        <v>113</v>
      </c>
      <c r="L5118" s="27" t="s">
        <v>116</v>
      </c>
      <c r="M5118" s="10">
        <v>158.84782378481412</v>
      </c>
    </row>
    <row r="5119" spans="11:13" x14ac:dyDescent="0.25">
      <c r="K5119" s="26" t="s">
        <v>113</v>
      </c>
      <c r="L5119" s="27" t="s">
        <v>117</v>
      </c>
      <c r="M5119" s="10">
        <v>132.27513227513228</v>
      </c>
    </row>
    <row r="5120" spans="11:13" x14ac:dyDescent="0.25">
      <c r="K5120" s="26" t="s">
        <v>113</v>
      </c>
      <c r="L5120" s="27" t="s">
        <v>118</v>
      </c>
      <c r="M5120" s="10">
        <v>43.045417494756705</v>
      </c>
    </row>
    <row r="5121" spans="11:13" x14ac:dyDescent="0.25">
      <c r="K5121" s="26" t="s">
        <v>113</v>
      </c>
      <c r="L5121" s="27" t="s">
        <v>119</v>
      </c>
      <c r="M5121" s="10">
        <v>45.792997334847563</v>
      </c>
    </row>
    <row r="5122" spans="11:13" x14ac:dyDescent="0.25">
      <c r="K5122" s="26" t="s">
        <v>113</v>
      </c>
      <c r="L5122" s="27" t="s">
        <v>115</v>
      </c>
      <c r="M5122" s="10">
        <v>97.767638911520294</v>
      </c>
    </row>
    <row r="5123" spans="11:13" x14ac:dyDescent="0.25">
      <c r="K5123" s="26" t="s">
        <v>113</v>
      </c>
      <c r="L5123" s="27" t="s">
        <v>116</v>
      </c>
      <c r="M5123" s="10">
        <v>127.0782590278513</v>
      </c>
    </row>
    <row r="5124" spans="11:13" x14ac:dyDescent="0.25">
      <c r="K5124" s="26" t="s">
        <v>113</v>
      </c>
      <c r="L5124" s="27" t="s">
        <v>117</v>
      </c>
      <c r="M5124" s="10">
        <v>289.021164021164</v>
      </c>
    </row>
    <row r="5125" spans="11:13" x14ac:dyDescent="0.25">
      <c r="K5125" s="26" t="s">
        <v>113</v>
      </c>
      <c r="L5125" s="27" t="s">
        <v>118</v>
      </c>
      <c r="M5125" s="10">
        <v>51.369044884458127</v>
      </c>
    </row>
    <row r="5126" spans="11:13" x14ac:dyDescent="0.25">
      <c r="K5126" s="26" t="s">
        <v>113</v>
      </c>
      <c r="L5126" s="27" t="s">
        <v>119</v>
      </c>
      <c r="M5126" s="10">
        <v>5.8660583346912167</v>
      </c>
    </row>
    <row r="5127" spans="11:13" x14ac:dyDescent="0.25">
      <c r="K5127" s="26" t="s">
        <v>113</v>
      </c>
      <c r="L5127" s="27" t="s">
        <v>115</v>
      </c>
      <c r="M5127" s="10">
        <v>5.8660583346912167</v>
      </c>
    </row>
    <row r="5128" spans="11:13" x14ac:dyDescent="0.25">
      <c r="K5128" s="26" t="s">
        <v>111</v>
      </c>
      <c r="L5128" s="27" t="s">
        <v>116</v>
      </c>
      <c r="M5128" s="10">
        <v>19</v>
      </c>
    </row>
    <row r="5129" spans="11:13" x14ac:dyDescent="0.25">
      <c r="K5129" s="26" t="s">
        <v>111</v>
      </c>
      <c r="L5129" s="27" t="s">
        <v>117</v>
      </c>
      <c r="M5129" s="10">
        <v>0</v>
      </c>
    </row>
    <row r="5130" spans="11:13" x14ac:dyDescent="0.25">
      <c r="K5130" s="26" t="s">
        <v>109</v>
      </c>
      <c r="L5130" s="27" t="s">
        <v>118</v>
      </c>
      <c r="M5130" s="10">
        <v>55.114638447971785</v>
      </c>
    </row>
    <row r="5131" spans="11:13" x14ac:dyDescent="0.25">
      <c r="K5131" s="26" t="s">
        <v>110</v>
      </c>
      <c r="L5131" s="27" t="s">
        <v>119</v>
      </c>
      <c r="M5131" s="10">
        <v>107.82501540357363</v>
      </c>
    </row>
    <row r="5132" spans="11:13" x14ac:dyDescent="0.25">
      <c r="K5132" s="26" t="s">
        <v>113</v>
      </c>
      <c r="L5132" s="27" t="s">
        <v>115</v>
      </c>
      <c r="M5132" s="10">
        <v>77.017868145409736</v>
      </c>
    </row>
    <row r="5133" spans="11:13" x14ac:dyDescent="0.25">
      <c r="K5133" s="26" t="s">
        <v>110</v>
      </c>
      <c r="L5133" s="27" t="s">
        <v>116</v>
      </c>
      <c r="M5133" s="10">
        <v>46.210720887245841</v>
      </c>
    </row>
    <row r="5134" spans="11:13" x14ac:dyDescent="0.25">
      <c r="K5134" s="26" t="s">
        <v>110</v>
      </c>
      <c r="L5134" s="27" t="s">
        <v>117</v>
      </c>
      <c r="M5134" s="10">
        <v>329.04045223319753</v>
      </c>
    </row>
    <row r="5135" spans="11:13" x14ac:dyDescent="0.25">
      <c r="K5135" s="26" t="s">
        <v>113</v>
      </c>
      <c r="L5135" s="27" t="s">
        <v>118</v>
      </c>
      <c r="M5135" s="10">
        <v>47.420634920634917</v>
      </c>
    </row>
    <row r="5136" spans="11:13" x14ac:dyDescent="0.25">
      <c r="K5136" s="26" t="s">
        <v>111</v>
      </c>
      <c r="L5136" s="27" t="s">
        <v>119</v>
      </c>
      <c r="M5136" s="10">
        <v>105</v>
      </c>
    </row>
    <row r="5137" spans="11:13" x14ac:dyDescent="0.25">
      <c r="K5137" s="26" t="s">
        <v>109</v>
      </c>
      <c r="L5137" s="27" t="s">
        <v>115</v>
      </c>
      <c r="M5137" s="10">
        <v>30</v>
      </c>
    </row>
    <row r="5138" spans="11:13" x14ac:dyDescent="0.25">
      <c r="K5138" s="26" t="s">
        <v>110</v>
      </c>
      <c r="L5138" s="27" t="s">
        <v>116</v>
      </c>
      <c r="M5138" s="10">
        <v>208.52539682539683</v>
      </c>
    </row>
    <row r="5139" spans="11:13" x14ac:dyDescent="0.25">
      <c r="K5139" s="26" t="s">
        <v>109</v>
      </c>
      <c r="L5139" s="27" t="s">
        <v>117</v>
      </c>
      <c r="M5139" s="10">
        <v>11022.927689594357</v>
      </c>
    </row>
    <row r="5140" spans="11:13" x14ac:dyDescent="0.25">
      <c r="K5140" s="26" t="s">
        <v>113</v>
      </c>
      <c r="L5140" s="27" t="s">
        <v>118</v>
      </c>
      <c r="M5140" s="10">
        <v>61.614294516327789</v>
      </c>
    </row>
    <row r="5141" spans="11:13" x14ac:dyDescent="0.25">
      <c r="K5141" s="26" t="s">
        <v>113</v>
      </c>
      <c r="L5141" s="27" t="s">
        <v>119</v>
      </c>
      <c r="M5141" s="10">
        <v>123.22858903265558</v>
      </c>
    </row>
    <row r="5142" spans="11:13" x14ac:dyDescent="0.25">
      <c r="K5142" s="26" t="s">
        <v>111</v>
      </c>
      <c r="L5142" s="27" t="s">
        <v>115</v>
      </c>
      <c r="M5142" s="10">
        <v>103.36748288693894</v>
      </c>
    </row>
    <row r="5143" spans="11:13" x14ac:dyDescent="0.25">
      <c r="K5143" s="26" t="s">
        <v>111</v>
      </c>
      <c r="L5143" s="27" t="s">
        <v>116</v>
      </c>
      <c r="M5143" s="10">
        <v>91.585994669695125</v>
      </c>
    </row>
    <row r="5144" spans="11:13" x14ac:dyDescent="0.25">
      <c r="K5144" s="26" t="s">
        <v>111</v>
      </c>
      <c r="L5144" s="27" t="s">
        <v>117</v>
      </c>
      <c r="M5144" s="10">
        <v>3.6634397867878046</v>
      </c>
    </row>
    <row r="5145" spans="11:13" x14ac:dyDescent="0.25">
      <c r="K5145" s="26" t="s">
        <v>111</v>
      </c>
      <c r="L5145" s="27" t="s">
        <v>118</v>
      </c>
      <c r="M5145" s="10">
        <v>283.91658347605488</v>
      </c>
    </row>
    <row r="5146" spans="11:13" x14ac:dyDescent="0.25">
      <c r="K5146" s="26" t="s">
        <v>113</v>
      </c>
      <c r="L5146" s="27" t="s">
        <v>119</v>
      </c>
      <c r="M5146" s="10">
        <v>366.3439786787805</v>
      </c>
    </row>
    <row r="5147" spans="11:13" x14ac:dyDescent="0.25">
      <c r="K5147" s="26" t="s">
        <v>109</v>
      </c>
      <c r="L5147" s="27" t="s">
        <v>115</v>
      </c>
      <c r="M5147" s="10">
        <v>10.990319360363413</v>
      </c>
    </row>
    <row r="5148" spans="11:13" x14ac:dyDescent="0.25">
      <c r="K5148" s="26" t="s">
        <v>109</v>
      </c>
      <c r="L5148" s="27" t="s">
        <v>116</v>
      </c>
      <c r="M5148" s="10">
        <v>154.03573629081947</v>
      </c>
    </row>
    <row r="5149" spans="11:13" x14ac:dyDescent="0.25">
      <c r="K5149" s="26" t="s">
        <v>111</v>
      </c>
      <c r="L5149" s="27" t="s">
        <v>117</v>
      </c>
      <c r="M5149" s="10">
        <v>83.333333333333329</v>
      </c>
    </row>
    <row r="5150" spans="11:13" x14ac:dyDescent="0.25">
      <c r="K5150" s="26" t="s">
        <v>111</v>
      </c>
      <c r="L5150" s="27" t="s">
        <v>118</v>
      </c>
      <c r="M5150" s="10">
        <v>199.42852741836109</v>
      </c>
    </row>
    <row r="5151" spans="11:13" x14ac:dyDescent="0.25">
      <c r="K5151" s="26" t="s">
        <v>111</v>
      </c>
      <c r="L5151" s="27" t="s">
        <v>119</v>
      </c>
      <c r="M5151" s="10">
        <v>69.316081330868769</v>
      </c>
    </row>
    <row r="5152" spans="11:13" x14ac:dyDescent="0.25">
      <c r="K5152" s="26" t="s">
        <v>110</v>
      </c>
      <c r="L5152" s="27" t="s">
        <v>115</v>
      </c>
      <c r="M5152" s="10">
        <v>9.1585994669695125</v>
      </c>
    </row>
    <row r="5153" spans="11:13" x14ac:dyDescent="0.25">
      <c r="K5153" s="26" t="s">
        <v>113</v>
      </c>
      <c r="L5153" s="27" t="s">
        <v>116</v>
      </c>
      <c r="M5153" s="10">
        <v>66.137566137566139</v>
      </c>
    </row>
    <row r="5154" spans="11:13" x14ac:dyDescent="0.25">
      <c r="K5154" s="26" t="s">
        <v>110</v>
      </c>
      <c r="L5154" s="27" t="s">
        <v>117</v>
      </c>
      <c r="M5154" s="10">
        <v>88.183421516754848</v>
      </c>
    </row>
    <row r="5155" spans="11:13" x14ac:dyDescent="0.25">
      <c r="K5155" s="26" t="s">
        <v>113</v>
      </c>
      <c r="L5155" s="27" t="s">
        <v>118</v>
      </c>
      <c r="M5155" s="10">
        <v>66.137566137566139</v>
      </c>
    </row>
    <row r="5156" spans="11:13" x14ac:dyDescent="0.25">
      <c r="K5156" s="26" t="s">
        <v>113</v>
      </c>
      <c r="L5156" s="27" t="s">
        <v>119</v>
      </c>
      <c r="M5156" s="10">
        <v>66.137566137566139</v>
      </c>
    </row>
    <row r="5157" spans="11:13" x14ac:dyDescent="0.25">
      <c r="K5157" s="26" t="s">
        <v>109</v>
      </c>
      <c r="L5157" s="27" t="s">
        <v>115</v>
      </c>
      <c r="M5157" s="10">
        <v>66.137566137566139</v>
      </c>
    </row>
    <row r="5158" spans="11:13" x14ac:dyDescent="0.25">
      <c r="K5158" s="26" t="s">
        <v>109</v>
      </c>
      <c r="L5158" s="27" t="s">
        <v>116</v>
      </c>
      <c r="M5158" s="10">
        <v>22</v>
      </c>
    </row>
    <row r="5159" spans="11:13" x14ac:dyDescent="0.25">
      <c r="K5159" s="26" t="s">
        <v>111</v>
      </c>
      <c r="L5159" s="27" t="s">
        <v>117</v>
      </c>
      <c r="M5159" s="10">
        <v>176.3668430335097</v>
      </c>
    </row>
    <row r="5160" spans="11:13" x14ac:dyDescent="0.25">
      <c r="K5160" s="26" t="s">
        <v>111</v>
      </c>
      <c r="L5160" s="27" t="s">
        <v>118</v>
      </c>
      <c r="M5160" s="10">
        <v>86.177180282661155</v>
      </c>
    </row>
    <row r="5161" spans="11:13" x14ac:dyDescent="0.25">
      <c r="K5161" s="26" t="s">
        <v>111</v>
      </c>
      <c r="L5161" s="27" t="s">
        <v>119</v>
      </c>
      <c r="M5161" s="10">
        <v>86.177180282661155</v>
      </c>
    </row>
    <row r="5162" spans="11:13" x14ac:dyDescent="0.25">
      <c r="K5162" s="26" t="s">
        <v>110</v>
      </c>
      <c r="L5162" s="27" t="s">
        <v>115</v>
      </c>
      <c r="M5162" s="10">
        <v>198.4126984126984</v>
      </c>
    </row>
    <row r="5163" spans="11:13" x14ac:dyDescent="0.25">
      <c r="K5163" s="26" t="s">
        <v>110</v>
      </c>
      <c r="L5163" s="27" t="s">
        <v>116</v>
      </c>
      <c r="M5163" s="10">
        <v>107.82501540357363</v>
      </c>
    </row>
    <row r="5164" spans="11:13" x14ac:dyDescent="0.25">
      <c r="K5164" s="26" t="s">
        <v>111</v>
      </c>
      <c r="L5164" s="27" t="s">
        <v>117</v>
      </c>
      <c r="M5164" s="10">
        <v>55.114638447971785</v>
      </c>
    </row>
    <row r="5165" spans="11:13" x14ac:dyDescent="0.25">
      <c r="K5165" s="26" t="s">
        <v>112</v>
      </c>
      <c r="L5165" s="27" t="s">
        <v>118</v>
      </c>
      <c r="M5165" s="10">
        <v>95.658624293655535</v>
      </c>
    </row>
    <row r="5166" spans="11:13" x14ac:dyDescent="0.25">
      <c r="K5166" s="26" t="s">
        <v>111</v>
      </c>
      <c r="L5166" s="27" t="s">
        <v>119</v>
      </c>
      <c r="M5166" s="10">
        <v>99.206349206349202</v>
      </c>
    </row>
    <row r="5167" spans="11:13" x14ac:dyDescent="0.25">
      <c r="K5167" s="26" t="s">
        <v>111</v>
      </c>
      <c r="L5167" s="27" t="s">
        <v>115</v>
      </c>
      <c r="M5167" s="10">
        <v>122.57495590828924</v>
      </c>
    </row>
    <row r="5168" spans="11:13" x14ac:dyDescent="0.25">
      <c r="K5168" s="26" t="s">
        <v>113</v>
      </c>
      <c r="L5168" s="27" t="s">
        <v>116</v>
      </c>
      <c r="M5168" s="10">
        <v>88.183421516754848</v>
      </c>
    </row>
    <row r="5169" spans="11:13" x14ac:dyDescent="0.25">
      <c r="K5169" s="26" t="s">
        <v>113</v>
      </c>
      <c r="L5169" s="27" t="s">
        <v>117</v>
      </c>
      <c r="M5169" s="10">
        <v>33.404853982244035</v>
      </c>
    </row>
    <row r="5170" spans="11:13" x14ac:dyDescent="0.25">
      <c r="K5170" s="26" t="s">
        <v>113</v>
      </c>
      <c r="L5170" s="27" t="s">
        <v>118</v>
      </c>
      <c r="M5170" s="10">
        <v>123.22858903265558</v>
      </c>
    </row>
    <row r="5171" spans="11:13" x14ac:dyDescent="0.25">
      <c r="K5171" s="26" t="s">
        <v>109</v>
      </c>
      <c r="L5171" s="27" t="s">
        <v>119</v>
      </c>
      <c r="M5171" s="10">
        <v>6.8941744226128918</v>
      </c>
    </row>
    <row r="5172" spans="11:13" x14ac:dyDescent="0.25">
      <c r="K5172" s="26" t="s">
        <v>109</v>
      </c>
      <c r="L5172" s="27" t="s">
        <v>115</v>
      </c>
      <c r="M5172" s="10">
        <v>16.943930991990143</v>
      </c>
    </row>
    <row r="5173" spans="11:13" x14ac:dyDescent="0.25">
      <c r="K5173" s="26" t="s">
        <v>112</v>
      </c>
      <c r="L5173" s="27" t="s">
        <v>116</v>
      </c>
      <c r="M5173" s="10">
        <v>7.7160493827160499</v>
      </c>
    </row>
    <row r="5174" spans="11:13" x14ac:dyDescent="0.25">
      <c r="K5174" s="26" t="s">
        <v>113</v>
      </c>
      <c r="L5174" s="27" t="s">
        <v>117</v>
      </c>
      <c r="M5174" s="10">
        <v>176.3668430335097</v>
      </c>
    </row>
    <row r="5175" spans="11:13" x14ac:dyDescent="0.25">
      <c r="K5175" s="26" t="s">
        <v>110</v>
      </c>
      <c r="L5175" s="27" t="s">
        <v>118</v>
      </c>
      <c r="M5175" s="10">
        <v>462.10720887245844</v>
      </c>
    </row>
    <row r="5176" spans="11:13" x14ac:dyDescent="0.25">
      <c r="K5176" s="26" t="s">
        <v>109</v>
      </c>
      <c r="L5176" s="27" t="s">
        <v>119</v>
      </c>
      <c r="M5176" s="10">
        <v>13.782331051591861</v>
      </c>
    </row>
    <row r="5177" spans="11:13" x14ac:dyDescent="0.25">
      <c r="K5177" s="26" t="s">
        <v>109</v>
      </c>
      <c r="L5177" s="27" t="s">
        <v>115</v>
      </c>
      <c r="M5177" s="10">
        <v>57.426379381632742</v>
      </c>
    </row>
    <row r="5178" spans="11:13" x14ac:dyDescent="0.25">
      <c r="K5178" s="26" t="s">
        <v>112</v>
      </c>
      <c r="L5178" s="27" t="s">
        <v>116</v>
      </c>
      <c r="M5178" s="10">
        <v>454.1660489251297</v>
      </c>
    </row>
    <row r="5179" spans="11:13" x14ac:dyDescent="0.25">
      <c r="K5179" s="26" t="s">
        <v>112</v>
      </c>
      <c r="L5179" s="27" t="s">
        <v>117</v>
      </c>
      <c r="M5179" s="10">
        <v>94.963031423290204</v>
      </c>
    </row>
    <row r="5180" spans="11:13" x14ac:dyDescent="0.25">
      <c r="K5180" s="26" t="s">
        <v>109</v>
      </c>
      <c r="L5180" s="27" t="s">
        <v>118</v>
      </c>
      <c r="M5180" s="10">
        <v>200</v>
      </c>
    </row>
    <row r="5181" spans="11:13" x14ac:dyDescent="0.25">
      <c r="K5181" s="26" t="s">
        <v>112</v>
      </c>
      <c r="L5181" s="27" t="s">
        <v>119</v>
      </c>
      <c r="M5181" s="10">
        <v>924.64280792024624</v>
      </c>
    </row>
    <row r="5182" spans="11:13" x14ac:dyDescent="0.25">
      <c r="K5182" s="26" t="s">
        <v>112</v>
      </c>
      <c r="L5182" s="27" t="s">
        <v>115</v>
      </c>
      <c r="M5182" s="10">
        <v>154.03573629081947</v>
      </c>
    </row>
    <row r="5183" spans="11:13" x14ac:dyDescent="0.25">
      <c r="K5183" s="26" t="s">
        <v>109</v>
      </c>
      <c r="L5183" s="27" t="s">
        <v>116</v>
      </c>
      <c r="M5183" s="10">
        <v>53.912507701786815</v>
      </c>
    </row>
    <row r="5184" spans="11:13" x14ac:dyDescent="0.25">
      <c r="K5184" s="26" t="s">
        <v>109</v>
      </c>
      <c r="L5184" s="27" t="s">
        <v>117</v>
      </c>
      <c r="M5184" s="10">
        <v>23.105360443622921</v>
      </c>
    </row>
    <row r="5185" spans="11:13" x14ac:dyDescent="0.25">
      <c r="K5185" s="26" t="s">
        <v>113</v>
      </c>
      <c r="L5185" s="27" t="s">
        <v>118</v>
      </c>
      <c r="M5185" s="10">
        <v>23.105360443622921</v>
      </c>
    </row>
    <row r="5186" spans="11:13" x14ac:dyDescent="0.25">
      <c r="K5186" s="26" t="s">
        <v>113</v>
      </c>
      <c r="L5186" s="27" t="s">
        <v>119</v>
      </c>
      <c r="M5186" s="10">
        <v>91.585994669695125</v>
      </c>
    </row>
    <row r="5187" spans="11:13" x14ac:dyDescent="0.25">
      <c r="K5187" s="26" t="s">
        <v>112</v>
      </c>
      <c r="L5187" s="27" t="s">
        <v>115</v>
      </c>
      <c r="M5187" s="10">
        <v>172.18166997902682</v>
      </c>
    </row>
    <row r="5188" spans="11:13" x14ac:dyDescent="0.25">
      <c r="K5188" s="26" t="s">
        <v>112</v>
      </c>
      <c r="L5188" s="27" t="s">
        <v>116</v>
      </c>
      <c r="M5188" s="10">
        <v>32.05509813439329</v>
      </c>
    </row>
    <row r="5189" spans="11:13" x14ac:dyDescent="0.25">
      <c r="K5189" s="26" t="s">
        <v>113</v>
      </c>
      <c r="L5189" s="27" t="s">
        <v>117</v>
      </c>
      <c r="M5189" s="10">
        <v>131.17283950617283</v>
      </c>
    </row>
    <row r="5190" spans="11:13" x14ac:dyDescent="0.25">
      <c r="K5190" s="26" t="s">
        <v>111</v>
      </c>
      <c r="L5190" s="27" t="s">
        <v>118</v>
      </c>
      <c r="M5190" s="10">
        <v>457.92997334847558</v>
      </c>
    </row>
    <row r="5191" spans="11:13" x14ac:dyDescent="0.25">
      <c r="K5191" s="26" t="s">
        <v>113</v>
      </c>
      <c r="L5191" s="27" t="s">
        <v>119</v>
      </c>
      <c r="M5191" s="10">
        <v>176.3668430335097</v>
      </c>
    </row>
    <row r="5192" spans="11:13" x14ac:dyDescent="0.25">
      <c r="K5192" s="26" t="s">
        <v>113</v>
      </c>
      <c r="L5192" s="27" t="s">
        <v>115</v>
      </c>
      <c r="M5192" s="10">
        <v>163.13932980599648</v>
      </c>
    </row>
    <row r="5193" spans="11:13" x14ac:dyDescent="0.25">
      <c r="K5193" s="26" t="s">
        <v>109</v>
      </c>
      <c r="L5193" s="27" t="s">
        <v>116</v>
      </c>
      <c r="M5193" s="10">
        <v>102.48</v>
      </c>
    </row>
    <row r="5194" spans="11:13" x14ac:dyDescent="0.25">
      <c r="K5194" s="26" t="s">
        <v>109</v>
      </c>
      <c r="L5194" s="27" t="s">
        <v>117</v>
      </c>
      <c r="M5194" s="10">
        <v>31.524953789279113</v>
      </c>
    </row>
    <row r="5195" spans="11:13" x14ac:dyDescent="0.25">
      <c r="K5195" s="26" t="s">
        <v>110</v>
      </c>
      <c r="L5195" s="27" t="s">
        <v>118</v>
      </c>
      <c r="M5195" s="10">
        <v>1.5403573629081948</v>
      </c>
    </row>
    <row r="5196" spans="11:13" x14ac:dyDescent="0.25">
      <c r="K5196" s="26" t="s">
        <v>112</v>
      </c>
      <c r="L5196" s="27" t="s">
        <v>119</v>
      </c>
      <c r="M5196" s="10">
        <v>1.5403573629081948</v>
      </c>
    </row>
    <row r="5197" spans="11:13" x14ac:dyDescent="0.25">
      <c r="K5197" s="26" t="s">
        <v>113</v>
      </c>
      <c r="L5197" s="27" t="s">
        <v>115</v>
      </c>
      <c r="M5197" s="10">
        <v>50</v>
      </c>
    </row>
    <row r="5198" spans="11:13" x14ac:dyDescent="0.25">
      <c r="K5198" s="26" t="s">
        <v>113</v>
      </c>
      <c r="L5198" s="27" t="s">
        <v>116</v>
      </c>
      <c r="M5198" s="10">
        <v>206.82523267838675</v>
      </c>
    </row>
    <row r="5199" spans="11:13" x14ac:dyDescent="0.25">
      <c r="K5199" s="26" t="s">
        <v>110</v>
      </c>
      <c r="L5199" s="27" t="s">
        <v>117</v>
      </c>
      <c r="M5199" s="10">
        <v>105.51447935921134</v>
      </c>
    </row>
    <row r="5200" spans="11:13" x14ac:dyDescent="0.25">
      <c r="K5200" s="26" t="s">
        <v>113</v>
      </c>
      <c r="L5200" s="27" t="s">
        <v>118</v>
      </c>
      <c r="M5200" s="10">
        <v>20.257677659833075</v>
      </c>
    </row>
    <row r="5201" spans="11:13" x14ac:dyDescent="0.25">
      <c r="K5201" s="26" t="s">
        <v>113</v>
      </c>
      <c r="L5201" s="27" t="s">
        <v>119</v>
      </c>
      <c r="M5201" s="10">
        <v>36.63439786787805</v>
      </c>
    </row>
    <row r="5202" spans="11:13" x14ac:dyDescent="0.25">
      <c r="K5202" s="26" t="s">
        <v>110</v>
      </c>
      <c r="L5202" s="27" t="s">
        <v>115</v>
      </c>
      <c r="M5202" s="10">
        <v>67.775723967960573</v>
      </c>
    </row>
    <row r="5203" spans="11:13" x14ac:dyDescent="0.25">
      <c r="K5203" s="26" t="s">
        <v>110</v>
      </c>
      <c r="L5203" s="27" t="s">
        <v>116</v>
      </c>
      <c r="M5203" s="10">
        <v>26.887280248190276</v>
      </c>
    </row>
    <row r="5204" spans="11:13" x14ac:dyDescent="0.25">
      <c r="K5204" s="26" t="s">
        <v>111</v>
      </c>
      <c r="L5204" s="27" t="s">
        <v>117</v>
      </c>
      <c r="M5204" s="10">
        <v>30.807147258163894</v>
      </c>
    </row>
    <row r="5205" spans="11:13" x14ac:dyDescent="0.25">
      <c r="K5205" s="26" t="s">
        <v>111</v>
      </c>
      <c r="L5205" s="27" t="s">
        <v>118</v>
      </c>
      <c r="M5205" s="10">
        <v>231.05360443622922</v>
      </c>
    </row>
    <row r="5206" spans="11:13" x14ac:dyDescent="0.25">
      <c r="K5206" s="26" t="s">
        <v>111</v>
      </c>
      <c r="L5206" s="27" t="s">
        <v>119</v>
      </c>
      <c r="M5206" s="10">
        <v>231.05360443622922</v>
      </c>
    </row>
    <row r="5207" spans="11:13" x14ac:dyDescent="0.25">
      <c r="K5207" s="26" t="s">
        <v>111</v>
      </c>
      <c r="L5207" s="27" t="s">
        <v>115</v>
      </c>
      <c r="M5207" s="10">
        <v>231.05360443622922</v>
      </c>
    </row>
    <row r="5208" spans="11:13" x14ac:dyDescent="0.25">
      <c r="K5208" s="26" t="s">
        <v>111</v>
      </c>
      <c r="L5208" s="27" t="s">
        <v>116</v>
      </c>
      <c r="M5208" s="10">
        <v>330</v>
      </c>
    </row>
    <row r="5209" spans="11:13" x14ac:dyDescent="0.25">
      <c r="K5209" s="26" t="s">
        <v>111</v>
      </c>
      <c r="L5209" s="27" t="s">
        <v>117</v>
      </c>
      <c r="M5209" s="10">
        <v>228</v>
      </c>
    </row>
    <row r="5210" spans="11:13" x14ac:dyDescent="0.25">
      <c r="K5210" s="26" t="s">
        <v>111</v>
      </c>
      <c r="L5210" s="27" t="s">
        <v>118</v>
      </c>
      <c r="M5210" s="10">
        <v>154.03573629081947</v>
      </c>
    </row>
    <row r="5211" spans="11:13" x14ac:dyDescent="0.25">
      <c r="K5211" s="26" t="s">
        <v>111</v>
      </c>
      <c r="L5211" s="27" t="s">
        <v>119</v>
      </c>
      <c r="M5211" s="10">
        <v>154.03573629081947</v>
      </c>
    </row>
    <row r="5212" spans="11:13" x14ac:dyDescent="0.25">
      <c r="K5212" s="26" t="s">
        <v>111</v>
      </c>
      <c r="L5212" s="27" t="s">
        <v>115</v>
      </c>
      <c r="M5212" s="10">
        <v>46.210720887245841</v>
      </c>
    </row>
    <row r="5213" spans="11:13" x14ac:dyDescent="0.25">
      <c r="K5213" s="26" t="s">
        <v>110</v>
      </c>
      <c r="L5213" s="27" t="s">
        <v>116</v>
      </c>
      <c r="M5213" s="10">
        <v>6.0073937153419594</v>
      </c>
    </row>
    <row r="5214" spans="11:13" x14ac:dyDescent="0.25">
      <c r="K5214" s="26" t="s">
        <v>110</v>
      </c>
      <c r="L5214" s="27" t="s">
        <v>117</v>
      </c>
      <c r="M5214" s="10">
        <v>105.51447935921134</v>
      </c>
    </row>
    <row r="5215" spans="11:13" x14ac:dyDescent="0.25">
      <c r="K5215" s="26" t="s">
        <v>111</v>
      </c>
      <c r="L5215" s="27" t="s">
        <v>118</v>
      </c>
      <c r="M5215" s="10">
        <v>114</v>
      </c>
    </row>
    <row r="5216" spans="11:13" x14ac:dyDescent="0.25">
      <c r="K5216" s="26" t="s">
        <v>111</v>
      </c>
      <c r="L5216" s="27" t="s">
        <v>119</v>
      </c>
      <c r="M5216" s="10">
        <v>760</v>
      </c>
    </row>
    <row r="5217" spans="11:13" x14ac:dyDescent="0.25">
      <c r="K5217" s="26" t="s">
        <v>111</v>
      </c>
      <c r="L5217" s="27" t="s">
        <v>115</v>
      </c>
      <c r="M5217" s="10">
        <v>59.523809523809526</v>
      </c>
    </row>
    <row r="5218" spans="11:13" x14ac:dyDescent="0.25">
      <c r="K5218" s="26" t="s">
        <v>111</v>
      </c>
      <c r="L5218" s="27" t="s">
        <v>116</v>
      </c>
      <c r="M5218" s="10">
        <v>2204.5855379188711</v>
      </c>
    </row>
    <row r="5219" spans="11:13" x14ac:dyDescent="0.25">
      <c r="K5219" s="26" t="s">
        <v>111</v>
      </c>
      <c r="L5219" s="27" t="s">
        <v>117</v>
      </c>
      <c r="M5219" s="10">
        <v>48.797648987516837</v>
      </c>
    </row>
    <row r="5220" spans="11:13" x14ac:dyDescent="0.25">
      <c r="K5220" s="26" t="s">
        <v>111</v>
      </c>
      <c r="L5220" s="27" t="s">
        <v>118</v>
      </c>
      <c r="M5220" s="10">
        <v>146.5375914715122</v>
      </c>
    </row>
    <row r="5221" spans="11:13" x14ac:dyDescent="0.25">
      <c r="K5221" s="26" t="s">
        <v>111</v>
      </c>
      <c r="L5221" s="27" t="s">
        <v>119</v>
      </c>
      <c r="M5221" s="10">
        <v>5.5114638447971777E-6</v>
      </c>
    </row>
    <row r="5222" spans="11:13" x14ac:dyDescent="0.25">
      <c r="K5222" s="26" t="s">
        <v>111</v>
      </c>
      <c r="L5222" s="27" t="s">
        <v>115</v>
      </c>
      <c r="M5222" s="10">
        <v>184.84288354898337</v>
      </c>
    </row>
    <row r="5223" spans="11:13" x14ac:dyDescent="0.25">
      <c r="K5223" s="26" t="s">
        <v>111</v>
      </c>
      <c r="L5223" s="27" t="s">
        <v>116</v>
      </c>
      <c r="M5223" s="10">
        <v>104.74430067775724</v>
      </c>
    </row>
    <row r="5224" spans="11:13" x14ac:dyDescent="0.25">
      <c r="K5224" s="26" t="s">
        <v>113</v>
      </c>
      <c r="L5224" s="27" t="s">
        <v>117</v>
      </c>
      <c r="M5224" s="10">
        <v>1078.2501540357364</v>
      </c>
    </row>
    <row r="5225" spans="11:13" x14ac:dyDescent="0.25">
      <c r="K5225" s="26" t="s">
        <v>113</v>
      </c>
      <c r="L5225" s="27" t="s">
        <v>118</v>
      </c>
      <c r="M5225" s="10">
        <v>169.43930991990143</v>
      </c>
    </row>
    <row r="5226" spans="11:13" x14ac:dyDescent="0.25">
      <c r="K5226" s="26" t="s">
        <v>113</v>
      </c>
      <c r="L5226" s="27" t="s">
        <v>119</v>
      </c>
      <c r="M5226" s="10">
        <v>100</v>
      </c>
    </row>
    <row r="5227" spans="11:13" x14ac:dyDescent="0.25">
      <c r="K5227" s="26" t="s">
        <v>111</v>
      </c>
      <c r="L5227" s="27" t="s">
        <v>115</v>
      </c>
      <c r="M5227" s="10">
        <v>70</v>
      </c>
    </row>
    <row r="5228" spans="11:13" x14ac:dyDescent="0.25">
      <c r="K5228" s="26" t="s">
        <v>113</v>
      </c>
      <c r="L5228" s="27" t="s">
        <v>116</v>
      </c>
      <c r="M5228" s="10">
        <v>105.89854918987609</v>
      </c>
    </row>
    <row r="5229" spans="11:13" x14ac:dyDescent="0.25">
      <c r="K5229" s="26" t="s">
        <v>113</v>
      </c>
      <c r="L5229" s="27" t="s">
        <v>117</v>
      </c>
      <c r="M5229" s="10">
        <v>38.54406228720466</v>
      </c>
    </row>
    <row r="5230" spans="11:13" x14ac:dyDescent="0.25">
      <c r="K5230" s="26" t="s">
        <v>112</v>
      </c>
      <c r="L5230" s="27" t="s">
        <v>118</v>
      </c>
      <c r="M5230" s="10">
        <v>3.4455827628979652</v>
      </c>
    </row>
    <row r="5231" spans="11:13" x14ac:dyDescent="0.25">
      <c r="K5231" s="26" t="s">
        <v>113</v>
      </c>
      <c r="L5231" s="27" t="s">
        <v>119</v>
      </c>
      <c r="M5231" s="10">
        <v>264.74637297469025</v>
      </c>
    </row>
    <row r="5232" spans="11:13" x14ac:dyDescent="0.25">
      <c r="K5232" s="26" t="s">
        <v>112</v>
      </c>
      <c r="L5232" s="27" t="s">
        <v>115</v>
      </c>
      <c r="M5232" s="10">
        <v>246.45717806531115</v>
      </c>
    </row>
    <row r="5233" spans="11:13" x14ac:dyDescent="0.25">
      <c r="K5233" s="26" t="s">
        <v>112</v>
      </c>
      <c r="L5233" s="27" t="s">
        <v>116</v>
      </c>
      <c r="M5233" s="10">
        <v>64.110196268786581</v>
      </c>
    </row>
    <row r="5234" spans="11:13" x14ac:dyDescent="0.25">
      <c r="K5234" s="26" t="s">
        <v>111</v>
      </c>
      <c r="L5234" s="27" t="s">
        <v>117</v>
      </c>
      <c r="M5234" s="10">
        <v>150</v>
      </c>
    </row>
    <row r="5235" spans="11:13" x14ac:dyDescent="0.25">
      <c r="K5235" s="26" t="s">
        <v>111</v>
      </c>
      <c r="L5235" s="27" t="s">
        <v>118</v>
      </c>
      <c r="M5235" s="10">
        <v>107.82501540357363</v>
      </c>
    </row>
    <row r="5236" spans="11:13" x14ac:dyDescent="0.25">
      <c r="K5236" s="26" t="s">
        <v>110</v>
      </c>
      <c r="L5236" s="27" t="s">
        <v>119</v>
      </c>
      <c r="M5236" s="10">
        <v>107.82501540357363</v>
      </c>
    </row>
    <row r="5237" spans="11:13" x14ac:dyDescent="0.25">
      <c r="K5237" s="26" t="s">
        <v>112</v>
      </c>
      <c r="L5237" s="27" t="s">
        <v>115</v>
      </c>
      <c r="M5237" s="10">
        <v>107.82501540357363</v>
      </c>
    </row>
    <row r="5238" spans="11:13" x14ac:dyDescent="0.25">
      <c r="K5238" s="26" t="s">
        <v>112</v>
      </c>
      <c r="L5238" s="27" t="s">
        <v>116</v>
      </c>
      <c r="M5238" s="10">
        <v>847.18839351900874</v>
      </c>
    </row>
    <row r="5239" spans="11:13" x14ac:dyDescent="0.25">
      <c r="K5239" s="26" t="s">
        <v>112</v>
      </c>
      <c r="L5239" s="27" t="s">
        <v>117</v>
      </c>
      <c r="M5239" s="10">
        <v>23.105360443622921</v>
      </c>
    </row>
    <row r="5240" spans="11:13" x14ac:dyDescent="0.25">
      <c r="K5240" s="26" t="s">
        <v>112</v>
      </c>
      <c r="L5240" s="27" t="s">
        <v>118</v>
      </c>
      <c r="M5240" s="10">
        <v>30.807147258163894</v>
      </c>
    </row>
    <row r="5241" spans="11:13" x14ac:dyDescent="0.25">
      <c r="K5241" s="26" t="s">
        <v>111</v>
      </c>
      <c r="L5241" s="27" t="s">
        <v>119</v>
      </c>
      <c r="M5241" s="10">
        <v>299.90757855822551</v>
      </c>
    </row>
    <row r="5242" spans="11:13" x14ac:dyDescent="0.25">
      <c r="K5242" s="26" t="s">
        <v>111</v>
      </c>
      <c r="L5242" s="27" t="s">
        <v>115</v>
      </c>
      <c r="M5242" s="10">
        <v>47.420767195767198</v>
      </c>
    </row>
    <row r="5243" spans="11:13" x14ac:dyDescent="0.25">
      <c r="K5243" s="26" t="s">
        <v>112</v>
      </c>
      <c r="L5243" s="27" t="s">
        <v>116</v>
      </c>
      <c r="M5243" s="10">
        <v>154.32098765432099</v>
      </c>
    </row>
    <row r="5244" spans="11:13" x14ac:dyDescent="0.25">
      <c r="K5244" s="26" t="s">
        <v>112</v>
      </c>
      <c r="L5244" s="27" t="s">
        <v>117</v>
      </c>
      <c r="M5244" s="10">
        <v>231.05360443622922</v>
      </c>
    </row>
    <row r="5245" spans="11:13" x14ac:dyDescent="0.25">
      <c r="K5245" s="26" t="s">
        <v>111</v>
      </c>
      <c r="L5245" s="27" t="s">
        <v>118</v>
      </c>
      <c r="M5245" s="10">
        <v>231.05360443622922</v>
      </c>
    </row>
    <row r="5246" spans="11:13" x14ac:dyDescent="0.25">
      <c r="K5246" s="26" t="s">
        <v>111</v>
      </c>
      <c r="L5246" s="27" t="s">
        <v>119</v>
      </c>
      <c r="M5246" s="10">
        <v>344.25249537892796</v>
      </c>
    </row>
    <row r="5247" spans="11:13" x14ac:dyDescent="0.25">
      <c r="K5247" s="26" t="s">
        <v>111</v>
      </c>
      <c r="L5247" s="27" t="s">
        <v>115</v>
      </c>
      <c r="M5247" s="10">
        <v>149.99573012939001</v>
      </c>
    </row>
    <row r="5248" spans="11:13" x14ac:dyDescent="0.25">
      <c r="K5248" s="26" t="s">
        <v>112</v>
      </c>
      <c r="L5248" s="27" t="s">
        <v>116</v>
      </c>
      <c r="M5248" s="10">
        <v>123.2857077226995</v>
      </c>
    </row>
    <row r="5249" spans="11:13" x14ac:dyDescent="0.25">
      <c r="K5249" s="26" t="s">
        <v>112</v>
      </c>
      <c r="L5249" s="27" t="s">
        <v>117</v>
      </c>
      <c r="M5249" s="10">
        <v>52.949274594938046</v>
      </c>
    </row>
    <row r="5250" spans="11:13" x14ac:dyDescent="0.25">
      <c r="K5250" s="26" t="s">
        <v>112</v>
      </c>
      <c r="L5250" s="27" t="s">
        <v>118</v>
      </c>
      <c r="M5250" s="10">
        <v>86.177180282661155</v>
      </c>
    </row>
    <row r="5251" spans="11:13" x14ac:dyDescent="0.25">
      <c r="K5251" s="26" t="s">
        <v>112</v>
      </c>
      <c r="L5251" s="27" t="s">
        <v>119</v>
      </c>
      <c r="M5251" s="10">
        <v>158.84782378481412</v>
      </c>
    </row>
    <row r="5252" spans="11:13" x14ac:dyDescent="0.25">
      <c r="K5252" s="26" t="s">
        <v>112</v>
      </c>
      <c r="L5252" s="27" t="s">
        <v>115</v>
      </c>
      <c r="M5252" s="10">
        <v>120.63744500570311</v>
      </c>
    </row>
    <row r="5253" spans="11:13" x14ac:dyDescent="0.25">
      <c r="K5253" s="26" t="s">
        <v>111</v>
      </c>
      <c r="L5253" s="27" t="s">
        <v>116</v>
      </c>
      <c r="M5253" s="10">
        <v>185.32246108228318</v>
      </c>
    </row>
    <row r="5254" spans="11:13" x14ac:dyDescent="0.25">
      <c r="K5254" s="26" t="s">
        <v>111</v>
      </c>
      <c r="L5254" s="27" t="s">
        <v>117</v>
      </c>
      <c r="M5254" s="10">
        <v>228.96498667423779</v>
      </c>
    </row>
    <row r="5255" spans="11:13" x14ac:dyDescent="0.25">
      <c r="K5255" s="26" t="s">
        <v>111</v>
      </c>
      <c r="L5255" s="27" t="s">
        <v>118</v>
      </c>
      <c r="M5255" s="10">
        <v>45.792997334847563</v>
      </c>
    </row>
    <row r="5256" spans="11:13" x14ac:dyDescent="0.25">
      <c r="K5256" s="26" t="s">
        <v>111</v>
      </c>
      <c r="L5256" s="27" t="s">
        <v>119</v>
      </c>
      <c r="M5256" s="10">
        <v>183.17198933939025</v>
      </c>
    </row>
    <row r="5257" spans="11:13" x14ac:dyDescent="0.25">
      <c r="K5257" s="26" t="s">
        <v>111</v>
      </c>
      <c r="L5257" s="27" t="s">
        <v>115</v>
      </c>
      <c r="M5257" s="10">
        <v>274.75798400908536</v>
      </c>
    </row>
    <row r="5258" spans="11:13" x14ac:dyDescent="0.25">
      <c r="K5258" s="26" t="s">
        <v>111</v>
      </c>
      <c r="L5258" s="27" t="s">
        <v>116</v>
      </c>
      <c r="M5258" s="10">
        <v>137.37899200454268</v>
      </c>
    </row>
    <row r="5259" spans="11:13" x14ac:dyDescent="0.25">
      <c r="K5259" s="26" t="s">
        <v>111</v>
      </c>
      <c r="L5259" s="27" t="s">
        <v>117</v>
      </c>
      <c r="M5259" s="10">
        <v>308.07147258163894</v>
      </c>
    </row>
    <row r="5260" spans="11:13" x14ac:dyDescent="0.25">
      <c r="K5260" s="26" t="s">
        <v>111</v>
      </c>
      <c r="L5260" s="27" t="s">
        <v>118</v>
      </c>
      <c r="M5260" s="10">
        <v>33.06878306878307</v>
      </c>
    </row>
    <row r="5261" spans="11:13" x14ac:dyDescent="0.25">
      <c r="K5261" s="26" t="s">
        <v>111</v>
      </c>
      <c r="L5261" s="27" t="s">
        <v>119</v>
      </c>
      <c r="M5261" s="10">
        <v>231.05360443622922</v>
      </c>
    </row>
    <row r="5262" spans="11:13" x14ac:dyDescent="0.25">
      <c r="K5262" s="26" t="s">
        <v>111</v>
      </c>
      <c r="L5262" s="27" t="s">
        <v>115</v>
      </c>
      <c r="M5262" s="10">
        <v>33.06878306878307</v>
      </c>
    </row>
    <row r="5263" spans="11:13" x14ac:dyDescent="0.25">
      <c r="K5263" s="26" t="s">
        <v>111</v>
      </c>
      <c r="L5263" s="27" t="s">
        <v>116</v>
      </c>
      <c r="M5263" s="10">
        <v>110.22927689594357</v>
      </c>
    </row>
    <row r="5264" spans="11:13" x14ac:dyDescent="0.25">
      <c r="K5264" s="26" t="s">
        <v>111</v>
      </c>
      <c r="L5264" s="27" t="s">
        <v>117</v>
      </c>
      <c r="M5264" s="10">
        <v>110.22927689594357</v>
      </c>
    </row>
    <row r="5265" spans="11:13" x14ac:dyDescent="0.25">
      <c r="K5265" s="26" t="s">
        <v>112</v>
      </c>
      <c r="L5265" s="27" t="s">
        <v>118</v>
      </c>
      <c r="M5265" s="10">
        <v>66.137566137566139</v>
      </c>
    </row>
    <row r="5266" spans="11:13" x14ac:dyDescent="0.25">
      <c r="K5266" s="26" t="s">
        <v>111</v>
      </c>
      <c r="L5266" s="27" t="s">
        <v>119</v>
      </c>
      <c r="M5266" s="10">
        <v>53.252085487762834</v>
      </c>
    </row>
    <row r="5267" spans="11:13" x14ac:dyDescent="0.25">
      <c r="K5267" s="26" t="s">
        <v>111</v>
      </c>
      <c r="L5267" s="27" t="s">
        <v>115</v>
      </c>
      <c r="M5267" s="10">
        <v>52.949274594938046</v>
      </c>
    </row>
    <row r="5268" spans="11:13" x14ac:dyDescent="0.25">
      <c r="K5268" s="26" t="s">
        <v>111</v>
      </c>
      <c r="L5268" s="27" t="s">
        <v>116</v>
      </c>
      <c r="M5268" s="10">
        <v>231.05360443622922</v>
      </c>
    </row>
    <row r="5269" spans="11:13" x14ac:dyDescent="0.25">
      <c r="K5269" s="26" t="s">
        <v>111</v>
      </c>
      <c r="L5269" s="27" t="s">
        <v>117</v>
      </c>
      <c r="M5269" s="10">
        <v>66.137566137566139</v>
      </c>
    </row>
    <row r="5270" spans="11:13" x14ac:dyDescent="0.25">
      <c r="K5270" s="26" t="s">
        <v>111</v>
      </c>
      <c r="L5270" s="27" t="s">
        <v>118</v>
      </c>
      <c r="M5270" s="10">
        <v>154.03573629081947</v>
      </c>
    </row>
    <row r="5271" spans="11:13" x14ac:dyDescent="0.25">
      <c r="K5271" s="26" t="s">
        <v>111</v>
      </c>
      <c r="L5271" s="27" t="s">
        <v>119</v>
      </c>
      <c r="M5271" s="10">
        <v>66.137566137566139</v>
      </c>
    </row>
    <row r="5272" spans="11:13" x14ac:dyDescent="0.25">
      <c r="K5272" s="26" t="s">
        <v>111</v>
      </c>
      <c r="L5272" s="27" t="s">
        <v>115</v>
      </c>
      <c r="M5272" s="10">
        <v>99.206349206349202</v>
      </c>
    </row>
    <row r="5273" spans="11:13" x14ac:dyDescent="0.25">
      <c r="K5273" s="26" t="s">
        <v>111</v>
      </c>
      <c r="L5273" s="27" t="s">
        <v>116</v>
      </c>
      <c r="M5273" s="10">
        <v>308.07147258163894</v>
      </c>
    </row>
    <row r="5274" spans="11:13" x14ac:dyDescent="0.25">
      <c r="K5274" s="26" t="s">
        <v>111</v>
      </c>
      <c r="L5274" s="27" t="s">
        <v>117</v>
      </c>
      <c r="M5274" s="10">
        <v>308.07147258163894</v>
      </c>
    </row>
    <row r="5275" spans="11:13" x14ac:dyDescent="0.25">
      <c r="K5275" s="26" t="s">
        <v>111</v>
      </c>
      <c r="L5275" s="27" t="s">
        <v>118</v>
      </c>
      <c r="M5275" s="10">
        <v>33.06878306878307</v>
      </c>
    </row>
    <row r="5276" spans="11:13" x14ac:dyDescent="0.25">
      <c r="K5276" s="26" t="s">
        <v>111</v>
      </c>
      <c r="L5276" s="27" t="s">
        <v>119</v>
      </c>
      <c r="M5276" s="10">
        <v>220.45855379188714</v>
      </c>
    </row>
    <row r="5277" spans="11:13" x14ac:dyDescent="0.25">
      <c r="K5277" s="26" t="s">
        <v>111</v>
      </c>
      <c r="L5277" s="27" t="s">
        <v>115</v>
      </c>
      <c r="M5277" s="10">
        <v>128.48020762401552</v>
      </c>
    </row>
    <row r="5278" spans="11:13" x14ac:dyDescent="0.25">
      <c r="K5278" s="26" t="s">
        <v>111</v>
      </c>
      <c r="L5278" s="27" t="s">
        <v>116</v>
      </c>
      <c r="M5278" s="10">
        <v>642.4010381200776</v>
      </c>
    </row>
    <row r="5279" spans="11:13" x14ac:dyDescent="0.25">
      <c r="K5279" s="26" t="s">
        <v>111</v>
      </c>
      <c r="L5279" s="27" t="s">
        <v>117</v>
      </c>
      <c r="M5279" s="10">
        <v>569.93222427603212</v>
      </c>
    </row>
    <row r="5280" spans="11:13" x14ac:dyDescent="0.25">
      <c r="K5280" s="26" t="s">
        <v>111</v>
      </c>
      <c r="L5280" s="27" t="s">
        <v>118</v>
      </c>
      <c r="M5280" s="10">
        <v>44.091710758377424</v>
      </c>
    </row>
    <row r="5281" spans="11:13" x14ac:dyDescent="0.25">
      <c r="K5281" s="26" t="s">
        <v>111</v>
      </c>
      <c r="L5281" s="27" t="s">
        <v>119</v>
      </c>
      <c r="M5281" s="10">
        <v>52.949274594938046</v>
      </c>
    </row>
    <row r="5282" spans="11:13" x14ac:dyDescent="0.25">
      <c r="K5282" s="26" t="s">
        <v>112</v>
      </c>
      <c r="L5282" s="27" t="s">
        <v>115</v>
      </c>
      <c r="M5282" s="10">
        <v>238.27173567722122</v>
      </c>
    </row>
    <row r="5283" spans="11:13" x14ac:dyDescent="0.25">
      <c r="K5283" s="26" t="s">
        <v>113</v>
      </c>
      <c r="L5283" s="27" t="s">
        <v>116</v>
      </c>
      <c r="M5283" s="10">
        <v>155.72931501814674</v>
      </c>
    </row>
    <row r="5284" spans="11:13" x14ac:dyDescent="0.25">
      <c r="K5284" s="26" t="s">
        <v>113</v>
      </c>
      <c r="L5284" s="27" t="s">
        <v>117</v>
      </c>
      <c r="M5284" s="10">
        <v>847.18839351900874</v>
      </c>
    </row>
    <row r="5285" spans="11:13" x14ac:dyDescent="0.25">
      <c r="K5285" s="26" t="s">
        <v>113</v>
      </c>
      <c r="L5285" s="27" t="s">
        <v>118</v>
      </c>
      <c r="M5285" s="10">
        <v>5.8600482592209584</v>
      </c>
    </row>
    <row r="5286" spans="11:13" x14ac:dyDescent="0.25">
      <c r="K5286" s="26" t="s">
        <v>113</v>
      </c>
      <c r="L5286" s="27" t="s">
        <v>119</v>
      </c>
      <c r="M5286" s="10">
        <v>172.5</v>
      </c>
    </row>
    <row r="5287" spans="11:13" x14ac:dyDescent="0.25">
      <c r="K5287" s="26" t="s">
        <v>114</v>
      </c>
      <c r="L5287" s="27" t="s">
        <v>115</v>
      </c>
      <c r="M5287" s="10">
        <v>14.95</v>
      </c>
    </row>
    <row r="5288" spans="11:13" x14ac:dyDescent="0.25">
      <c r="K5288" s="26" t="s">
        <v>114</v>
      </c>
      <c r="L5288" s="27" t="s">
        <v>116</v>
      </c>
      <c r="M5288" s="10">
        <v>18.634796940322506</v>
      </c>
    </row>
    <row r="5289" spans="11:13" x14ac:dyDescent="0.25">
      <c r="K5289" s="26" t="s">
        <v>111</v>
      </c>
      <c r="L5289" s="27" t="s">
        <v>117</v>
      </c>
      <c r="M5289" s="10">
        <v>86.177180282661155</v>
      </c>
    </row>
    <row r="5290" spans="11:13" x14ac:dyDescent="0.25">
      <c r="K5290" s="26" t="s">
        <v>111</v>
      </c>
      <c r="L5290" s="27" t="s">
        <v>118</v>
      </c>
      <c r="M5290" s="10">
        <v>44.091710758377424</v>
      </c>
    </row>
    <row r="5291" spans="11:13" x14ac:dyDescent="0.25">
      <c r="K5291" s="26" t="s">
        <v>111</v>
      </c>
      <c r="L5291" s="27" t="s">
        <v>119</v>
      </c>
      <c r="M5291" s="10">
        <v>34.470872113064452</v>
      </c>
    </row>
    <row r="5292" spans="11:13" x14ac:dyDescent="0.25">
      <c r="K5292" s="26" t="s">
        <v>112</v>
      </c>
      <c r="L5292" s="27" t="s">
        <v>115</v>
      </c>
      <c r="M5292" s="10">
        <v>195.76719576719577</v>
      </c>
    </row>
    <row r="5293" spans="11:13" x14ac:dyDescent="0.25">
      <c r="K5293" s="26" t="s">
        <v>112</v>
      </c>
      <c r="L5293" s="27" t="s">
        <v>116</v>
      </c>
      <c r="M5293" s="10">
        <v>45.792997334847563</v>
      </c>
    </row>
    <row r="5294" spans="11:13" x14ac:dyDescent="0.25">
      <c r="K5294" s="26" t="s">
        <v>114</v>
      </c>
      <c r="L5294" s="27" t="s">
        <v>117</v>
      </c>
      <c r="M5294" s="10">
        <v>45.792997334847563</v>
      </c>
    </row>
    <row r="5295" spans="11:13" x14ac:dyDescent="0.25">
      <c r="K5295" s="26" t="s">
        <v>114</v>
      </c>
      <c r="L5295" s="27" t="s">
        <v>118</v>
      </c>
      <c r="M5295" s="10">
        <v>178.59268960590546</v>
      </c>
    </row>
    <row r="5296" spans="11:13" x14ac:dyDescent="0.25">
      <c r="K5296" s="26" t="s">
        <v>109</v>
      </c>
      <c r="L5296" s="27" t="s">
        <v>119</v>
      </c>
      <c r="M5296" s="10">
        <v>18.92543758901089</v>
      </c>
    </row>
    <row r="5297" spans="11:13" x14ac:dyDescent="0.25">
      <c r="K5297" s="26" t="s">
        <v>111</v>
      </c>
      <c r="L5297" s="27" t="s">
        <v>115</v>
      </c>
      <c r="M5297" s="10">
        <v>308.16477814253943</v>
      </c>
    </row>
    <row r="5298" spans="11:13" x14ac:dyDescent="0.25">
      <c r="K5298" s="26" t="s">
        <v>111</v>
      </c>
      <c r="L5298" s="27" t="s">
        <v>116</v>
      </c>
      <c r="M5298" s="10">
        <v>123.22858903265558</v>
      </c>
    </row>
    <row r="5299" spans="11:13" x14ac:dyDescent="0.25">
      <c r="K5299" s="26" t="s">
        <v>114</v>
      </c>
      <c r="L5299" s="27" t="s">
        <v>117</v>
      </c>
      <c r="M5299" s="10">
        <v>1232.2858903265558</v>
      </c>
    </row>
    <row r="5300" spans="11:13" x14ac:dyDescent="0.25">
      <c r="K5300" s="26" t="s">
        <v>110</v>
      </c>
      <c r="L5300" s="27" t="s">
        <v>118</v>
      </c>
      <c r="M5300" s="10">
        <v>462.10720887245844</v>
      </c>
    </row>
    <row r="5301" spans="11:13" x14ac:dyDescent="0.25">
      <c r="K5301" s="26" t="s">
        <v>110</v>
      </c>
      <c r="L5301" s="27" t="s">
        <v>119</v>
      </c>
      <c r="M5301" s="10">
        <v>308.07147258163894</v>
      </c>
    </row>
    <row r="5302" spans="11:13" x14ac:dyDescent="0.25">
      <c r="K5302" s="26" t="s">
        <v>114</v>
      </c>
      <c r="L5302" s="27" t="s">
        <v>115</v>
      </c>
      <c r="M5302" s="10">
        <v>231.05360443622922</v>
      </c>
    </row>
    <row r="5303" spans="11:13" x14ac:dyDescent="0.25">
      <c r="K5303" s="26" t="s">
        <v>112</v>
      </c>
      <c r="L5303" s="27" t="s">
        <v>116</v>
      </c>
      <c r="M5303" s="10">
        <v>22.045855379188712</v>
      </c>
    </row>
    <row r="5304" spans="11:13" x14ac:dyDescent="0.25">
      <c r="K5304" s="26" t="s">
        <v>109</v>
      </c>
      <c r="L5304" s="27" t="s">
        <v>117</v>
      </c>
      <c r="M5304" s="10">
        <v>55.114638447971785</v>
      </c>
    </row>
    <row r="5305" spans="11:13" x14ac:dyDescent="0.25">
      <c r="K5305" s="26" t="s">
        <v>109</v>
      </c>
      <c r="L5305" s="27" t="s">
        <v>118</v>
      </c>
      <c r="M5305" s="10">
        <v>206.82523267838675</v>
      </c>
    </row>
    <row r="5306" spans="11:13" x14ac:dyDescent="0.25">
      <c r="K5306" s="26" t="s">
        <v>114</v>
      </c>
      <c r="L5306" s="27" t="s">
        <v>119</v>
      </c>
      <c r="M5306" s="10">
        <v>73.2687957357561</v>
      </c>
    </row>
    <row r="5307" spans="11:13" x14ac:dyDescent="0.25">
      <c r="K5307" s="26" t="s">
        <v>114</v>
      </c>
      <c r="L5307" s="27" t="s">
        <v>115</v>
      </c>
      <c r="M5307" s="10">
        <v>18.484288354898336</v>
      </c>
    </row>
    <row r="5308" spans="11:13" x14ac:dyDescent="0.25">
      <c r="K5308" s="26" t="s">
        <v>111</v>
      </c>
      <c r="L5308" s="27" t="s">
        <v>116</v>
      </c>
      <c r="M5308" s="10">
        <v>308.07147258163894</v>
      </c>
    </row>
    <row r="5309" spans="11:13" x14ac:dyDescent="0.25">
      <c r="K5309" s="26" t="s">
        <v>111</v>
      </c>
      <c r="L5309" s="27" t="s">
        <v>117</v>
      </c>
      <c r="M5309" s="10">
        <v>47.751078250154038</v>
      </c>
    </row>
    <row r="5310" spans="11:13" x14ac:dyDescent="0.25">
      <c r="K5310" s="26" t="s">
        <v>111</v>
      </c>
      <c r="L5310" s="27" t="s">
        <v>118</v>
      </c>
      <c r="M5310" s="10">
        <v>220.45855379188714</v>
      </c>
    </row>
    <row r="5311" spans="11:13" x14ac:dyDescent="0.25">
      <c r="K5311" s="26" t="s">
        <v>111</v>
      </c>
      <c r="L5311" s="27" t="s">
        <v>119</v>
      </c>
      <c r="M5311" s="10">
        <v>275.57319223985888</v>
      </c>
    </row>
    <row r="5312" spans="11:13" x14ac:dyDescent="0.25">
      <c r="K5312" s="26" t="s">
        <v>111</v>
      </c>
      <c r="L5312" s="27" t="s">
        <v>115</v>
      </c>
      <c r="M5312" s="10">
        <v>607.73032979499237</v>
      </c>
    </row>
    <row r="5313" spans="11:13" x14ac:dyDescent="0.25">
      <c r="K5313" s="26" t="s">
        <v>111</v>
      </c>
      <c r="L5313" s="27" t="s">
        <v>116</v>
      </c>
      <c r="M5313" s="10">
        <v>46.210720887245841</v>
      </c>
    </row>
    <row r="5314" spans="11:13" x14ac:dyDescent="0.25">
      <c r="K5314" s="26" t="s">
        <v>111</v>
      </c>
      <c r="L5314" s="27" t="s">
        <v>117</v>
      </c>
      <c r="M5314" s="10">
        <v>8.1541127306085013</v>
      </c>
    </row>
    <row r="5315" spans="11:13" x14ac:dyDescent="0.25">
      <c r="K5315" s="26" t="s">
        <v>111</v>
      </c>
      <c r="L5315" s="27" t="s">
        <v>118</v>
      </c>
      <c r="M5315" s="10">
        <v>4.621072088724584</v>
      </c>
    </row>
    <row r="5316" spans="11:13" x14ac:dyDescent="0.25">
      <c r="K5316" s="26" t="s">
        <v>111</v>
      </c>
      <c r="L5316" s="27" t="s">
        <v>119</v>
      </c>
      <c r="M5316" s="10">
        <v>46.210720887245841</v>
      </c>
    </row>
    <row r="5317" spans="11:13" x14ac:dyDescent="0.25">
      <c r="K5317" s="26" t="s">
        <v>114</v>
      </c>
      <c r="L5317" s="27" t="s">
        <v>115</v>
      </c>
      <c r="M5317" s="10">
        <v>30.807147258163894</v>
      </c>
    </row>
    <row r="5318" spans="11:13" x14ac:dyDescent="0.25">
      <c r="K5318" s="26" t="s">
        <v>111</v>
      </c>
      <c r="L5318" s="27" t="s">
        <v>116</v>
      </c>
      <c r="M5318" s="10">
        <v>91.585994669695125</v>
      </c>
    </row>
    <row r="5319" spans="11:13" x14ac:dyDescent="0.25">
      <c r="K5319" s="26" t="s">
        <v>111</v>
      </c>
      <c r="L5319" s="27" t="s">
        <v>117</v>
      </c>
      <c r="M5319" s="10">
        <v>661.37566137566137</v>
      </c>
    </row>
    <row r="5320" spans="11:13" x14ac:dyDescent="0.25">
      <c r="K5320" s="26" t="s">
        <v>111</v>
      </c>
      <c r="L5320" s="27" t="s">
        <v>118</v>
      </c>
      <c r="M5320" s="10">
        <v>92.421441774491683</v>
      </c>
    </row>
    <row r="5321" spans="11:13" x14ac:dyDescent="0.25">
      <c r="K5321" s="26" t="s">
        <v>111</v>
      </c>
      <c r="L5321" s="27" t="s">
        <v>119</v>
      </c>
      <c r="M5321" s="10">
        <v>154.03573629081947</v>
      </c>
    </row>
    <row r="5322" spans="11:13" x14ac:dyDescent="0.25">
      <c r="K5322" s="26" t="s">
        <v>111</v>
      </c>
      <c r="L5322" s="27" t="s">
        <v>115</v>
      </c>
      <c r="M5322" s="10">
        <v>46.210720887245841</v>
      </c>
    </row>
    <row r="5323" spans="11:13" x14ac:dyDescent="0.25">
      <c r="K5323" s="26" t="s">
        <v>111</v>
      </c>
      <c r="L5323" s="27" t="s">
        <v>116</v>
      </c>
      <c r="M5323" s="10">
        <v>308.07147258163894</v>
      </c>
    </row>
    <row r="5324" spans="11:13" x14ac:dyDescent="0.25">
      <c r="K5324" s="26" t="s">
        <v>111</v>
      </c>
      <c r="L5324" s="27" t="s">
        <v>117</v>
      </c>
      <c r="M5324" s="10">
        <v>30.807147258163894</v>
      </c>
    </row>
    <row r="5325" spans="11:13" x14ac:dyDescent="0.25">
      <c r="K5325" s="26" t="s">
        <v>111</v>
      </c>
      <c r="L5325" s="27" t="s">
        <v>118</v>
      </c>
      <c r="M5325" s="10">
        <v>7.7017868145409736</v>
      </c>
    </row>
    <row r="5326" spans="11:13" x14ac:dyDescent="0.25">
      <c r="K5326" s="26" t="s">
        <v>111</v>
      </c>
      <c r="L5326" s="27" t="s">
        <v>119</v>
      </c>
      <c r="M5326" s="10">
        <v>7.7017868145409736</v>
      </c>
    </row>
    <row r="5327" spans="11:13" x14ac:dyDescent="0.25">
      <c r="K5327" s="26" t="s">
        <v>111</v>
      </c>
      <c r="L5327" s="27" t="s">
        <v>115</v>
      </c>
      <c r="M5327" s="10">
        <v>12.848020762401553</v>
      </c>
    </row>
    <row r="5328" spans="11:13" x14ac:dyDescent="0.25">
      <c r="K5328" s="26" t="s">
        <v>111</v>
      </c>
      <c r="L5328" s="27" t="s">
        <v>116</v>
      </c>
      <c r="M5328" s="10">
        <v>46.296296296296298</v>
      </c>
    </row>
    <row r="5329" spans="11:13" x14ac:dyDescent="0.25">
      <c r="K5329" s="26" t="s">
        <v>111</v>
      </c>
      <c r="L5329" s="27" t="s">
        <v>117</v>
      </c>
      <c r="M5329" s="10">
        <v>55.114638447971785</v>
      </c>
    </row>
    <row r="5330" spans="11:13" x14ac:dyDescent="0.25">
      <c r="K5330" s="26" t="s">
        <v>111</v>
      </c>
      <c r="L5330" s="27" t="s">
        <v>118</v>
      </c>
      <c r="M5330" s="10">
        <v>4.409171075837742</v>
      </c>
    </row>
    <row r="5331" spans="11:13" x14ac:dyDescent="0.25">
      <c r="K5331" s="26" t="s">
        <v>111</v>
      </c>
      <c r="L5331" s="27" t="s">
        <v>119</v>
      </c>
      <c r="M5331" s="10">
        <v>55.114638447971785</v>
      </c>
    </row>
    <row r="5332" spans="11:13" x14ac:dyDescent="0.25">
      <c r="K5332" s="26" t="s">
        <v>111</v>
      </c>
      <c r="L5332" s="27" t="s">
        <v>115</v>
      </c>
      <c r="M5332" s="10">
        <v>61.728395061728399</v>
      </c>
    </row>
    <row r="5333" spans="11:13" x14ac:dyDescent="0.25">
      <c r="K5333" s="26" t="s">
        <v>111</v>
      </c>
      <c r="L5333" s="27" t="s">
        <v>116</v>
      </c>
      <c r="M5333" s="10">
        <v>61.728395061728399</v>
      </c>
    </row>
    <row r="5334" spans="11:13" x14ac:dyDescent="0.25">
      <c r="K5334" s="26" t="s">
        <v>111</v>
      </c>
      <c r="L5334" s="27" t="s">
        <v>117</v>
      </c>
      <c r="M5334" s="10">
        <v>87.780291005291005</v>
      </c>
    </row>
    <row r="5335" spans="11:13" x14ac:dyDescent="0.25">
      <c r="K5335" s="26" t="s">
        <v>112</v>
      </c>
      <c r="L5335" s="27" t="s">
        <v>118</v>
      </c>
      <c r="M5335" s="10">
        <v>308.75</v>
      </c>
    </row>
    <row r="5336" spans="11:13" x14ac:dyDescent="0.25">
      <c r="K5336" s="26" t="s">
        <v>110</v>
      </c>
      <c r="L5336" s="27" t="s">
        <v>119</v>
      </c>
      <c r="M5336" s="10">
        <v>110.22927689594357</v>
      </c>
    </row>
    <row r="5337" spans="11:13" x14ac:dyDescent="0.25">
      <c r="K5337" s="26" t="s">
        <v>110</v>
      </c>
      <c r="L5337" s="27" t="s">
        <v>115</v>
      </c>
      <c r="M5337" s="10">
        <v>46.210720887245841</v>
      </c>
    </row>
    <row r="5338" spans="11:13" x14ac:dyDescent="0.25">
      <c r="K5338" s="26" t="s">
        <v>109</v>
      </c>
      <c r="L5338" s="27" t="s">
        <v>116</v>
      </c>
      <c r="M5338" s="10">
        <v>616.14294516327789</v>
      </c>
    </row>
    <row r="5339" spans="11:13" x14ac:dyDescent="0.25">
      <c r="K5339" s="26" t="s">
        <v>109</v>
      </c>
      <c r="L5339" s="27" t="s">
        <v>117</v>
      </c>
      <c r="M5339" s="10">
        <v>385.08934072704869</v>
      </c>
    </row>
    <row r="5340" spans="11:13" x14ac:dyDescent="0.25">
      <c r="K5340" s="26" t="s">
        <v>109</v>
      </c>
      <c r="L5340" s="27" t="s">
        <v>118</v>
      </c>
      <c r="M5340" s="10">
        <v>6.1614294516327792</v>
      </c>
    </row>
    <row r="5341" spans="11:13" x14ac:dyDescent="0.25">
      <c r="K5341" s="26" t="s">
        <v>111</v>
      </c>
      <c r="L5341" s="27" t="s">
        <v>119</v>
      </c>
      <c r="M5341" s="10">
        <v>308.07147258163894</v>
      </c>
    </row>
    <row r="5342" spans="11:13" x14ac:dyDescent="0.25">
      <c r="K5342" s="26" t="s">
        <v>111</v>
      </c>
      <c r="L5342" s="27" t="s">
        <v>115</v>
      </c>
      <c r="M5342" s="10">
        <v>308.07147258163894</v>
      </c>
    </row>
    <row r="5343" spans="11:13" x14ac:dyDescent="0.25">
      <c r="K5343" s="26" t="s">
        <v>110</v>
      </c>
      <c r="L5343" s="27" t="s">
        <v>116</v>
      </c>
      <c r="M5343" s="10">
        <v>13.327684536418447</v>
      </c>
    </row>
    <row r="5344" spans="11:13" x14ac:dyDescent="0.25">
      <c r="K5344" s="26" t="s">
        <v>112</v>
      </c>
      <c r="L5344" s="27" t="s">
        <v>117</v>
      </c>
      <c r="M5344" s="10">
        <v>84.718839351900883</v>
      </c>
    </row>
    <row r="5345" spans="11:13" x14ac:dyDescent="0.25">
      <c r="K5345" s="26" t="s">
        <v>111</v>
      </c>
      <c r="L5345" s="27" t="s">
        <v>118</v>
      </c>
      <c r="M5345" s="10">
        <v>105.89854918987609</v>
      </c>
    </row>
    <row r="5346" spans="11:13" x14ac:dyDescent="0.25">
      <c r="K5346" s="26" t="s">
        <v>111</v>
      </c>
      <c r="L5346" s="27" t="s">
        <v>119</v>
      </c>
      <c r="M5346" s="10">
        <v>423.59419675950437</v>
      </c>
    </row>
    <row r="5347" spans="11:13" x14ac:dyDescent="0.25">
      <c r="K5347" s="26" t="s">
        <v>111</v>
      </c>
      <c r="L5347" s="27" t="s">
        <v>115</v>
      </c>
      <c r="M5347" s="10">
        <v>34.470872113064452</v>
      </c>
    </row>
    <row r="5348" spans="11:13" x14ac:dyDescent="0.25">
      <c r="K5348" s="26" t="s">
        <v>111</v>
      </c>
      <c r="L5348" s="27" t="s">
        <v>116</v>
      </c>
      <c r="M5348" s="10">
        <v>123.22858903265558</v>
      </c>
    </row>
    <row r="5349" spans="11:13" x14ac:dyDescent="0.25">
      <c r="K5349" s="26" t="s">
        <v>111</v>
      </c>
      <c r="L5349" s="27" t="s">
        <v>117</v>
      </c>
      <c r="M5349" s="10">
        <v>3.0807147258163896</v>
      </c>
    </row>
    <row r="5350" spans="11:13" x14ac:dyDescent="0.25">
      <c r="K5350" s="26" t="s">
        <v>111</v>
      </c>
      <c r="L5350" s="27" t="s">
        <v>118</v>
      </c>
      <c r="M5350" s="10">
        <v>34.470872113064452</v>
      </c>
    </row>
    <row r="5351" spans="11:13" x14ac:dyDescent="0.25">
      <c r="K5351" s="26" t="s">
        <v>111</v>
      </c>
      <c r="L5351" s="27" t="s">
        <v>119</v>
      </c>
      <c r="M5351" s="10">
        <v>27.576697690451567</v>
      </c>
    </row>
    <row r="5352" spans="11:13" x14ac:dyDescent="0.25">
      <c r="K5352" s="26" t="s">
        <v>111</v>
      </c>
      <c r="L5352" s="27" t="s">
        <v>115</v>
      </c>
      <c r="M5352" s="10">
        <v>12</v>
      </c>
    </row>
    <row r="5353" spans="11:13" x14ac:dyDescent="0.25">
      <c r="K5353" s="26" t="s">
        <v>113</v>
      </c>
      <c r="L5353" s="27" t="s">
        <v>116</v>
      </c>
      <c r="M5353" s="10">
        <v>11.022927689594356</v>
      </c>
    </row>
    <row r="5354" spans="11:13" x14ac:dyDescent="0.25">
      <c r="K5354" s="26" t="s">
        <v>111</v>
      </c>
      <c r="L5354" s="27" t="s">
        <v>117</v>
      </c>
      <c r="M5354" s="10">
        <v>168</v>
      </c>
    </row>
    <row r="5355" spans="11:13" x14ac:dyDescent="0.25">
      <c r="K5355" s="26" t="s">
        <v>111</v>
      </c>
      <c r="L5355" s="27" t="s">
        <v>118</v>
      </c>
      <c r="M5355" s="10">
        <v>26.474637297469023</v>
      </c>
    </row>
    <row r="5356" spans="11:13" x14ac:dyDescent="0.25">
      <c r="K5356" s="26" t="s">
        <v>111</v>
      </c>
      <c r="L5356" s="27" t="s">
        <v>119</v>
      </c>
      <c r="M5356" s="10">
        <v>91.585994669695125</v>
      </c>
    </row>
    <row r="5357" spans="11:13" x14ac:dyDescent="0.25">
      <c r="K5357" s="26" t="s">
        <v>111</v>
      </c>
      <c r="L5357" s="27" t="s">
        <v>115</v>
      </c>
      <c r="M5357" s="10">
        <v>6.4110196268786588</v>
      </c>
    </row>
    <row r="5358" spans="11:13" x14ac:dyDescent="0.25">
      <c r="K5358" s="26" t="s">
        <v>111</v>
      </c>
      <c r="L5358" s="27" t="s">
        <v>116</v>
      </c>
      <c r="M5358" s="10">
        <v>15.4320987654321</v>
      </c>
    </row>
    <row r="5359" spans="11:13" x14ac:dyDescent="0.25">
      <c r="K5359" s="26" t="s">
        <v>111</v>
      </c>
      <c r="L5359" s="27" t="s">
        <v>117</v>
      </c>
      <c r="M5359" s="10">
        <v>105.89854918987609</v>
      </c>
    </row>
    <row r="5360" spans="11:13" x14ac:dyDescent="0.25">
      <c r="K5360" s="26" t="s">
        <v>111</v>
      </c>
      <c r="L5360" s="27" t="s">
        <v>118</v>
      </c>
      <c r="M5360" s="10">
        <v>74.128984432913256</v>
      </c>
    </row>
    <row r="5361" spans="11:13" x14ac:dyDescent="0.25">
      <c r="K5361" s="26" t="s">
        <v>111</v>
      </c>
      <c r="L5361" s="27" t="s">
        <v>119</v>
      </c>
      <c r="M5361" s="10">
        <v>111.1934766493699</v>
      </c>
    </row>
    <row r="5362" spans="11:13" x14ac:dyDescent="0.25">
      <c r="K5362" s="26" t="s">
        <v>114</v>
      </c>
      <c r="L5362" s="27" t="s">
        <v>115</v>
      </c>
      <c r="M5362" s="10">
        <v>42.359419675950441</v>
      </c>
    </row>
    <row r="5363" spans="11:13" x14ac:dyDescent="0.25">
      <c r="K5363" s="26" t="s">
        <v>114</v>
      </c>
      <c r="L5363" s="27" t="s">
        <v>116</v>
      </c>
      <c r="M5363" s="10">
        <v>15.403573629081947</v>
      </c>
    </row>
    <row r="5364" spans="11:13" x14ac:dyDescent="0.25">
      <c r="K5364" s="26" t="s">
        <v>110</v>
      </c>
      <c r="L5364" s="27" t="s">
        <v>117</v>
      </c>
      <c r="M5364" s="10">
        <v>462.10720887245844</v>
      </c>
    </row>
    <row r="5365" spans="11:13" x14ac:dyDescent="0.25">
      <c r="K5365" s="26" t="s">
        <v>110</v>
      </c>
      <c r="L5365" s="27" t="s">
        <v>118</v>
      </c>
      <c r="M5365" s="10">
        <v>308.07147258163894</v>
      </c>
    </row>
    <row r="5366" spans="11:13" x14ac:dyDescent="0.25">
      <c r="K5366" s="26" t="s">
        <v>111</v>
      </c>
      <c r="L5366" s="27" t="s">
        <v>119</v>
      </c>
      <c r="M5366" s="10">
        <v>34.310405643738981</v>
      </c>
    </row>
    <row r="5367" spans="11:13" x14ac:dyDescent="0.25">
      <c r="K5367" s="26" t="s">
        <v>111</v>
      </c>
      <c r="L5367" s="27" t="s">
        <v>115</v>
      </c>
      <c r="M5367" s="10">
        <v>119.04761904761905</v>
      </c>
    </row>
    <row r="5368" spans="11:13" x14ac:dyDescent="0.25">
      <c r="K5368" s="26" t="s">
        <v>110</v>
      </c>
      <c r="L5368" s="27" t="s">
        <v>116</v>
      </c>
      <c r="M5368" s="10">
        <v>154.03573629081947</v>
      </c>
    </row>
    <row r="5369" spans="11:13" x14ac:dyDescent="0.25">
      <c r="K5369" s="26" t="s">
        <v>111</v>
      </c>
      <c r="L5369" s="27" t="s">
        <v>117</v>
      </c>
      <c r="M5369" s="10">
        <v>423.59419675950437</v>
      </c>
    </row>
    <row r="5370" spans="11:13" x14ac:dyDescent="0.25">
      <c r="K5370" s="26" t="s">
        <v>111</v>
      </c>
      <c r="L5370" s="27" t="s">
        <v>118</v>
      </c>
      <c r="M5370" s="10">
        <v>6.6137566137566139</v>
      </c>
    </row>
    <row r="5371" spans="11:13" x14ac:dyDescent="0.25">
      <c r="K5371" s="26" t="s">
        <v>109</v>
      </c>
      <c r="L5371" s="27" t="s">
        <v>119</v>
      </c>
      <c r="M5371" s="10">
        <v>190.61738854177699</v>
      </c>
    </row>
    <row r="5372" spans="11:13" x14ac:dyDescent="0.25">
      <c r="K5372" s="26" t="s">
        <v>109</v>
      </c>
      <c r="L5372" s="27" t="s">
        <v>115</v>
      </c>
      <c r="M5372" s="10">
        <v>33.06878306878307</v>
      </c>
    </row>
    <row r="5373" spans="11:13" x14ac:dyDescent="0.25">
      <c r="K5373" s="26" t="s">
        <v>109</v>
      </c>
      <c r="L5373" s="27" t="s">
        <v>116</v>
      </c>
      <c r="M5373" s="10">
        <v>862.60012322858904</v>
      </c>
    </row>
    <row r="5374" spans="11:13" x14ac:dyDescent="0.25">
      <c r="K5374" s="26" t="s">
        <v>109</v>
      </c>
      <c r="L5374" s="27" t="s">
        <v>117</v>
      </c>
      <c r="M5374" s="10">
        <v>105.89854918987609</v>
      </c>
    </row>
    <row r="5375" spans="11:13" x14ac:dyDescent="0.25">
      <c r="K5375" s="26" t="s">
        <v>109</v>
      </c>
      <c r="L5375" s="27" t="s">
        <v>118</v>
      </c>
      <c r="M5375" s="10">
        <v>42.359419675950441</v>
      </c>
    </row>
    <row r="5376" spans="11:13" x14ac:dyDescent="0.25">
      <c r="K5376" s="26" t="s">
        <v>109</v>
      </c>
      <c r="L5376" s="27" t="s">
        <v>119</v>
      </c>
      <c r="M5376" s="10">
        <v>264.74637297469025</v>
      </c>
    </row>
    <row r="5377" spans="11:13" x14ac:dyDescent="0.25">
      <c r="K5377" s="26" t="s">
        <v>109</v>
      </c>
      <c r="L5377" s="27" t="s">
        <v>115</v>
      </c>
      <c r="M5377" s="10">
        <v>158.84782378481412</v>
      </c>
    </row>
    <row r="5378" spans="11:13" x14ac:dyDescent="0.25">
      <c r="K5378" s="26" t="s">
        <v>109</v>
      </c>
      <c r="L5378" s="27" t="s">
        <v>116</v>
      </c>
      <c r="M5378" s="10">
        <v>293.80264550264553</v>
      </c>
    </row>
    <row r="5379" spans="11:13" x14ac:dyDescent="0.25">
      <c r="K5379" s="26" t="s">
        <v>109</v>
      </c>
      <c r="L5379" s="27" t="s">
        <v>117</v>
      </c>
      <c r="M5379" s="10">
        <v>250</v>
      </c>
    </row>
    <row r="5380" spans="11:13" x14ac:dyDescent="0.25">
      <c r="K5380" s="26" t="s">
        <v>109</v>
      </c>
      <c r="L5380" s="27" t="s">
        <v>118</v>
      </c>
      <c r="M5380" s="10">
        <v>194.00352733686069</v>
      </c>
    </row>
    <row r="5381" spans="11:13" x14ac:dyDescent="0.25">
      <c r="K5381" s="26" t="s">
        <v>109</v>
      </c>
      <c r="L5381" s="27" t="s">
        <v>119</v>
      </c>
      <c r="M5381" s="10">
        <v>48.967107583774251</v>
      </c>
    </row>
    <row r="5382" spans="11:13" x14ac:dyDescent="0.25">
      <c r="K5382" s="26" t="s">
        <v>109</v>
      </c>
      <c r="L5382" s="27" t="s">
        <v>115</v>
      </c>
      <c r="M5382" s="10">
        <v>5.9744268077601408</v>
      </c>
    </row>
    <row r="5383" spans="11:13" x14ac:dyDescent="0.25">
      <c r="K5383" s="26" t="s">
        <v>109</v>
      </c>
      <c r="L5383" s="27" t="s">
        <v>116</v>
      </c>
      <c r="M5383" s="10">
        <v>231.41333774250441</v>
      </c>
    </row>
    <row r="5384" spans="11:13" x14ac:dyDescent="0.25">
      <c r="K5384" s="26" t="s">
        <v>109</v>
      </c>
      <c r="L5384" s="27" t="s">
        <v>117</v>
      </c>
      <c r="M5384" s="10">
        <v>66.137566137566139</v>
      </c>
    </row>
    <row r="5385" spans="11:13" x14ac:dyDescent="0.25">
      <c r="K5385" s="26" t="s">
        <v>109</v>
      </c>
      <c r="L5385" s="27" t="s">
        <v>118</v>
      </c>
      <c r="M5385" s="10">
        <v>66.137566137566139</v>
      </c>
    </row>
    <row r="5386" spans="11:13" x14ac:dyDescent="0.25">
      <c r="K5386" s="26" t="s">
        <v>111</v>
      </c>
      <c r="L5386" s="27" t="s">
        <v>119</v>
      </c>
      <c r="M5386" s="10">
        <v>66.137566137566139</v>
      </c>
    </row>
    <row r="5387" spans="11:13" x14ac:dyDescent="0.25">
      <c r="K5387" s="26" t="s">
        <v>111</v>
      </c>
      <c r="L5387" s="27" t="s">
        <v>115</v>
      </c>
      <c r="M5387" s="10">
        <v>66.137566137566139</v>
      </c>
    </row>
    <row r="5388" spans="11:13" x14ac:dyDescent="0.25">
      <c r="K5388" s="26" t="s">
        <v>113</v>
      </c>
      <c r="L5388" s="27" t="s">
        <v>116</v>
      </c>
      <c r="M5388" s="10">
        <v>66.137566137566139</v>
      </c>
    </row>
    <row r="5389" spans="11:13" x14ac:dyDescent="0.25">
      <c r="K5389" s="26" t="s">
        <v>111</v>
      </c>
      <c r="L5389" s="27" t="s">
        <v>117</v>
      </c>
      <c r="M5389" s="10">
        <v>46.210720887245841</v>
      </c>
    </row>
    <row r="5390" spans="11:13" x14ac:dyDescent="0.25">
      <c r="K5390" s="26" t="s">
        <v>111</v>
      </c>
      <c r="L5390" s="27" t="s">
        <v>118</v>
      </c>
      <c r="M5390" s="10">
        <v>17.046496987139133</v>
      </c>
    </row>
    <row r="5391" spans="11:13" x14ac:dyDescent="0.25">
      <c r="K5391" s="26" t="s">
        <v>111</v>
      </c>
      <c r="L5391" s="27" t="s">
        <v>119</v>
      </c>
      <c r="M5391" s="10">
        <v>110.22927689594357</v>
      </c>
    </row>
    <row r="5392" spans="11:13" x14ac:dyDescent="0.25">
      <c r="K5392" s="26" t="s">
        <v>111</v>
      </c>
      <c r="L5392" s="27" t="s">
        <v>115</v>
      </c>
      <c r="M5392" s="10">
        <v>183.17198933939025</v>
      </c>
    </row>
    <row r="5393" spans="11:13" x14ac:dyDescent="0.25">
      <c r="K5393" s="26" t="s">
        <v>111</v>
      </c>
      <c r="L5393" s="27" t="s">
        <v>116</v>
      </c>
      <c r="M5393" s="10">
        <v>44.968072668405433</v>
      </c>
    </row>
    <row r="5394" spans="11:13" x14ac:dyDescent="0.25">
      <c r="K5394" s="26" t="s">
        <v>111</v>
      </c>
      <c r="L5394" s="27" t="s">
        <v>117</v>
      </c>
      <c r="M5394" s="10">
        <v>11.544516929296641</v>
      </c>
    </row>
    <row r="5395" spans="11:13" x14ac:dyDescent="0.25">
      <c r="K5395" s="26" t="s">
        <v>111</v>
      </c>
      <c r="L5395" s="27" t="s">
        <v>118</v>
      </c>
      <c r="M5395" s="10">
        <v>80</v>
      </c>
    </row>
    <row r="5396" spans="11:13" x14ac:dyDescent="0.25">
      <c r="K5396" s="26" t="s">
        <v>111</v>
      </c>
      <c r="L5396" s="27" t="s">
        <v>119</v>
      </c>
      <c r="M5396" s="10">
        <v>66.137566137566139</v>
      </c>
    </row>
    <row r="5397" spans="11:13" x14ac:dyDescent="0.25">
      <c r="K5397" s="26" t="s">
        <v>111</v>
      </c>
      <c r="L5397" s="27" t="s">
        <v>115</v>
      </c>
      <c r="M5397" s="10">
        <v>70.546737213403873</v>
      </c>
    </row>
    <row r="5398" spans="11:13" x14ac:dyDescent="0.25">
      <c r="K5398" s="26" t="s">
        <v>111</v>
      </c>
      <c r="L5398" s="27" t="s">
        <v>116</v>
      </c>
      <c r="M5398" s="10">
        <v>75</v>
      </c>
    </row>
    <row r="5399" spans="11:13" x14ac:dyDescent="0.25">
      <c r="K5399" s="26" t="s">
        <v>111</v>
      </c>
      <c r="L5399" s="27" t="s">
        <v>117</v>
      </c>
      <c r="M5399" s="10">
        <v>15.403573629081947</v>
      </c>
    </row>
    <row r="5400" spans="11:13" x14ac:dyDescent="0.25">
      <c r="K5400" s="26" t="s">
        <v>111</v>
      </c>
      <c r="L5400" s="27" t="s">
        <v>118</v>
      </c>
      <c r="M5400" s="10">
        <v>109.90319360363415</v>
      </c>
    </row>
    <row r="5401" spans="11:13" x14ac:dyDescent="0.25">
      <c r="K5401" s="26" t="s">
        <v>111</v>
      </c>
      <c r="L5401" s="27" t="s">
        <v>119</v>
      </c>
      <c r="M5401" s="10">
        <v>66.137566137566139</v>
      </c>
    </row>
    <row r="5402" spans="11:13" x14ac:dyDescent="0.25">
      <c r="K5402" s="26" t="s">
        <v>111</v>
      </c>
      <c r="L5402" s="27" t="s">
        <v>115</v>
      </c>
      <c r="M5402" s="10">
        <v>66.137566137566139</v>
      </c>
    </row>
    <row r="5403" spans="11:13" x14ac:dyDescent="0.25">
      <c r="K5403" s="26" t="s">
        <v>111</v>
      </c>
      <c r="L5403" s="27" t="s">
        <v>116</v>
      </c>
      <c r="M5403" s="10">
        <v>66.137566137566139</v>
      </c>
    </row>
    <row r="5404" spans="11:13" x14ac:dyDescent="0.25">
      <c r="K5404" s="26" t="s">
        <v>111</v>
      </c>
      <c r="L5404" s="27" t="s">
        <v>117</v>
      </c>
      <c r="M5404" s="10">
        <v>66.137566137566139</v>
      </c>
    </row>
    <row r="5405" spans="11:13" x14ac:dyDescent="0.25">
      <c r="K5405" s="26" t="s">
        <v>111</v>
      </c>
      <c r="L5405" s="27" t="s">
        <v>118</v>
      </c>
      <c r="M5405" s="10">
        <v>44.091710758377424</v>
      </c>
    </row>
    <row r="5406" spans="11:13" x14ac:dyDescent="0.25">
      <c r="K5406" s="26" t="s">
        <v>111</v>
      </c>
      <c r="L5406" s="27" t="s">
        <v>119</v>
      </c>
      <c r="M5406" s="10">
        <v>123.22858903265558</v>
      </c>
    </row>
    <row r="5407" spans="11:13" x14ac:dyDescent="0.25">
      <c r="K5407" s="26" t="s">
        <v>111</v>
      </c>
      <c r="L5407" s="27" t="s">
        <v>115</v>
      </c>
      <c r="M5407" s="10">
        <v>40.515355319666149</v>
      </c>
    </row>
    <row r="5408" spans="11:13" x14ac:dyDescent="0.25">
      <c r="K5408" s="26" t="s">
        <v>111</v>
      </c>
      <c r="L5408" s="27" t="s">
        <v>116</v>
      </c>
      <c r="M5408" s="10">
        <v>84.718839351900883</v>
      </c>
    </row>
    <row r="5409" spans="11:13" x14ac:dyDescent="0.25">
      <c r="K5409" s="26" t="s">
        <v>111</v>
      </c>
      <c r="L5409" s="27" t="s">
        <v>117</v>
      </c>
      <c r="M5409" s="10">
        <v>37.917959324370905</v>
      </c>
    </row>
    <row r="5410" spans="11:13" x14ac:dyDescent="0.25">
      <c r="K5410" s="26" t="s">
        <v>111</v>
      </c>
      <c r="L5410" s="27" t="s">
        <v>118</v>
      </c>
      <c r="M5410" s="10">
        <v>423.59419675950437</v>
      </c>
    </row>
    <row r="5411" spans="11:13" x14ac:dyDescent="0.25">
      <c r="K5411" s="26" t="s">
        <v>111</v>
      </c>
      <c r="L5411" s="27" t="s">
        <v>119</v>
      </c>
      <c r="M5411" s="10">
        <v>100</v>
      </c>
    </row>
    <row r="5412" spans="11:13" x14ac:dyDescent="0.25">
      <c r="K5412" s="26" t="s">
        <v>111</v>
      </c>
      <c r="L5412" s="27" t="s">
        <v>115</v>
      </c>
      <c r="M5412" s="10">
        <v>220.45855379188714</v>
      </c>
    </row>
    <row r="5413" spans="11:13" x14ac:dyDescent="0.25">
      <c r="K5413" s="26" t="s">
        <v>113</v>
      </c>
      <c r="L5413" s="27" t="s">
        <v>116</v>
      </c>
      <c r="M5413" s="10">
        <v>48.08267702821869</v>
      </c>
    </row>
    <row r="5414" spans="11:13" x14ac:dyDescent="0.25">
      <c r="K5414" s="26" t="s">
        <v>113</v>
      </c>
      <c r="L5414" s="27" t="s">
        <v>117</v>
      </c>
      <c r="M5414" s="10">
        <v>41.495139607032058</v>
      </c>
    </row>
    <row r="5415" spans="11:13" x14ac:dyDescent="0.25">
      <c r="K5415" s="26" t="s">
        <v>113</v>
      </c>
      <c r="L5415" s="27" t="s">
        <v>118</v>
      </c>
      <c r="M5415" s="10">
        <v>79.532350913478112</v>
      </c>
    </row>
    <row r="5416" spans="11:13" x14ac:dyDescent="0.25">
      <c r="K5416" s="26" t="s">
        <v>113</v>
      </c>
      <c r="L5416" s="27" t="s">
        <v>119</v>
      </c>
      <c r="M5416" s="10">
        <v>72.162257495590836</v>
      </c>
    </row>
    <row r="5417" spans="11:13" x14ac:dyDescent="0.25">
      <c r="K5417" s="26" t="s">
        <v>111</v>
      </c>
      <c r="L5417" s="27" t="s">
        <v>115</v>
      </c>
      <c r="M5417" s="10">
        <v>308.07147258163894</v>
      </c>
    </row>
    <row r="5418" spans="11:13" x14ac:dyDescent="0.25">
      <c r="K5418" s="26" t="s">
        <v>111</v>
      </c>
      <c r="L5418" s="27" t="s">
        <v>116</v>
      </c>
      <c r="M5418" s="10">
        <v>344.70872113064462</v>
      </c>
    </row>
    <row r="5419" spans="11:13" x14ac:dyDescent="0.25">
      <c r="K5419" s="26" t="s">
        <v>111</v>
      </c>
      <c r="L5419" s="27" t="s">
        <v>117</v>
      </c>
      <c r="M5419" s="10">
        <v>317.69564756962825</v>
      </c>
    </row>
    <row r="5420" spans="11:13" x14ac:dyDescent="0.25">
      <c r="K5420" s="26" t="s">
        <v>111</v>
      </c>
      <c r="L5420" s="27" t="s">
        <v>118</v>
      </c>
      <c r="M5420" s="10">
        <v>38.508934072704868</v>
      </c>
    </row>
    <row r="5421" spans="11:13" x14ac:dyDescent="0.25">
      <c r="K5421" s="26" t="s">
        <v>111</v>
      </c>
      <c r="L5421" s="27" t="s">
        <v>119</v>
      </c>
      <c r="M5421" s="10">
        <v>25.696041524803107</v>
      </c>
    </row>
    <row r="5422" spans="11:13" x14ac:dyDescent="0.25">
      <c r="K5422" s="26" t="s">
        <v>111</v>
      </c>
      <c r="L5422" s="27" t="s">
        <v>115</v>
      </c>
      <c r="M5422" s="10">
        <v>661.37566137566137</v>
      </c>
    </row>
    <row r="5423" spans="11:13" x14ac:dyDescent="0.25">
      <c r="K5423" s="26" t="s">
        <v>113</v>
      </c>
      <c r="L5423" s="27" t="s">
        <v>116</v>
      </c>
      <c r="M5423" s="10">
        <v>110.22927689594357</v>
      </c>
    </row>
    <row r="5424" spans="11:13" x14ac:dyDescent="0.25">
      <c r="K5424" s="26" t="s">
        <v>111</v>
      </c>
      <c r="L5424" s="27" t="s">
        <v>117</v>
      </c>
      <c r="M5424" s="10">
        <v>36.968576709796672</v>
      </c>
    </row>
    <row r="5425" spans="11:13" x14ac:dyDescent="0.25">
      <c r="K5425" s="26" t="s">
        <v>111</v>
      </c>
      <c r="L5425" s="27" t="s">
        <v>118</v>
      </c>
      <c r="M5425" s="10">
        <v>241.44869215291749</v>
      </c>
    </row>
    <row r="5426" spans="11:13" x14ac:dyDescent="0.25">
      <c r="K5426" s="26" t="s">
        <v>111</v>
      </c>
      <c r="L5426" s="27" t="s">
        <v>119</v>
      </c>
      <c r="M5426" s="10">
        <v>220.45855379188714</v>
      </c>
    </row>
    <row r="5427" spans="11:13" x14ac:dyDescent="0.25">
      <c r="K5427" s="26" t="s">
        <v>109</v>
      </c>
      <c r="L5427" s="27" t="s">
        <v>115</v>
      </c>
      <c r="M5427" s="10">
        <v>33.06878306878307</v>
      </c>
    </row>
    <row r="5428" spans="11:13" x14ac:dyDescent="0.25">
      <c r="K5428" s="26" t="s">
        <v>109</v>
      </c>
      <c r="L5428" s="27" t="s">
        <v>116</v>
      </c>
      <c r="M5428" s="10">
        <v>33.014219576719576</v>
      </c>
    </row>
    <row r="5429" spans="11:13" x14ac:dyDescent="0.25">
      <c r="K5429" s="26" t="s">
        <v>111</v>
      </c>
      <c r="L5429" s="27" t="s">
        <v>117</v>
      </c>
      <c r="M5429" s="10">
        <v>320.60428219346886</v>
      </c>
    </row>
    <row r="5430" spans="11:13" x14ac:dyDescent="0.25">
      <c r="K5430" s="26" t="s">
        <v>111</v>
      </c>
      <c r="L5430" s="27" t="s">
        <v>118</v>
      </c>
      <c r="M5430" s="10">
        <v>44.091710758377424</v>
      </c>
    </row>
    <row r="5431" spans="11:13" x14ac:dyDescent="0.25">
      <c r="K5431" s="26" t="s">
        <v>111</v>
      </c>
      <c r="L5431" s="27" t="s">
        <v>119</v>
      </c>
      <c r="M5431" s="10">
        <v>52.949274594938046</v>
      </c>
    </row>
    <row r="5432" spans="11:13" x14ac:dyDescent="0.25">
      <c r="K5432" s="26" t="s">
        <v>109</v>
      </c>
      <c r="L5432" s="27" t="s">
        <v>115</v>
      </c>
      <c r="M5432" s="10">
        <v>256.96041524803104</v>
      </c>
    </row>
    <row r="5433" spans="11:13" x14ac:dyDescent="0.25">
      <c r="K5433" s="26" t="s">
        <v>110</v>
      </c>
      <c r="L5433" s="27" t="s">
        <v>116</v>
      </c>
      <c r="M5433" s="10">
        <v>1102.2927689594355</v>
      </c>
    </row>
    <row r="5434" spans="11:13" x14ac:dyDescent="0.25">
      <c r="K5434" s="26" t="s">
        <v>111</v>
      </c>
      <c r="L5434" s="27" t="s">
        <v>117</v>
      </c>
      <c r="M5434" s="10">
        <v>256.96041524803104</v>
      </c>
    </row>
    <row r="5435" spans="11:13" x14ac:dyDescent="0.25">
      <c r="K5435" s="26" t="s">
        <v>111</v>
      </c>
      <c r="L5435" s="27" t="s">
        <v>118</v>
      </c>
      <c r="M5435" s="10">
        <v>61.728395061728399</v>
      </c>
    </row>
    <row r="5436" spans="11:13" x14ac:dyDescent="0.25">
      <c r="K5436" s="26" t="s">
        <v>111</v>
      </c>
      <c r="L5436" s="27" t="s">
        <v>119</v>
      </c>
      <c r="M5436" s="10">
        <v>6.2115989801075022</v>
      </c>
    </row>
    <row r="5437" spans="11:13" x14ac:dyDescent="0.25">
      <c r="K5437" s="26" t="s">
        <v>111</v>
      </c>
      <c r="L5437" s="27" t="s">
        <v>115</v>
      </c>
      <c r="M5437" s="10">
        <v>110.22927689594357</v>
      </c>
    </row>
    <row r="5438" spans="11:13" x14ac:dyDescent="0.25">
      <c r="K5438" s="26" t="s">
        <v>111</v>
      </c>
      <c r="L5438" s="27" t="s">
        <v>116</v>
      </c>
      <c r="M5438" s="10">
        <v>2.2749999999999999</v>
      </c>
    </row>
    <row r="5439" spans="11:13" x14ac:dyDescent="0.25">
      <c r="K5439" s="26" t="s">
        <v>111</v>
      </c>
      <c r="L5439" s="27" t="s">
        <v>117</v>
      </c>
      <c r="M5439" s="10">
        <v>66.137566137566139</v>
      </c>
    </row>
    <row r="5440" spans="11:13" x14ac:dyDescent="0.25">
      <c r="K5440" s="26" t="s">
        <v>111</v>
      </c>
      <c r="L5440" s="27" t="s">
        <v>118</v>
      </c>
      <c r="M5440" s="10">
        <v>100</v>
      </c>
    </row>
    <row r="5441" spans="11:13" x14ac:dyDescent="0.25">
      <c r="K5441" s="26" t="s">
        <v>114</v>
      </c>
      <c r="L5441" s="27" t="s">
        <v>119</v>
      </c>
      <c r="M5441" s="10">
        <v>61.614294516327789</v>
      </c>
    </row>
    <row r="5442" spans="11:13" x14ac:dyDescent="0.25">
      <c r="K5442" s="26" t="s">
        <v>114</v>
      </c>
      <c r="L5442" s="27" t="s">
        <v>115</v>
      </c>
      <c r="M5442" s="10">
        <v>42</v>
      </c>
    </row>
    <row r="5443" spans="11:13" x14ac:dyDescent="0.25">
      <c r="K5443" s="26" t="s">
        <v>110</v>
      </c>
      <c r="L5443" s="27" t="s">
        <v>116</v>
      </c>
      <c r="M5443" s="10">
        <v>42</v>
      </c>
    </row>
    <row r="5444" spans="11:13" x14ac:dyDescent="0.25">
      <c r="K5444" s="26" t="s">
        <v>111</v>
      </c>
      <c r="L5444" s="27" t="s">
        <v>117</v>
      </c>
      <c r="M5444" s="10">
        <v>317.69564756962825</v>
      </c>
    </row>
    <row r="5445" spans="11:13" x14ac:dyDescent="0.25">
      <c r="K5445" s="26" t="s">
        <v>114</v>
      </c>
      <c r="L5445" s="27" t="s">
        <v>118</v>
      </c>
      <c r="M5445" s="10">
        <v>2.2970551752653101</v>
      </c>
    </row>
    <row r="5446" spans="11:13" x14ac:dyDescent="0.25">
      <c r="K5446" s="26" t="s">
        <v>114</v>
      </c>
      <c r="L5446" s="27" t="s">
        <v>119</v>
      </c>
      <c r="M5446" s="10">
        <v>200</v>
      </c>
    </row>
    <row r="5447" spans="11:13" x14ac:dyDescent="0.25">
      <c r="K5447" s="26" t="s">
        <v>113</v>
      </c>
      <c r="L5447" s="27" t="s">
        <v>115</v>
      </c>
      <c r="M5447" s="10">
        <v>22.970551752653101</v>
      </c>
    </row>
    <row r="5448" spans="11:13" x14ac:dyDescent="0.25">
      <c r="K5448" s="26" t="s">
        <v>113</v>
      </c>
      <c r="L5448" s="27" t="s">
        <v>116</v>
      </c>
      <c r="M5448" s="10">
        <v>22.970551752653101</v>
      </c>
    </row>
    <row r="5449" spans="11:13" x14ac:dyDescent="0.25">
      <c r="K5449" s="26" t="s">
        <v>113</v>
      </c>
      <c r="L5449" s="27" t="s">
        <v>117</v>
      </c>
      <c r="M5449" s="10">
        <v>66.137566137566139</v>
      </c>
    </row>
    <row r="5450" spans="11:13" x14ac:dyDescent="0.25">
      <c r="K5450" s="26" t="s">
        <v>113</v>
      </c>
      <c r="L5450" s="27" t="s">
        <v>118</v>
      </c>
      <c r="M5450" s="10">
        <v>3.306878306878307</v>
      </c>
    </row>
    <row r="5451" spans="11:13" x14ac:dyDescent="0.25">
      <c r="K5451" s="26" t="s">
        <v>113</v>
      </c>
      <c r="L5451" s="27" t="s">
        <v>119</v>
      </c>
      <c r="M5451" s="10">
        <v>66.137566137566139</v>
      </c>
    </row>
    <row r="5452" spans="11:13" x14ac:dyDescent="0.25">
      <c r="K5452" s="26" t="s">
        <v>113</v>
      </c>
      <c r="L5452" s="27" t="s">
        <v>115</v>
      </c>
      <c r="M5452" s="10">
        <v>162.0614212786646</v>
      </c>
    </row>
    <row r="5453" spans="11:13" x14ac:dyDescent="0.25">
      <c r="K5453" s="26" t="s">
        <v>113</v>
      </c>
      <c r="L5453" s="27" t="s">
        <v>116</v>
      </c>
      <c r="M5453" s="10">
        <v>605.73970136609125</v>
      </c>
    </row>
    <row r="5454" spans="11:13" x14ac:dyDescent="0.25">
      <c r="K5454" s="26" t="s">
        <v>113</v>
      </c>
      <c r="L5454" s="27" t="s">
        <v>117</v>
      </c>
      <c r="M5454" s="10">
        <v>52.949274594938046</v>
      </c>
    </row>
    <row r="5455" spans="11:13" x14ac:dyDescent="0.25">
      <c r="K5455" s="26" t="s">
        <v>110</v>
      </c>
      <c r="L5455" s="27" t="s">
        <v>118</v>
      </c>
      <c r="M5455" s="10">
        <v>977.67638911520294</v>
      </c>
    </row>
    <row r="5456" spans="11:13" x14ac:dyDescent="0.25">
      <c r="K5456" s="26" t="s">
        <v>110</v>
      </c>
      <c r="L5456" s="27" t="s">
        <v>119</v>
      </c>
      <c r="M5456" s="10">
        <v>110.22927689594357</v>
      </c>
    </row>
    <row r="5457" spans="11:13" x14ac:dyDescent="0.25">
      <c r="K5457" s="26" t="s">
        <v>113</v>
      </c>
      <c r="L5457" s="27" t="s">
        <v>115</v>
      </c>
      <c r="M5457" s="10">
        <v>46.210720887245841</v>
      </c>
    </row>
    <row r="5458" spans="11:13" x14ac:dyDescent="0.25">
      <c r="K5458" s="26" t="s">
        <v>114</v>
      </c>
      <c r="L5458" s="27" t="s">
        <v>116</v>
      </c>
      <c r="M5458" s="10">
        <v>317.69564756962825</v>
      </c>
    </row>
    <row r="5459" spans="11:13" x14ac:dyDescent="0.25">
      <c r="K5459" s="26" t="s">
        <v>110</v>
      </c>
      <c r="L5459" s="27" t="s">
        <v>117</v>
      </c>
      <c r="M5459" s="10">
        <v>211.79709837975219</v>
      </c>
    </row>
    <row r="5460" spans="11:13" x14ac:dyDescent="0.25">
      <c r="K5460" s="26" t="s">
        <v>110</v>
      </c>
      <c r="L5460" s="27" t="s">
        <v>118</v>
      </c>
      <c r="M5460" s="10">
        <v>211.79709837975219</v>
      </c>
    </row>
    <row r="5461" spans="11:13" x14ac:dyDescent="0.25">
      <c r="K5461" s="26" t="s">
        <v>110</v>
      </c>
      <c r="L5461" s="27" t="s">
        <v>119</v>
      </c>
      <c r="M5461" s="10">
        <v>158.84782378481412</v>
      </c>
    </row>
    <row r="5462" spans="11:13" x14ac:dyDescent="0.25">
      <c r="K5462" s="26" t="s">
        <v>110</v>
      </c>
      <c r="L5462" s="27" t="s">
        <v>115</v>
      </c>
      <c r="M5462" s="10">
        <v>211.79709837975219</v>
      </c>
    </row>
    <row r="5463" spans="11:13" x14ac:dyDescent="0.25">
      <c r="K5463" s="26" t="s">
        <v>110</v>
      </c>
      <c r="L5463" s="27" t="s">
        <v>116</v>
      </c>
      <c r="M5463" s="10">
        <v>50</v>
      </c>
    </row>
    <row r="5464" spans="11:13" x14ac:dyDescent="0.25">
      <c r="K5464" s="26" t="s">
        <v>113</v>
      </c>
      <c r="L5464" s="27" t="s">
        <v>117</v>
      </c>
      <c r="M5464" s="10">
        <v>16.294606485253382</v>
      </c>
    </row>
    <row r="5465" spans="11:13" x14ac:dyDescent="0.25">
      <c r="K5465" s="26" t="s">
        <v>110</v>
      </c>
      <c r="L5465" s="27" t="s">
        <v>118</v>
      </c>
      <c r="M5465" s="10">
        <v>30.875</v>
      </c>
    </row>
    <row r="5466" spans="11:13" x14ac:dyDescent="0.25">
      <c r="K5466" s="26" t="s">
        <v>110</v>
      </c>
      <c r="L5466" s="27" t="s">
        <v>119</v>
      </c>
      <c r="M5466" s="10">
        <v>10.308862433862434</v>
      </c>
    </row>
    <row r="5467" spans="11:13" x14ac:dyDescent="0.25">
      <c r="K5467" s="26" t="s">
        <v>110</v>
      </c>
      <c r="L5467" s="27" t="s">
        <v>115</v>
      </c>
      <c r="M5467" s="10">
        <v>211.79709837975219</v>
      </c>
    </row>
    <row r="5468" spans="11:13" x14ac:dyDescent="0.25">
      <c r="K5468" s="26" t="s">
        <v>109</v>
      </c>
      <c r="L5468" s="27" t="s">
        <v>116</v>
      </c>
      <c r="M5468" s="10">
        <v>54.951596801817075</v>
      </c>
    </row>
    <row r="5469" spans="11:13" x14ac:dyDescent="0.25">
      <c r="K5469" s="26" t="s">
        <v>110</v>
      </c>
      <c r="L5469" s="27" t="s">
        <v>117</v>
      </c>
      <c r="M5469" s="10">
        <v>30.742487119859188</v>
      </c>
    </row>
    <row r="5470" spans="11:13" x14ac:dyDescent="0.25">
      <c r="K5470" s="26" t="s">
        <v>110</v>
      </c>
      <c r="L5470" s="27" t="s">
        <v>118</v>
      </c>
      <c r="M5470" s="10">
        <v>63.668430335097</v>
      </c>
    </row>
    <row r="5471" spans="11:13" x14ac:dyDescent="0.25">
      <c r="K5471" s="26" t="s">
        <v>112</v>
      </c>
      <c r="L5471" s="27" t="s">
        <v>119</v>
      </c>
      <c r="M5471" s="10">
        <v>220.45855379188714</v>
      </c>
    </row>
    <row r="5472" spans="11:13" x14ac:dyDescent="0.25">
      <c r="K5472" s="26" t="s">
        <v>110</v>
      </c>
      <c r="L5472" s="27" t="s">
        <v>115</v>
      </c>
      <c r="M5472" s="10">
        <v>46.606485253381138</v>
      </c>
    </row>
    <row r="5473" spans="11:13" x14ac:dyDescent="0.25">
      <c r="K5473" s="26" t="s">
        <v>113</v>
      </c>
      <c r="L5473" s="27" t="s">
        <v>116</v>
      </c>
      <c r="M5473" s="10">
        <v>62.047569803516026</v>
      </c>
    </row>
    <row r="5474" spans="11:13" x14ac:dyDescent="0.25">
      <c r="K5474" s="26" t="s">
        <v>113</v>
      </c>
      <c r="L5474" s="27" t="s">
        <v>117</v>
      </c>
      <c r="M5474" s="10">
        <v>154.03573629081947</v>
      </c>
    </row>
    <row r="5475" spans="11:13" x14ac:dyDescent="0.25">
      <c r="K5475" s="26" t="s">
        <v>112</v>
      </c>
      <c r="L5475" s="27" t="s">
        <v>118</v>
      </c>
      <c r="M5475" s="10">
        <v>38.54406228720466</v>
      </c>
    </row>
    <row r="5476" spans="11:13" x14ac:dyDescent="0.25">
      <c r="K5476" s="26" t="s">
        <v>114</v>
      </c>
      <c r="L5476" s="27" t="s">
        <v>119</v>
      </c>
      <c r="M5476" s="10">
        <v>88.183421516754848</v>
      </c>
    </row>
    <row r="5477" spans="11:13" x14ac:dyDescent="0.25">
      <c r="K5477" s="26" t="s">
        <v>110</v>
      </c>
      <c r="L5477" s="27" t="s">
        <v>115</v>
      </c>
      <c r="M5477" s="10">
        <v>33.06878306878307</v>
      </c>
    </row>
    <row r="5478" spans="11:13" x14ac:dyDescent="0.25">
      <c r="K5478" s="26" t="s">
        <v>110</v>
      </c>
      <c r="L5478" s="27" t="s">
        <v>116</v>
      </c>
      <c r="M5478" s="10">
        <v>92.592592592592595</v>
      </c>
    </row>
    <row r="5479" spans="11:13" x14ac:dyDescent="0.25">
      <c r="K5479" s="26" t="s">
        <v>110</v>
      </c>
      <c r="L5479" s="27" t="s">
        <v>117</v>
      </c>
      <c r="M5479" s="10">
        <v>423.59419675950437</v>
      </c>
    </row>
    <row r="5480" spans="11:13" x14ac:dyDescent="0.25">
      <c r="K5480" s="26" t="s">
        <v>113</v>
      </c>
      <c r="L5480" s="27" t="s">
        <v>118</v>
      </c>
      <c r="M5480" s="10">
        <v>15.403573629081947</v>
      </c>
    </row>
    <row r="5481" spans="11:13" x14ac:dyDescent="0.25">
      <c r="K5481" s="26" t="s">
        <v>109</v>
      </c>
      <c r="L5481" s="27" t="s">
        <v>119</v>
      </c>
      <c r="M5481" s="10">
        <v>18.484288354898336</v>
      </c>
    </row>
    <row r="5482" spans="11:13" x14ac:dyDescent="0.25">
      <c r="K5482" s="26" t="s">
        <v>109</v>
      </c>
      <c r="L5482" s="27" t="s">
        <v>115</v>
      </c>
      <c r="M5482" s="10">
        <v>31.769564756962826</v>
      </c>
    </row>
    <row r="5483" spans="11:13" x14ac:dyDescent="0.25">
      <c r="K5483" s="26" t="s">
        <v>112</v>
      </c>
      <c r="L5483" s="27" t="s">
        <v>116</v>
      </c>
      <c r="M5483" s="10">
        <v>308.07147258163894</v>
      </c>
    </row>
    <row r="5484" spans="11:13" x14ac:dyDescent="0.25">
      <c r="K5484" s="26" t="s">
        <v>110</v>
      </c>
      <c r="L5484" s="27" t="s">
        <v>117</v>
      </c>
      <c r="M5484" s="10">
        <v>73.2687957357561</v>
      </c>
    </row>
    <row r="5485" spans="11:13" x14ac:dyDescent="0.25">
      <c r="K5485" s="26" t="s">
        <v>110</v>
      </c>
      <c r="L5485" s="27" t="s">
        <v>118</v>
      </c>
      <c r="M5485" s="10">
        <v>23.105360443622921</v>
      </c>
    </row>
    <row r="5486" spans="11:13" x14ac:dyDescent="0.25">
      <c r="K5486" s="26" t="s">
        <v>110</v>
      </c>
      <c r="L5486" s="27" t="s">
        <v>119</v>
      </c>
      <c r="M5486" s="10">
        <v>72.751322751322746</v>
      </c>
    </row>
    <row r="5487" spans="11:13" x14ac:dyDescent="0.25">
      <c r="K5487" s="26" t="s">
        <v>110</v>
      </c>
      <c r="L5487" s="27" t="s">
        <v>115</v>
      </c>
      <c r="M5487" s="10">
        <v>110.22927689594357</v>
      </c>
    </row>
    <row r="5488" spans="11:13" x14ac:dyDescent="0.25">
      <c r="K5488" s="26" t="s">
        <v>109</v>
      </c>
      <c r="L5488" s="27" t="s">
        <v>116</v>
      </c>
      <c r="M5488" s="10">
        <v>123.22858903265558</v>
      </c>
    </row>
    <row r="5489" spans="11:13" x14ac:dyDescent="0.25">
      <c r="K5489" s="26" t="s">
        <v>109</v>
      </c>
      <c r="L5489" s="27" t="s">
        <v>117</v>
      </c>
      <c r="M5489" s="10">
        <v>99.206349206349202</v>
      </c>
    </row>
    <row r="5490" spans="11:13" x14ac:dyDescent="0.25">
      <c r="K5490" s="26" t="s">
        <v>113</v>
      </c>
      <c r="L5490" s="27" t="s">
        <v>118</v>
      </c>
      <c r="M5490" s="10">
        <v>11.022927689594356</v>
      </c>
    </row>
    <row r="5491" spans="11:13" x14ac:dyDescent="0.25">
      <c r="K5491" s="26" t="s">
        <v>110</v>
      </c>
      <c r="L5491" s="27" t="s">
        <v>119</v>
      </c>
      <c r="M5491" s="10">
        <v>3.4689656058484193</v>
      </c>
    </row>
    <row r="5492" spans="11:13" x14ac:dyDescent="0.25">
      <c r="K5492" s="26" t="s">
        <v>110</v>
      </c>
      <c r="L5492" s="27" t="s">
        <v>115</v>
      </c>
      <c r="M5492" s="10">
        <v>138.63216266173754</v>
      </c>
    </row>
    <row r="5493" spans="11:13" x14ac:dyDescent="0.25">
      <c r="K5493" s="26" t="s">
        <v>110</v>
      </c>
      <c r="L5493" s="27" t="s">
        <v>116</v>
      </c>
      <c r="M5493" s="10">
        <v>77.017868145409736</v>
      </c>
    </row>
    <row r="5494" spans="11:13" x14ac:dyDescent="0.25">
      <c r="K5494" s="26" t="s">
        <v>109</v>
      </c>
      <c r="L5494" s="27" t="s">
        <v>117</v>
      </c>
      <c r="M5494" s="10">
        <v>123.22858903265558</v>
      </c>
    </row>
    <row r="5495" spans="11:13" x14ac:dyDescent="0.25">
      <c r="K5495" s="26" t="s">
        <v>109</v>
      </c>
      <c r="L5495" s="27" t="s">
        <v>118</v>
      </c>
      <c r="M5495" s="10">
        <v>77.017868145409736</v>
      </c>
    </row>
    <row r="5496" spans="11:13" x14ac:dyDescent="0.25">
      <c r="K5496" s="26" t="s">
        <v>113</v>
      </c>
      <c r="L5496" s="27" t="s">
        <v>119</v>
      </c>
      <c r="M5496" s="10">
        <v>220.45855379188714</v>
      </c>
    </row>
    <row r="5497" spans="11:13" x14ac:dyDescent="0.25">
      <c r="K5497" s="26" t="s">
        <v>113</v>
      </c>
      <c r="L5497" s="27" t="s">
        <v>115</v>
      </c>
      <c r="M5497" s="10">
        <v>146.90145502645501</v>
      </c>
    </row>
    <row r="5498" spans="11:13" x14ac:dyDescent="0.25">
      <c r="K5498" s="26" t="s">
        <v>109</v>
      </c>
      <c r="L5498" s="27" t="s">
        <v>116</v>
      </c>
      <c r="M5498" s="10">
        <v>77.017868145409736</v>
      </c>
    </row>
    <row r="5499" spans="11:13" x14ac:dyDescent="0.25">
      <c r="K5499" s="26" t="s">
        <v>109</v>
      </c>
      <c r="L5499" s="27" t="s">
        <v>117</v>
      </c>
      <c r="M5499" s="10">
        <v>6.4240103812007767</v>
      </c>
    </row>
    <row r="5500" spans="11:13" x14ac:dyDescent="0.25">
      <c r="K5500" s="26" t="s">
        <v>111</v>
      </c>
      <c r="L5500" s="27" t="s">
        <v>118</v>
      </c>
      <c r="M5500" s="10">
        <v>88.183421516754848</v>
      </c>
    </row>
    <row r="5501" spans="11:13" x14ac:dyDescent="0.25">
      <c r="K5501" s="26" t="s">
        <v>111</v>
      </c>
      <c r="L5501" s="27" t="s">
        <v>119</v>
      </c>
      <c r="M5501" s="10">
        <v>220.45855379188714</v>
      </c>
    </row>
    <row r="5502" spans="11:13" x14ac:dyDescent="0.25">
      <c r="K5502" s="26" t="s">
        <v>111</v>
      </c>
      <c r="L5502" s="27" t="s">
        <v>115</v>
      </c>
      <c r="M5502" s="10">
        <v>176.3668430335097</v>
      </c>
    </row>
    <row r="5503" spans="11:13" x14ac:dyDescent="0.25">
      <c r="K5503" s="26" t="s">
        <v>111</v>
      </c>
      <c r="L5503" s="27" t="s">
        <v>116</v>
      </c>
      <c r="M5503" s="10">
        <v>220.45855379188714</v>
      </c>
    </row>
    <row r="5504" spans="11:13" x14ac:dyDescent="0.25">
      <c r="K5504" s="26" t="s">
        <v>111</v>
      </c>
      <c r="L5504" s="27" t="s">
        <v>117</v>
      </c>
      <c r="M5504" s="10">
        <v>17.636684303350968</v>
      </c>
    </row>
    <row r="5505" spans="11:13" x14ac:dyDescent="0.25">
      <c r="K5505" s="26" t="s">
        <v>111</v>
      </c>
      <c r="L5505" s="27" t="s">
        <v>118</v>
      </c>
      <c r="M5505" s="10">
        <v>293.80257936507934</v>
      </c>
    </row>
    <row r="5506" spans="11:13" x14ac:dyDescent="0.25">
      <c r="K5506" s="26" t="s">
        <v>111</v>
      </c>
      <c r="L5506" s="27" t="s">
        <v>119</v>
      </c>
      <c r="M5506" s="10">
        <v>20.682523267838675</v>
      </c>
    </row>
    <row r="5507" spans="11:13" x14ac:dyDescent="0.25">
      <c r="K5507" s="26" t="s">
        <v>111</v>
      </c>
      <c r="L5507" s="27" t="s">
        <v>115</v>
      </c>
      <c r="M5507" s="10">
        <v>61.614294516327789</v>
      </c>
    </row>
    <row r="5508" spans="11:13" x14ac:dyDescent="0.25">
      <c r="K5508" s="26" t="s">
        <v>111</v>
      </c>
      <c r="L5508" s="27" t="s">
        <v>116</v>
      </c>
      <c r="M5508" s="10">
        <v>165.34391534391534</v>
      </c>
    </row>
    <row r="5509" spans="11:13" x14ac:dyDescent="0.25">
      <c r="K5509" s="26" t="s">
        <v>113</v>
      </c>
      <c r="L5509" s="27" t="s">
        <v>117</v>
      </c>
      <c r="M5509" s="10">
        <v>32.589212970506765</v>
      </c>
    </row>
    <row r="5510" spans="11:13" x14ac:dyDescent="0.25">
      <c r="K5510" s="26" t="s">
        <v>112</v>
      </c>
      <c r="L5510" s="27" t="s">
        <v>118</v>
      </c>
      <c r="M5510" s="10">
        <v>770.17868145409739</v>
      </c>
    </row>
    <row r="5511" spans="11:13" x14ac:dyDescent="0.25">
      <c r="K5511" s="26" t="s">
        <v>112</v>
      </c>
      <c r="L5511" s="27" t="s">
        <v>119</v>
      </c>
      <c r="M5511" s="10">
        <v>55.114638447971785</v>
      </c>
    </row>
    <row r="5512" spans="11:13" x14ac:dyDescent="0.25">
      <c r="K5512" s="26" t="s">
        <v>113</v>
      </c>
      <c r="L5512" s="27" t="s">
        <v>115</v>
      </c>
      <c r="M5512" s="10">
        <v>690.98494968971477</v>
      </c>
    </row>
    <row r="5513" spans="11:13" x14ac:dyDescent="0.25">
      <c r="K5513" s="26" t="s">
        <v>113</v>
      </c>
      <c r="L5513" s="27" t="s">
        <v>116</v>
      </c>
      <c r="M5513" s="10">
        <v>98.712135669959252</v>
      </c>
    </row>
    <row r="5514" spans="11:13" x14ac:dyDescent="0.25">
      <c r="K5514" s="26" t="s">
        <v>113</v>
      </c>
      <c r="L5514" s="27" t="s">
        <v>117</v>
      </c>
      <c r="M5514" s="10">
        <v>64.72126218955971</v>
      </c>
    </row>
    <row r="5515" spans="11:13" x14ac:dyDescent="0.25">
      <c r="K5515" s="26" t="s">
        <v>110</v>
      </c>
      <c r="L5515" s="27" t="s">
        <v>118</v>
      </c>
      <c r="M5515" s="10">
        <v>32.904045223319756</v>
      </c>
    </row>
    <row r="5516" spans="11:13" x14ac:dyDescent="0.25">
      <c r="K5516" s="26" t="s">
        <v>110</v>
      </c>
      <c r="L5516" s="27" t="s">
        <v>119</v>
      </c>
      <c r="M5516" s="10">
        <v>5.8660583346912167</v>
      </c>
    </row>
    <row r="5517" spans="11:13" x14ac:dyDescent="0.25">
      <c r="K5517" s="26" t="s">
        <v>110</v>
      </c>
      <c r="L5517" s="27" t="s">
        <v>115</v>
      </c>
      <c r="M5517" s="10">
        <v>493.56067834979632</v>
      </c>
    </row>
    <row r="5518" spans="11:13" x14ac:dyDescent="0.25">
      <c r="K5518" s="26" t="s">
        <v>110</v>
      </c>
      <c r="L5518" s="27" t="s">
        <v>116</v>
      </c>
      <c r="M5518" s="10">
        <v>3.2120051906003884</v>
      </c>
    </row>
    <row r="5519" spans="11:13" x14ac:dyDescent="0.25">
      <c r="K5519" s="26" t="s">
        <v>110</v>
      </c>
      <c r="L5519" s="27" t="s">
        <v>117</v>
      </c>
      <c r="M5519" s="10">
        <v>5.7437500000000004</v>
      </c>
    </row>
    <row r="5520" spans="11:13" x14ac:dyDescent="0.25">
      <c r="K5520" s="26" t="s">
        <v>110</v>
      </c>
      <c r="L5520" s="27" t="s">
        <v>118</v>
      </c>
      <c r="M5520" s="10">
        <v>110.22927689594357</v>
      </c>
    </row>
    <row r="5521" spans="11:13" x14ac:dyDescent="0.25">
      <c r="K5521" s="26" t="s">
        <v>113</v>
      </c>
      <c r="L5521" s="27" t="s">
        <v>119</v>
      </c>
      <c r="M5521" s="10">
        <v>220.45855379188714</v>
      </c>
    </row>
    <row r="5522" spans="11:13" x14ac:dyDescent="0.25">
      <c r="K5522" s="26" t="s">
        <v>110</v>
      </c>
      <c r="L5522" s="27" t="s">
        <v>115</v>
      </c>
      <c r="M5522" s="10">
        <v>132.27513227513228</v>
      </c>
    </row>
    <row r="5523" spans="11:13" x14ac:dyDescent="0.25">
      <c r="K5523" s="26" t="s">
        <v>110</v>
      </c>
      <c r="L5523" s="27" t="s">
        <v>116</v>
      </c>
      <c r="M5523" s="10">
        <v>33.06878306878307</v>
      </c>
    </row>
    <row r="5524" spans="11:13" x14ac:dyDescent="0.25">
      <c r="K5524" s="26" t="s">
        <v>110</v>
      </c>
      <c r="L5524" s="27" t="s">
        <v>117</v>
      </c>
      <c r="M5524" s="10">
        <v>41.365046535677351</v>
      </c>
    </row>
    <row r="5525" spans="11:13" x14ac:dyDescent="0.25">
      <c r="K5525" s="26" t="s">
        <v>110</v>
      </c>
      <c r="L5525" s="27" t="s">
        <v>118</v>
      </c>
      <c r="M5525" s="10">
        <v>33.06878306878307</v>
      </c>
    </row>
    <row r="5526" spans="11:13" x14ac:dyDescent="0.25">
      <c r="K5526" s="26" t="s">
        <v>110</v>
      </c>
      <c r="L5526" s="27" t="s">
        <v>119</v>
      </c>
      <c r="M5526" s="10">
        <v>17.636684303350968</v>
      </c>
    </row>
    <row r="5527" spans="11:13" x14ac:dyDescent="0.25">
      <c r="K5527" s="26" t="s">
        <v>110</v>
      </c>
      <c r="L5527" s="27" t="s">
        <v>115</v>
      </c>
      <c r="M5527" s="10">
        <v>231.05360443622922</v>
      </c>
    </row>
    <row r="5528" spans="11:13" x14ac:dyDescent="0.25">
      <c r="K5528" s="26" t="s">
        <v>110</v>
      </c>
      <c r="L5528" s="27" t="s">
        <v>116</v>
      </c>
      <c r="M5528" s="10">
        <v>22.045855379188712</v>
      </c>
    </row>
    <row r="5529" spans="11:13" x14ac:dyDescent="0.25">
      <c r="K5529" s="26" t="s">
        <v>110</v>
      </c>
      <c r="L5529" s="27" t="s">
        <v>117</v>
      </c>
      <c r="M5529" s="10">
        <v>9.0593963999845819</v>
      </c>
    </row>
    <row r="5530" spans="11:13" x14ac:dyDescent="0.25">
      <c r="K5530" s="26" t="s">
        <v>110</v>
      </c>
      <c r="L5530" s="27" t="s">
        <v>118</v>
      </c>
      <c r="M5530" s="10">
        <v>91.585994669695125</v>
      </c>
    </row>
    <row r="5531" spans="11:13" x14ac:dyDescent="0.25">
      <c r="K5531" s="26" t="s">
        <v>110</v>
      </c>
      <c r="L5531" s="27" t="s">
        <v>119</v>
      </c>
      <c r="M5531" s="10">
        <v>22.045855379188712</v>
      </c>
    </row>
    <row r="5532" spans="11:13" x14ac:dyDescent="0.25">
      <c r="K5532" s="26" t="s">
        <v>110</v>
      </c>
      <c r="L5532" s="27" t="s">
        <v>115</v>
      </c>
      <c r="M5532" s="10">
        <v>186.72812823164426</v>
      </c>
    </row>
    <row r="5533" spans="11:13" x14ac:dyDescent="0.25">
      <c r="K5533" s="26" t="s">
        <v>113</v>
      </c>
      <c r="L5533" s="27" t="s">
        <v>116</v>
      </c>
      <c r="M5533" s="10">
        <v>8.993614533681086</v>
      </c>
    </row>
    <row r="5534" spans="11:13" x14ac:dyDescent="0.25">
      <c r="K5534" s="26" t="s">
        <v>113</v>
      </c>
      <c r="L5534" s="27" t="s">
        <v>117</v>
      </c>
      <c r="M5534" s="10">
        <v>46.210720887245841</v>
      </c>
    </row>
    <row r="5535" spans="11:13" x14ac:dyDescent="0.25">
      <c r="K5535" s="26" t="s">
        <v>111</v>
      </c>
      <c r="L5535" s="27" t="s">
        <v>118</v>
      </c>
      <c r="M5535" s="10">
        <v>0.36634397867878049</v>
      </c>
    </row>
    <row r="5536" spans="11:13" x14ac:dyDescent="0.25">
      <c r="K5536" s="26" t="s">
        <v>111</v>
      </c>
      <c r="L5536" s="27" t="s">
        <v>119</v>
      </c>
      <c r="M5536" s="10">
        <v>41.365046535677351</v>
      </c>
    </row>
    <row r="5537" spans="11:13" x14ac:dyDescent="0.25">
      <c r="K5537" s="26" t="s">
        <v>111</v>
      </c>
      <c r="L5537" s="27" t="s">
        <v>115</v>
      </c>
      <c r="M5537" s="10">
        <v>88.183421516754848</v>
      </c>
    </row>
    <row r="5538" spans="11:13" x14ac:dyDescent="0.25">
      <c r="K5538" s="26" t="s">
        <v>111</v>
      </c>
      <c r="L5538" s="27" t="s">
        <v>116</v>
      </c>
      <c r="M5538" s="10">
        <v>1.5403573629081948E-3</v>
      </c>
    </row>
    <row r="5539" spans="11:13" x14ac:dyDescent="0.25">
      <c r="K5539" s="26" t="s">
        <v>111</v>
      </c>
      <c r="L5539" s="27" t="s">
        <v>117</v>
      </c>
      <c r="M5539" s="10">
        <v>92.421441774491683</v>
      </c>
    </row>
    <row r="5540" spans="11:13" x14ac:dyDescent="0.25">
      <c r="K5540" s="26" t="s">
        <v>110</v>
      </c>
      <c r="L5540" s="27" t="s">
        <v>118</v>
      </c>
      <c r="M5540" s="10">
        <v>17</v>
      </c>
    </row>
    <row r="5541" spans="11:13" x14ac:dyDescent="0.25">
      <c r="K5541" s="26" t="s">
        <v>113</v>
      </c>
      <c r="L5541" s="27" t="s">
        <v>119</v>
      </c>
      <c r="M5541" s="10">
        <v>198.4126984126984</v>
      </c>
    </row>
    <row r="5542" spans="11:13" x14ac:dyDescent="0.25">
      <c r="K5542" s="26" t="s">
        <v>113</v>
      </c>
      <c r="L5542" s="27" t="s">
        <v>115</v>
      </c>
      <c r="M5542" s="10">
        <v>21.179709837975221</v>
      </c>
    </row>
    <row r="5543" spans="11:13" x14ac:dyDescent="0.25">
      <c r="K5543" s="26" t="s">
        <v>113</v>
      </c>
      <c r="L5543" s="27" t="s">
        <v>116</v>
      </c>
      <c r="M5543" s="10">
        <v>8.8183421516754841</v>
      </c>
    </row>
    <row r="5544" spans="11:13" x14ac:dyDescent="0.25">
      <c r="K5544" s="26" t="s">
        <v>111</v>
      </c>
      <c r="L5544" s="27" t="s">
        <v>117</v>
      </c>
      <c r="M5544" s="10">
        <v>43.130006161429456</v>
      </c>
    </row>
    <row r="5545" spans="11:13" x14ac:dyDescent="0.25">
      <c r="K5545" s="26" t="s">
        <v>111</v>
      </c>
      <c r="L5545" s="27" t="s">
        <v>118</v>
      </c>
      <c r="M5545" s="10">
        <v>110.22927689594357</v>
      </c>
    </row>
    <row r="5546" spans="11:13" x14ac:dyDescent="0.25">
      <c r="K5546" s="26" t="s">
        <v>111</v>
      </c>
      <c r="L5546" s="27" t="s">
        <v>119</v>
      </c>
      <c r="M5546" s="10">
        <v>77.017868145409736</v>
      </c>
    </row>
    <row r="5547" spans="11:13" x14ac:dyDescent="0.25">
      <c r="K5547" s="26" t="s">
        <v>110</v>
      </c>
      <c r="L5547" s="27" t="s">
        <v>115</v>
      </c>
      <c r="M5547" s="10">
        <v>1058.985491898761</v>
      </c>
    </row>
    <row r="5548" spans="11:13" x14ac:dyDescent="0.25">
      <c r="K5548" s="26" t="s">
        <v>111</v>
      </c>
      <c r="L5548" s="27" t="s">
        <v>116</v>
      </c>
      <c r="M5548" s="10">
        <v>105.89854918987609</v>
      </c>
    </row>
    <row r="5549" spans="11:13" x14ac:dyDescent="0.25">
      <c r="K5549" s="26" t="s">
        <v>111</v>
      </c>
      <c r="L5549" s="27" t="s">
        <v>117</v>
      </c>
      <c r="M5549" s="10">
        <v>16.294606485253382</v>
      </c>
    </row>
    <row r="5550" spans="11:13" x14ac:dyDescent="0.25">
      <c r="K5550" s="26" t="s">
        <v>111</v>
      </c>
      <c r="L5550" s="27" t="s">
        <v>118</v>
      </c>
      <c r="M5550" s="10">
        <v>24.873432259842879</v>
      </c>
    </row>
    <row r="5551" spans="11:13" x14ac:dyDescent="0.25">
      <c r="K5551" s="26" t="s">
        <v>110</v>
      </c>
      <c r="L5551" s="27" t="s">
        <v>119</v>
      </c>
      <c r="M5551" s="10">
        <v>198.12610229276896</v>
      </c>
    </row>
    <row r="5552" spans="11:13" x14ac:dyDescent="0.25">
      <c r="K5552" s="26" t="s">
        <v>113</v>
      </c>
      <c r="L5552" s="27" t="s">
        <v>115</v>
      </c>
      <c r="M5552" s="10">
        <v>26.186075169439309</v>
      </c>
    </row>
    <row r="5553" spans="11:13" x14ac:dyDescent="0.25">
      <c r="K5553" s="26" t="s">
        <v>111</v>
      </c>
      <c r="L5553" s="27" t="s">
        <v>116</v>
      </c>
      <c r="M5553" s="10">
        <v>183.17198933939025</v>
      </c>
    </row>
    <row r="5554" spans="11:13" x14ac:dyDescent="0.25">
      <c r="K5554" s="26" t="s">
        <v>111</v>
      </c>
      <c r="L5554" s="27" t="s">
        <v>117</v>
      </c>
      <c r="M5554" s="10">
        <v>25.696041524803107</v>
      </c>
    </row>
    <row r="5555" spans="11:13" x14ac:dyDescent="0.25">
      <c r="K5555" s="26" t="s">
        <v>111</v>
      </c>
      <c r="L5555" s="27" t="s">
        <v>118</v>
      </c>
      <c r="M5555" s="10">
        <v>137.37899200454268</v>
      </c>
    </row>
    <row r="5556" spans="11:13" x14ac:dyDescent="0.25">
      <c r="K5556" s="26" t="s">
        <v>111</v>
      </c>
      <c r="L5556" s="27" t="s">
        <v>119</v>
      </c>
      <c r="M5556" s="10">
        <v>35.273368606701936</v>
      </c>
    </row>
    <row r="5557" spans="11:13" x14ac:dyDescent="0.25">
      <c r="K5557" s="26" t="s">
        <v>111</v>
      </c>
      <c r="L5557" s="27" t="s">
        <v>115</v>
      </c>
      <c r="M5557" s="10">
        <v>385.08934072704869</v>
      </c>
    </row>
    <row r="5558" spans="11:13" x14ac:dyDescent="0.25">
      <c r="K5558" s="26" t="s">
        <v>111</v>
      </c>
      <c r="L5558" s="27" t="s">
        <v>116</v>
      </c>
      <c r="M5558" s="10">
        <v>109.90319360363415</v>
      </c>
    </row>
    <row r="5559" spans="11:13" x14ac:dyDescent="0.25">
      <c r="K5559" s="26" t="s">
        <v>113</v>
      </c>
      <c r="L5559" s="27" t="s">
        <v>117</v>
      </c>
      <c r="M5559" s="10">
        <v>476.24717228241462</v>
      </c>
    </row>
    <row r="5560" spans="11:13" x14ac:dyDescent="0.25">
      <c r="K5560" s="26" t="s">
        <v>113</v>
      </c>
      <c r="L5560" s="27" t="s">
        <v>118</v>
      </c>
      <c r="M5560" s="10">
        <v>66.137566137566139</v>
      </c>
    </row>
    <row r="5561" spans="11:13" x14ac:dyDescent="0.25">
      <c r="K5561" s="26" t="s">
        <v>113</v>
      </c>
      <c r="L5561" s="27" t="s">
        <v>119</v>
      </c>
      <c r="M5561" s="10">
        <v>15.403573629081947</v>
      </c>
    </row>
    <row r="5562" spans="11:13" x14ac:dyDescent="0.25">
      <c r="K5562" s="26" t="s">
        <v>111</v>
      </c>
      <c r="L5562" s="27" t="s">
        <v>115</v>
      </c>
      <c r="M5562" s="10">
        <v>15.403573629081947</v>
      </c>
    </row>
    <row r="5563" spans="11:13" x14ac:dyDescent="0.25">
      <c r="K5563" s="26" t="s">
        <v>111</v>
      </c>
      <c r="L5563" s="27" t="s">
        <v>116</v>
      </c>
      <c r="M5563" s="10">
        <v>44.091710758377424</v>
      </c>
    </row>
    <row r="5564" spans="11:13" x14ac:dyDescent="0.25">
      <c r="K5564" s="26" t="s">
        <v>111</v>
      </c>
      <c r="L5564" s="27" t="s">
        <v>117</v>
      </c>
      <c r="M5564" s="10">
        <v>98.712135669959252</v>
      </c>
    </row>
    <row r="5565" spans="11:13" x14ac:dyDescent="0.25">
      <c r="K5565" s="26" t="s">
        <v>111</v>
      </c>
      <c r="L5565" s="27" t="s">
        <v>118</v>
      </c>
      <c r="M5565" s="10">
        <v>12.322858903265558</v>
      </c>
    </row>
    <row r="5566" spans="11:13" x14ac:dyDescent="0.25">
      <c r="K5566" s="26" t="s">
        <v>111</v>
      </c>
      <c r="L5566" s="27" t="s">
        <v>119</v>
      </c>
      <c r="M5566" s="10">
        <v>154.03573629081947</v>
      </c>
    </row>
    <row r="5567" spans="11:13" x14ac:dyDescent="0.25">
      <c r="K5567" s="26" t="s">
        <v>111</v>
      </c>
      <c r="L5567" s="27" t="s">
        <v>115</v>
      </c>
      <c r="M5567" s="10">
        <v>25</v>
      </c>
    </row>
    <row r="5568" spans="11:13" x14ac:dyDescent="0.25">
      <c r="K5568" s="26" t="s">
        <v>113</v>
      </c>
      <c r="L5568" s="27" t="s">
        <v>116</v>
      </c>
      <c r="M5568" s="10">
        <v>110.65370561875216</v>
      </c>
    </row>
    <row r="5569" spans="11:13" x14ac:dyDescent="0.25">
      <c r="K5569" s="26" t="s">
        <v>113</v>
      </c>
      <c r="L5569" s="27" t="s">
        <v>117</v>
      </c>
      <c r="M5569" s="10">
        <v>30.807147258163894</v>
      </c>
    </row>
    <row r="5570" spans="11:13" x14ac:dyDescent="0.25">
      <c r="K5570" s="26" t="s">
        <v>112</v>
      </c>
      <c r="L5570" s="27" t="s">
        <v>118</v>
      </c>
      <c r="M5570" s="10">
        <v>93.148150527411261</v>
      </c>
    </row>
    <row r="5571" spans="11:13" x14ac:dyDescent="0.25">
      <c r="K5571" s="26" t="s">
        <v>111</v>
      </c>
      <c r="L5571" s="27" t="s">
        <v>119</v>
      </c>
      <c r="M5571" s="10">
        <v>231.05360443622922</v>
      </c>
    </row>
    <row r="5572" spans="11:13" x14ac:dyDescent="0.25">
      <c r="K5572" s="26" t="s">
        <v>112</v>
      </c>
      <c r="L5572" s="27" t="s">
        <v>115</v>
      </c>
      <c r="M5572" s="10">
        <v>44.091710758377424</v>
      </c>
    </row>
    <row r="5573" spans="11:13" x14ac:dyDescent="0.25">
      <c r="K5573" s="26" t="s">
        <v>111</v>
      </c>
      <c r="L5573" s="27" t="s">
        <v>116</v>
      </c>
      <c r="M5573" s="10">
        <v>0</v>
      </c>
    </row>
    <row r="5574" spans="11:13" x14ac:dyDescent="0.25">
      <c r="K5574" s="26" t="s">
        <v>111</v>
      </c>
      <c r="L5574" s="27" t="s">
        <v>117</v>
      </c>
      <c r="M5574" s="10">
        <v>16.294606485253382</v>
      </c>
    </row>
    <row r="5575" spans="11:13" x14ac:dyDescent="0.25">
      <c r="K5575" s="26" t="s">
        <v>111</v>
      </c>
      <c r="L5575" s="27" t="s">
        <v>118</v>
      </c>
      <c r="M5575" s="10">
        <v>77.017868145409736</v>
      </c>
    </row>
    <row r="5576" spans="11:13" x14ac:dyDescent="0.25">
      <c r="K5576" s="26" t="s">
        <v>111</v>
      </c>
      <c r="L5576" s="27" t="s">
        <v>119</v>
      </c>
      <c r="M5576" s="10">
        <v>154.32098765432099</v>
      </c>
    </row>
    <row r="5577" spans="11:13" x14ac:dyDescent="0.25">
      <c r="K5577" s="26" t="s">
        <v>111</v>
      </c>
      <c r="L5577" s="27" t="s">
        <v>115</v>
      </c>
      <c r="M5577" s="10">
        <v>61.614294516327789</v>
      </c>
    </row>
    <row r="5578" spans="11:13" x14ac:dyDescent="0.25">
      <c r="K5578" s="26" t="s">
        <v>111</v>
      </c>
      <c r="L5578" s="27" t="s">
        <v>116</v>
      </c>
      <c r="M5578" s="10">
        <v>61.614294516327789</v>
      </c>
    </row>
    <row r="5579" spans="11:13" x14ac:dyDescent="0.25">
      <c r="K5579" s="26" t="s">
        <v>111</v>
      </c>
      <c r="L5579" s="27" t="s">
        <v>117</v>
      </c>
      <c r="M5579" s="10">
        <v>61.614294516327789</v>
      </c>
    </row>
    <row r="5580" spans="11:13" x14ac:dyDescent="0.25">
      <c r="K5580" s="26" t="s">
        <v>113</v>
      </c>
      <c r="L5580" s="27" t="s">
        <v>118</v>
      </c>
      <c r="M5580" s="10">
        <v>46.210720887245841</v>
      </c>
    </row>
    <row r="5581" spans="11:13" x14ac:dyDescent="0.25">
      <c r="K5581" s="26" t="s">
        <v>111</v>
      </c>
      <c r="L5581" s="27" t="s">
        <v>119</v>
      </c>
      <c r="M5581" s="10">
        <v>462.10720887245844</v>
      </c>
    </row>
    <row r="5582" spans="11:13" x14ac:dyDescent="0.25">
      <c r="K5582" s="26" t="s">
        <v>111</v>
      </c>
      <c r="L5582" s="27" t="s">
        <v>115</v>
      </c>
      <c r="M5582" s="10">
        <v>92.421441774491683</v>
      </c>
    </row>
    <row r="5583" spans="11:13" x14ac:dyDescent="0.25">
      <c r="K5583" s="26" t="s">
        <v>111</v>
      </c>
      <c r="L5583" s="27" t="s">
        <v>116</v>
      </c>
      <c r="M5583" s="10">
        <v>105.51447935921134</v>
      </c>
    </row>
    <row r="5584" spans="11:13" x14ac:dyDescent="0.25">
      <c r="K5584" s="26" t="s">
        <v>110</v>
      </c>
      <c r="L5584" s="27" t="s">
        <v>117</v>
      </c>
      <c r="M5584" s="10">
        <v>29.942681153220978</v>
      </c>
    </row>
    <row r="5585" spans="11:13" x14ac:dyDescent="0.25">
      <c r="K5585" s="26" t="s">
        <v>110</v>
      </c>
      <c r="L5585" s="27" t="s">
        <v>118</v>
      </c>
      <c r="M5585" s="10">
        <v>154.03573629081947</v>
      </c>
    </row>
    <row r="5586" spans="11:13" x14ac:dyDescent="0.25">
      <c r="K5586" s="26" t="s">
        <v>111</v>
      </c>
      <c r="L5586" s="27" t="s">
        <v>119</v>
      </c>
      <c r="M5586" s="10">
        <v>26.186075169439309</v>
      </c>
    </row>
    <row r="5587" spans="11:13" x14ac:dyDescent="0.25">
      <c r="K5587" s="26" t="s">
        <v>111</v>
      </c>
      <c r="L5587" s="27" t="s">
        <v>115</v>
      </c>
      <c r="M5587" s="10">
        <v>46.210720887245841</v>
      </c>
    </row>
    <row r="5588" spans="11:13" x14ac:dyDescent="0.25">
      <c r="K5588" s="26" t="s">
        <v>111</v>
      </c>
      <c r="L5588" s="27" t="s">
        <v>116</v>
      </c>
      <c r="M5588" s="10">
        <v>59.530896535301828</v>
      </c>
    </row>
    <row r="5589" spans="11:13" x14ac:dyDescent="0.25">
      <c r="K5589" s="26" t="s">
        <v>111</v>
      </c>
      <c r="L5589" s="27" t="s">
        <v>117</v>
      </c>
      <c r="M5589" s="10">
        <v>459.41103505306194</v>
      </c>
    </row>
    <row r="5590" spans="11:13" x14ac:dyDescent="0.25">
      <c r="K5590" s="26" t="s">
        <v>111</v>
      </c>
      <c r="L5590" s="27" t="s">
        <v>118</v>
      </c>
      <c r="M5590" s="10">
        <v>28.926366843033509</v>
      </c>
    </row>
    <row r="5591" spans="11:13" x14ac:dyDescent="0.25">
      <c r="K5591" s="26" t="s">
        <v>111</v>
      </c>
      <c r="L5591" s="27" t="s">
        <v>119</v>
      </c>
      <c r="M5591" s="10">
        <v>195.87742504409172</v>
      </c>
    </row>
    <row r="5592" spans="11:13" x14ac:dyDescent="0.25">
      <c r="K5592" s="26" t="s">
        <v>111</v>
      </c>
      <c r="L5592" s="27" t="s">
        <v>115</v>
      </c>
      <c r="M5592" s="10">
        <v>91.585994669695125</v>
      </c>
    </row>
    <row r="5593" spans="11:13" x14ac:dyDescent="0.25">
      <c r="K5593" s="26" t="s">
        <v>110</v>
      </c>
      <c r="L5593" s="27" t="s">
        <v>116</v>
      </c>
      <c r="M5593" s="10">
        <v>46.210720887245841</v>
      </c>
    </row>
    <row r="5594" spans="11:13" x14ac:dyDescent="0.25">
      <c r="K5594" s="26" t="s">
        <v>112</v>
      </c>
      <c r="L5594" s="27" t="s">
        <v>117</v>
      </c>
      <c r="M5594" s="10">
        <v>5</v>
      </c>
    </row>
    <row r="5595" spans="11:13" x14ac:dyDescent="0.25">
      <c r="K5595" s="26" t="s">
        <v>113</v>
      </c>
      <c r="L5595" s="27" t="s">
        <v>118</v>
      </c>
      <c r="M5595" s="10">
        <v>24.129610479145121</v>
      </c>
    </row>
    <row r="5596" spans="11:13" x14ac:dyDescent="0.25">
      <c r="K5596" s="26" t="s">
        <v>109</v>
      </c>
      <c r="L5596" s="27" t="s">
        <v>119</v>
      </c>
      <c r="M5596" s="10">
        <v>46.210720887245841</v>
      </c>
    </row>
    <row r="5597" spans="11:13" x14ac:dyDescent="0.25">
      <c r="K5597" s="26" t="s">
        <v>109</v>
      </c>
      <c r="L5597" s="27" t="s">
        <v>115</v>
      </c>
      <c r="M5597" s="10">
        <v>17.235436056532226</v>
      </c>
    </row>
    <row r="5598" spans="11:13" x14ac:dyDescent="0.25">
      <c r="K5598" s="26" t="s">
        <v>113</v>
      </c>
      <c r="L5598" s="27" t="s">
        <v>116</v>
      </c>
      <c r="M5598" s="10">
        <v>30.807147258163894</v>
      </c>
    </row>
    <row r="5599" spans="11:13" x14ac:dyDescent="0.25">
      <c r="K5599" s="26" t="s">
        <v>113</v>
      </c>
      <c r="L5599" s="27" t="s">
        <v>117</v>
      </c>
      <c r="M5599" s="10">
        <v>27.576697690451567</v>
      </c>
    </row>
    <row r="5600" spans="11:13" x14ac:dyDescent="0.25">
      <c r="K5600" s="26" t="s">
        <v>111</v>
      </c>
      <c r="L5600" s="27" t="s">
        <v>118</v>
      </c>
      <c r="M5600" s="10">
        <v>15.403573629081947</v>
      </c>
    </row>
    <row r="5601" spans="11:13" x14ac:dyDescent="0.25">
      <c r="K5601" s="26" t="s">
        <v>111</v>
      </c>
      <c r="L5601" s="27" t="s">
        <v>119</v>
      </c>
      <c r="M5601" s="10">
        <v>77.017868145409736</v>
      </c>
    </row>
    <row r="5602" spans="11:13" x14ac:dyDescent="0.25">
      <c r="K5602" s="26" t="s">
        <v>111</v>
      </c>
      <c r="L5602" s="27" t="s">
        <v>115</v>
      </c>
      <c r="M5602" s="10">
        <v>881.83421516754856</v>
      </c>
    </row>
    <row r="5603" spans="11:13" x14ac:dyDescent="0.25">
      <c r="K5603" s="26" t="s">
        <v>111</v>
      </c>
      <c r="L5603" s="27" t="s">
        <v>116</v>
      </c>
      <c r="M5603" s="10">
        <v>1.5403573629081948</v>
      </c>
    </row>
    <row r="5604" spans="11:13" x14ac:dyDescent="0.25">
      <c r="K5604" s="26" t="s">
        <v>111</v>
      </c>
      <c r="L5604" s="27" t="s">
        <v>117</v>
      </c>
      <c r="M5604" s="10">
        <v>1.5403573629081948</v>
      </c>
    </row>
    <row r="5605" spans="11:13" x14ac:dyDescent="0.25">
      <c r="K5605" s="26" t="s">
        <v>111</v>
      </c>
      <c r="L5605" s="27" t="s">
        <v>118</v>
      </c>
      <c r="M5605" s="10">
        <v>1.5403573629081948</v>
      </c>
    </row>
    <row r="5606" spans="11:13" x14ac:dyDescent="0.25">
      <c r="K5606" s="26" t="s">
        <v>113</v>
      </c>
      <c r="L5606" s="27" t="s">
        <v>119</v>
      </c>
      <c r="M5606" s="10">
        <v>44.091710758377424</v>
      </c>
    </row>
    <row r="5607" spans="11:13" x14ac:dyDescent="0.25">
      <c r="K5607" s="26" t="s">
        <v>111</v>
      </c>
      <c r="L5607" s="27" t="s">
        <v>115</v>
      </c>
      <c r="M5607" s="10">
        <v>15.4320987654321</v>
      </c>
    </row>
    <row r="5608" spans="11:13" x14ac:dyDescent="0.25">
      <c r="K5608" s="26" t="s">
        <v>111</v>
      </c>
      <c r="L5608" s="27" t="s">
        <v>116</v>
      </c>
      <c r="M5608" s="10">
        <v>318.56261022927686</v>
      </c>
    </row>
    <row r="5609" spans="11:13" x14ac:dyDescent="0.25">
      <c r="K5609" s="26" t="s">
        <v>111</v>
      </c>
      <c r="L5609" s="27" t="s">
        <v>117</v>
      </c>
      <c r="M5609" s="10">
        <v>1.5403573629081948</v>
      </c>
    </row>
    <row r="5610" spans="11:13" x14ac:dyDescent="0.25">
      <c r="K5610" s="26" t="s">
        <v>111</v>
      </c>
      <c r="L5610" s="27" t="s">
        <v>118</v>
      </c>
      <c r="M5610" s="10">
        <v>57.426379381632742</v>
      </c>
    </row>
    <row r="5611" spans="11:13" x14ac:dyDescent="0.25">
      <c r="K5611" s="26" t="s">
        <v>111</v>
      </c>
      <c r="L5611" s="27" t="s">
        <v>119</v>
      </c>
      <c r="M5611" s="10">
        <v>48.967107583774251</v>
      </c>
    </row>
    <row r="5612" spans="11:13" x14ac:dyDescent="0.25">
      <c r="K5612" s="26" t="s">
        <v>111</v>
      </c>
      <c r="L5612" s="27" t="s">
        <v>115</v>
      </c>
      <c r="M5612" s="10">
        <v>50</v>
      </c>
    </row>
    <row r="5613" spans="11:13" x14ac:dyDescent="0.25">
      <c r="K5613" s="26" t="s">
        <v>111</v>
      </c>
      <c r="L5613" s="27" t="s">
        <v>116</v>
      </c>
      <c r="M5613" s="10">
        <v>517.06308169596684</v>
      </c>
    </row>
    <row r="5614" spans="11:13" x14ac:dyDescent="0.25">
      <c r="K5614" s="26" t="s">
        <v>110</v>
      </c>
      <c r="L5614" s="27" t="s">
        <v>117</v>
      </c>
      <c r="M5614" s="10">
        <v>84.101678344467985</v>
      </c>
    </row>
    <row r="5615" spans="11:13" x14ac:dyDescent="0.25">
      <c r="K5615" s="26" t="s">
        <v>111</v>
      </c>
      <c r="L5615" s="27" t="s">
        <v>118</v>
      </c>
      <c r="M5615" s="10">
        <v>99.206349206349202</v>
      </c>
    </row>
    <row r="5616" spans="11:13" x14ac:dyDescent="0.25">
      <c r="K5616" s="26" t="s">
        <v>111</v>
      </c>
      <c r="L5616" s="27" t="s">
        <v>119</v>
      </c>
      <c r="M5616" s="10">
        <v>21.179709837975221</v>
      </c>
    </row>
    <row r="5617" spans="11:13" x14ac:dyDescent="0.25">
      <c r="K5617" s="26" t="s">
        <v>111</v>
      </c>
      <c r="L5617" s="27" t="s">
        <v>115</v>
      </c>
      <c r="M5617" s="10">
        <v>220.45855379188714</v>
      </c>
    </row>
    <row r="5618" spans="11:13" x14ac:dyDescent="0.25">
      <c r="K5618" s="26" t="s">
        <v>113</v>
      </c>
      <c r="L5618" s="27" t="s">
        <v>116</v>
      </c>
      <c r="M5618" s="10">
        <v>16.420414462081126</v>
      </c>
    </row>
    <row r="5619" spans="11:13" x14ac:dyDescent="0.25">
      <c r="K5619" s="26" t="s">
        <v>113</v>
      </c>
      <c r="L5619" s="27" t="s">
        <v>117</v>
      </c>
      <c r="M5619" s="10">
        <v>0</v>
      </c>
    </row>
    <row r="5620" spans="11:13" x14ac:dyDescent="0.25">
      <c r="K5620" s="26" t="s">
        <v>111</v>
      </c>
      <c r="L5620" s="27" t="s">
        <v>118</v>
      </c>
      <c r="M5620" s="10">
        <v>48.500881834215171</v>
      </c>
    </row>
    <row r="5621" spans="11:13" x14ac:dyDescent="0.25">
      <c r="K5621" s="26" t="s">
        <v>111</v>
      </c>
      <c r="L5621" s="27" t="s">
        <v>119</v>
      </c>
      <c r="M5621" s="10">
        <v>121.69499999999999</v>
      </c>
    </row>
    <row r="5622" spans="11:13" x14ac:dyDescent="0.25">
      <c r="K5622" s="26" t="s">
        <v>111</v>
      </c>
      <c r="L5622" s="27" t="s">
        <v>115</v>
      </c>
      <c r="M5622" s="10">
        <v>158.84782378481412</v>
      </c>
    </row>
    <row r="5623" spans="11:13" x14ac:dyDescent="0.25">
      <c r="K5623" s="26" t="s">
        <v>111</v>
      </c>
      <c r="L5623" s="27" t="s">
        <v>116</v>
      </c>
      <c r="M5623" s="10">
        <v>45.941103505306202</v>
      </c>
    </row>
    <row r="5624" spans="11:13" x14ac:dyDescent="0.25">
      <c r="K5624" s="26" t="s">
        <v>111</v>
      </c>
      <c r="L5624" s="27" t="s">
        <v>117</v>
      </c>
      <c r="M5624" s="10">
        <v>22.970551752653101</v>
      </c>
    </row>
    <row r="5625" spans="11:13" x14ac:dyDescent="0.25">
      <c r="K5625" s="26" t="s">
        <v>111</v>
      </c>
      <c r="L5625" s="27" t="s">
        <v>118</v>
      </c>
      <c r="M5625" s="10">
        <v>18.881793540680846</v>
      </c>
    </row>
    <row r="5626" spans="11:13" x14ac:dyDescent="0.25">
      <c r="K5626" s="26" t="s">
        <v>109</v>
      </c>
      <c r="L5626" s="27" t="s">
        <v>119</v>
      </c>
      <c r="M5626" s="10">
        <v>21.179709837975221</v>
      </c>
    </row>
    <row r="5627" spans="11:13" x14ac:dyDescent="0.25">
      <c r="K5627" s="26" t="s">
        <v>109</v>
      </c>
      <c r="L5627" s="27" t="s">
        <v>115</v>
      </c>
      <c r="M5627" s="10">
        <v>66.137566137566139</v>
      </c>
    </row>
    <row r="5628" spans="11:13" x14ac:dyDescent="0.25">
      <c r="K5628" s="26" t="s">
        <v>111</v>
      </c>
      <c r="L5628" s="27" t="s">
        <v>116</v>
      </c>
      <c r="M5628" s="10">
        <v>0.3306878306878307</v>
      </c>
    </row>
    <row r="5629" spans="11:13" x14ac:dyDescent="0.25">
      <c r="K5629" s="26" t="s">
        <v>111</v>
      </c>
      <c r="L5629" s="27" t="s">
        <v>117</v>
      </c>
      <c r="M5629" s="10">
        <v>661.37566137566137</v>
      </c>
    </row>
    <row r="5630" spans="11:13" x14ac:dyDescent="0.25">
      <c r="K5630" s="26" t="s">
        <v>111</v>
      </c>
      <c r="L5630" s="27" t="s">
        <v>118</v>
      </c>
      <c r="M5630" s="10">
        <v>5.511463844797178</v>
      </c>
    </row>
    <row r="5631" spans="11:13" x14ac:dyDescent="0.25">
      <c r="K5631" s="26" t="s">
        <v>111</v>
      </c>
      <c r="L5631" s="27" t="s">
        <v>119</v>
      </c>
      <c r="M5631" s="10">
        <v>39.484854267983707</v>
      </c>
    </row>
    <row r="5632" spans="11:13" x14ac:dyDescent="0.25">
      <c r="K5632" s="26" t="s">
        <v>110</v>
      </c>
      <c r="L5632" s="27" t="s">
        <v>115</v>
      </c>
      <c r="M5632" s="10">
        <v>14.80682035049389</v>
      </c>
    </row>
    <row r="5633" spans="11:13" x14ac:dyDescent="0.25">
      <c r="K5633" s="26" t="s">
        <v>113</v>
      </c>
      <c r="L5633" s="27" t="s">
        <v>116</v>
      </c>
      <c r="M5633" s="10">
        <v>34.54924748448574</v>
      </c>
    </row>
    <row r="5634" spans="11:13" x14ac:dyDescent="0.25">
      <c r="K5634" s="26" t="s">
        <v>113</v>
      </c>
      <c r="L5634" s="27" t="s">
        <v>117</v>
      </c>
      <c r="M5634" s="10">
        <v>100</v>
      </c>
    </row>
    <row r="5635" spans="11:13" x14ac:dyDescent="0.25">
      <c r="K5635" s="26" t="s">
        <v>109</v>
      </c>
      <c r="L5635" s="27" t="s">
        <v>118</v>
      </c>
      <c r="M5635" s="10">
        <v>125</v>
      </c>
    </row>
    <row r="5636" spans="11:13" x14ac:dyDescent="0.25">
      <c r="K5636" s="26" t="s">
        <v>109</v>
      </c>
      <c r="L5636" s="27" t="s">
        <v>119</v>
      </c>
      <c r="M5636" s="10">
        <v>66.137566137566139</v>
      </c>
    </row>
    <row r="5637" spans="11:13" x14ac:dyDescent="0.25">
      <c r="K5637" s="26" t="s">
        <v>109</v>
      </c>
      <c r="L5637" s="27" t="s">
        <v>115</v>
      </c>
      <c r="M5637" s="10">
        <v>44.091710758377424</v>
      </c>
    </row>
    <row r="5638" spans="11:13" x14ac:dyDescent="0.25">
      <c r="K5638" s="26" t="s">
        <v>109</v>
      </c>
      <c r="L5638" s="27" t="s">
        <v>116</v>
      </c>
      <c r="M5638" s="10">
        <v>22.75</v>
      </c>
    </row>
    <row r="5639" spans="11:13" x14ac:dyDescent="0.25">
      <c r="K5639" s="26" t="s">
        <v>109</v>
      </c>
      <c r="L5639" s="27" t="s">
        <v>117</v>
      </c>
      <c r="M5639" s="10">
        <v>17.636684303350968</v>
      </c>
    </row>
    <row r="5640" spans="11:13" x14ac:dyDescent="0.25">
      <c r="K5640" s="26" t="s">
        <v>111</v>
      </c>
      <c r="L5640" s="27" t="s">
        <v>118</v>
      </c>
      <c r="M5640" s="10">
        <v>59.530896535301828</v>
      </c>
    </row>
    <row r="5641" spans="11:13" x14ac:dyDescent="0.25">
      <c r="K5641" s="26" t="s">
        <v>111</v>
      </c>
      <c r="L5641" s="27" t="s">
        <v>119</v>
      </c>
      <c r="M5641" s="10">
        <v>66.137566137566139</v>
      </c>
    </row>
    <row r="5642" spans="11:13" x14ac:dyDescent="0.25">
      <c r="K5642" s="26" t="s">
        <v>111</v>
      </c>
      <c r="L5642" s="27" t="s">
        <v>115</v>
      </c>
      <c r="M5642" s="10">
        <v>1102.2927689594355</v>
      </c>
    </row>
    <row r="5643" spans="11:13" x14ac:dyDescent="0.25">
      <c r="K5643" s="26" t="s">
        <v>113</v>
      </c>
      <c r="L5643" s="27" t="s">
        <v>116</v>
      </c>
      <c r="M5643" s="10">
        <v>66.137566137566139</v>
      </c>
    </row>
    <row r="5644" spans="11:13" x14ac:dyDescent="0.25">
      <c r="K5644" s="26" t="s">
        <v>113</v>
      </c>
      <c r="L5644" s="27" t="s">
        <v>117</v>
      </c>
      <c r="M5644" s="10">
        <v>73.2687957357561</v>
      </c>
    </row>
    <row r="5645" spans="11:13" x14ac:dyDescent="0.25">
      <c r="K5645" s="26" t="s">
        <v>109</v>
      </c>
      <c r="L5645" s="27" t="s">
        <v>118</v>
      </c>
      <c r="M5645" s="10">
        <v>66.137566137566139</v>
      </c>
    </row>
    <row r="5646" spans="11:13" x14ac:dyDescent="0.25">
      <c r="K5646" s="26" t="s">
        <v>109</v>
      </c>
      <c r="L5646" s="27" t="s">
        <v>119</v>
      </c>
      <c r="M5646" s="10">
        <v>40.515355319666149</v>
      </c>
    </row>
    <row r="5647" spans="11:13" x14ac:dyDescent="0.25">
      <c r="K5647" s="26" t="s">
        <v>112</v>
      </c>
      <c r="L5647" s="27" t="s">
        <v>115</v>
      </c>
      <c r="M5647" s="10">
        <v>22.970551752653101</v>
      </c>
    </row>
    <row r="5648" spans="11:13" x14ac:dyDescent="0.25">
      <c r="K5648" s="26" t="s">
        <v>111</v>
      </c>
      <c r="L5648" s="27" t="s">
        <v>116</v>
      </c>
      <c r="M5648" s="10">
        <v>86.177180282661155</v>
      </c>
    </row>
    <row r="5649" spans="11:13" x14ac:dyDescent="0.25">
      <c r="K5649" s="26" t="s">
        <v>114</v>
      </c>
      <c r="L5649" s="27" t="s">
        <v>117</v>
      </c>
      <c r="M5649" s="10">
        <v>86.177180282661155</v>
      </c>
    </row>
    <row r="5650" spans="11:13" x14ac:dyDescent="0.25">
      <c r="K5650" s="26" t="s">
        <v>114</v>
      </c>
      <c r="L5650" s="27" t="s">
        <v>118</v>
      </c>
      <c r="M5650" s="10">
        <v>159.17221195317313</v>
      </c>
    </row>
    <row r="5651" spans="11:13" x14ac:dyDescent="0.25">
      <c r="K5651" s="26" t="s">
        <v>114</v>
      </c>
      <c r="L5651" s="27" t="s">
        <v>119</v>
      </c>
      <c r="M5651" s="10">
        <v>158.84782378481412</v>
      </c>
    </row>
    <row r="5652" spans="11:13" x14ac:dyDescent="0.25">
      <c r="K5652" s="26" t="s">
        <v>111</v>
      </c>
      <c r="L5652" s="27" t="s">
        <v>115</v>
      </c>
      <c r="M5652" s="10">
        <v>158.84782378481412</v>
      </c>
    </row>
    <row r="5653" spans="11:13" x14ac:dyDescent="0.25">
      <c r="K5653" s="26" t="s">
        <v>111</v>
      </c>
      <c r="L5653" s="27" t="s">
        <v>116</v>
      </c>
      <c r="M5653" s="10">
        <v>423.59419675950437</v>
      </c>
    </row>
    <row r="5654" spans="11:13" x14ac:dyDescent="0.25">
      <c r="K5654" s="26" t="s">
        <v>112</v>
      </c>
      <c r="L5654" s="27" t="s">
        <v>117</v>
      </c>
      <c r="M5654" s="10">
        <v>23.126437372322794</v>
      </c>
    </row>
    <row r="5655" spans="11:13" x14ac:dyDescent="0.25">
      <c r="K5655" s="26" t="s">
        <v>112</v>
      </c>
      <c r="L5655" s="27" t="s">
        <v>118</v>
      </c>
      <c r="M5655" s="10">
        <v>257.93650793650795</v>
      </c>
    </row>
    <row r="5656" spans="11:13" x14ac:dyDescent="0.25">
      <c r="K5656" s="26" t="s">
        <v>113</v>
      </c>
      <c r="L5656" s="27" t="s">
        <v>119</v>
      </c>
      <c r="M5656" s="10">
        <v>39.682539682539684</v>
      </c>
    </row>
    <row r="5657" spans="11:13" x14ac:dyDescent="0.25">
      <c r="K5657" s="26" t="s">
        <v>113</v>
      </c>
      <c r="L5657" s="27" t="s">
        <v>115</v>
      </c>
      <c r="M5657" s="10">
        <v>89.936145336810867</v>
      </c>
    </row>
    <row r="5658" spans="11:13" x14ac:dyDescent="0.25">
      <c r="K5658" s="26" t="s">
        <v>111</v>
      </c>
      <c r="L5658" s="27" t="s">
        <v>116</v>
      </c>
      <c r="M5658" s="10">
        <v>17.050482132728305</v>
      </c>
    </row>
    <row r="5659" spans="11:13" x14ac:dyDescent="0.25">
      <c r="K5659" s="26" t="s">
        <v>111</v>
      </c>
      <c r="L5659" s="27" t="s">
        <v>117</v>
      </c>
      <c r="M5659" s="10">
        <v>100</v>
      </c>
    </row>
    <row r="5660" spans="11:13" x14ac:dyDescent="0.25">
      <c r="K5660" s="26" t="s">
        <v>111</v>
      </c>
      <c r="L5660" s="27" t="s">
        <v>118</v>
      </c>
      <c r="M5660" s="10">
        <v>42.482363315696645</v>
      </c>
    </row>
    <row r="5661" spans="11:13" x14ac:dyDescent="0.25">
      <c r="K5661" s="26" t="s">
        <v>111</v>
      </c>
      <c r="L5661" s="27" t="s">
        <v>119</v>
      </c>
      <c r="M5661" s="10">
        <v>184</v>
      </c>
    </row>
    <row r="5662" spans="11:13" x14ac:dyDescent="0.25">
      <c r="K5662" s="26" t="s">
        <v>111</v>
      </c>
      <c r="L5662" s="27" t="s">
        <v>115</v>
      </c>
      <c r="M5662" s="10">
        <v>195.868430335097</v>
      </c>
    </row>
    <row r="5663" spans="11:13" x14ac:dyDescent="0.25">
      <c r="K5663" s="26" t="s">
        <v>111</v>
      </c>
      <c r="L5663" s="27" t="s">
        <v>116</v>
      </c>
      <c r="M5663" s="10">
        <v>19.841269841269842</v>
      </c>
    </row>
    <row r="5664" spans="11:13" x14ac:dyDescent="0.25">
      <c r="K5664" s="26" t="s">
        <v>111</v>
      </c>
      <c r="L5664" s="27" t="s">
        <v>117</v>
      </c>
      <c r="M5664" s="10">
        <v>14.653759147151218</v>
      </c>
    </row>
    <row r="5665" spans="11:13" x14ac:dyDescent="0.25">
      <c r="K5665" s="26" t="s">
        <v>109</v>
      </c>
      <c r="L5665" s="27" t="s">
        <v>118</v>
      </c>
      <c r="M5665" s="10">
        <v>462.10720887245844</v>
      </c>
    </row>
    <row r="5666" spans="11:13" x14ac:dyDescent="0.25">
      <c r="K5666" s="26" t="s">
        <v>111</v>
      </c>
      <c r="L5666" s="27" t="s">
        <v>119</v>
      </c>
      <c r="M5666" s="10">
        <v>33.06878306878307</v>
      </c>
    </row>
    <row r="5667" spans="11:13" x14ac:dyDescent="0.25">
      <c r="K5667" s="26" t="s">
        <v>111</v>
      </c>
      <c r="L5667" s="27" t="s">
        <v>115</v>
      </c>
      <c r="M5667" s="10">
        <v>66.137566137566139</v>
      </c>
    </row>
    <row r="5668" spans="11:13" x14ac:dyDescent="0.25">
      <c r="K5668" s="26" t="s">
        <v>111</v>
      </c>
      <c r="L5668" s="27" t="s">
        <v>116</v>
      </c>
      <c r="M5668" s="10">
        <v>66.137566137566139</v>
      </c>
    </row>
    <row r="5669" spans="11:13" x14ac:dyDescent="0.25">
      <c r="K5669" s="26" t="s">
        <v>111</v>
      </c>
      <c r="L5669" s="27" t="s">
        <v>117</v>
      </c>
      <c r="M5669" s="10">
        <v>194.00352733686069</v>
      </c>
    </row>
    <row r="5670" spans="11:13" x14ac:dyDescent="0.25">
      <c r="K5670" s="26" t="s">
        <v>111</v>
      </c>
      <c r="L5670" s="27" t="s">
        <v>118</v>
      </c>
      <c r="M5670" s="10">
        <v>30.807147258163894</v>
      </c>
    </row>
    <row r="5671" spans="11:13" x14ac:dyDescent="0.25">
      <c r="K5671" s="26" t="s">
        <v>111</v>
      </c>
      <c r="L5671" s="27" t="s">
        <v>119</v>
      </c>
      <c r="M5671" s="10">
        <v>44.968072668405433</v>
      </c>
    </row>
    <row r="5672" spans="11:13" x14ac:dyDescent="0.25">
      <c r="K5672" s="26" t="s">
        <v>111</v>
      </c>
      <c r="L5672" s="27" t="s">
        <v>115</v>
      </c>
      <c r="M5672" s="10">
        <v>77.017868145409736</v>
      </c>
    </row>
    <row r="5673" spans="11:13" x14ac:dyDescent="0.25">
      <c r="K5673" s="26" t="s">
        <v>111</v>
      </c>
      <c r="L5673" s="27" t="s">
        <v>116</v>
      </c>
      <c r="M5673" s="10">
        <v>25.853154084798344</v>
      </c>
    </row>
    <row r="5674" spans="11:13" x14ac:dyDescent="0.25">
      <c r="K5674" s="26" t="s">
        <v>114</v>
      </c>
      <c r="L5674" s="27" t="s">
        <v>117</v>
      </c>
      <c r="M5674" s="10">
        <v>81.030710639332298</v>
      </c>
    </row>
    <row r="5675" spans="11:13" x14ac:dyDescent="0.25">
      <c r="K5675" s="26" t="s">
        <v>114</v>
      </c>
      <c r="L5675" s="27" t="s">
        <v>118</v>
      </c>
      <c r="M5675" s="10">
        <v>0</v>
      </c>
    </row>
    <row r="5676" spans="11:13" x14ac:dyDescent="0.25">
      <c r="K5676" s="26" t="s">
        <v>114</v>
      </c>
      <c r="L5676" s="27" t="s">
        <v>119</v>
      </c>
      <c r="M5676" s="10">
        <v>158.27171903881703</v>
      </c>
    </row>
    <row r="5677" spans="11:13" x14ac:dyDescent="0.25">
      <c r="K5677" s="26" t="s">
        <v>114</v>
      </c>
      <c r="L5677" s="27" t="s">
        <v>115</v>
      </c>
      <c r="M5677" s="10">
        <v>30.807147258163894</v>
      </c>
    </row>
    <row r="5678" spans="11:13" x14ac:dyDescent="0.25">
      <c r="K5678" s="26" t="s">
        <v>110</v>
      </c>
      <c r="L5678" s="27" t="s">
        <v>116</v>
      </c>
      <c r="M5678" s="10">
        <v>55.114638447971785</v>
      </c>
    </row>
    <row r="5679" spans="11:13" x14ac:dyDescent="0.25">
      <c r="K5679" s="26" t="s">
        <v>111</v>
      </c>
      <c r="L5679" s="27" t="s">
        <v>117</v>
      </c>
      <c r="M5679" s="10">
        <v>131.04981177649583</v>
      </c>
    </row>
    <row r="5680" spans="11:13" x14ac:dyDescent="0.25">
      <c r="K5680" s="26" t="s">
        <v>111</v>
      </c>
      <c r="L5680" s="27" t="s">
        <v>118</v>
      </c>
      <c r="M5680" s="10">
        <v>172.35436056532231</v>
      </c>
    </row>
    <row r="5681" spans="11:13" x14ac:dyDescent="0.25">
      <c r="K5681" s="26" t="s">
        <v>111</v>
      </c>
      <c r="L5681" s="27" t="s">
        <v>119</v>
      </c>
      <c r="M5681" s="10">
        <v>88.183421516754848</v>
      </c>
    </row>
    <row r="5682" spans="11:13" x14ac:dyDescent="0.25">
      <c r="K5682" s="26" t="s">
        <v>111</v>
      </c>
      <c r="L5682" s="27" t="s">
        <v>115</v>
      </c>
      <c r="M5682" s="10">
        <v>52.961001444390952</v>
      </c>
    </row>
    <row r="5683" spans="11:13" x14ac:dyDescent="0.25">
      <c r="K5683" s="26" t="s">
        <v>112</v>
      </c>
      <c r="L5683" s="27" t="s">
        <v>116</v>
      </c>
      <c r="M5683" s="10">
        <v>105.51447935921134</v>
      </c>
    </row>
    <row r="5684" spans="11:13" x14ac:dyDescent="0.25">
      <c r="K5684" s="26" t="s">
        <v>111</v>
      </c>
      <c r="L5684" s="27" t="s">
        <v>117</v>
      </c>
      <c r="M5684" s="10">
        <v>110.4</v>
      </c>
    </row>
    <row r="5685" spans="11:13" x14ac:dyDescent="0.25">
      <c r="K5685" s="26" t="s">
        <v>111</v>
      </c>
      <c r="L5685" s="27" t="s">
        <v>118</v>
      </c>
      <c r="M5685" s="10">
        <v>20.948860135551449</v>
      </c>
    </row>
    <row r="5686" spans="11:13" x14ac:dyDescent="0.25">
      <c r="K5686" s="26" t="s">
        <v>111</v>
      </c>
      <c r="L5686" s="27" t="s">
        <v>119</v>
      </c>
      <c r="M5686" s="10">
        <v>110.22927689594357</v>
      </c>
    </row>
    <row r="5687" spans="11:13" x14ac:dyDescent="0.25">
      <c r="K5687" s="26" t="s">
        <v>111</v>
      </c>
      <c r="L5687" s="27" t="s">
        <v>115</v>
      </c>
      <c r="M5687" s="10">
        <v>661.37566137566137</v>
      </c>
    </row>
    <row r="5688" spans="11:13" x14ac:dyDescent="0.25">
      <c r="K5688" s="26" t="s">
        <v>112</v>
      </c>
      <c r="L5688" s="27" t="s">
        <v>116</v>
      </c>
      <c r="M5688" s="10">
        <v>80.243941582410528</v>
      </c>
    </row>
    <row r="5689" spans="11:13" x14ac:dyDescent="0.25">
      <c r="K5689" s="26" t="s">
        <v>111</v>
      </c>
      <c r="L5689" s="27" t="s">
        <v>117</v>
      </c>
      <c r="M5689" s="10">
        <v>55.153395380903135</v>
      </c>
    </row>
    <row r="5690" spans="11:13" x14ac:dyDescent="0.25">
      <c r="K5690" s="26" t="s">
        <v>111</v>
      </c>
      <c r="L5690" s="27" t="s">
        <v>118</v>
      </c>
      <c r="M5690" s="10">
        <v>18.958979662185452</v>
      </c>
    </row>
    <row r="5691" spans="11:13" x14ac:dyDescent="0.25">
      <c r="K5691" s="26" t="s">
        <v>111</v>
      </c>
      <c r="L5691" s="27" t="s">
        <v>119</v>
      </c>
      <c r="M5691" s="10">
        <v>9.65</v>
      </c>
    </row>
    <row r="5692" spans="11:13" x14ac:dyDescent="0.25">
      <c r="K5692" s="26" t="s">
        <v>111</v>
      </c>
      <c r="L5692" s="27" t="s">
        <v>115</v>
      </c>
      <c r="M5692" s="10">
        <v>1058.985491898761</v>
      </c>
    </row>
    <row r="5693" spans="11:13" x14ac:dyDescent="0.25">
      <c r="K5693" s="26" t="s">
        <v>111</v>
      </c>
      <c r="L5693" s="27" t="s">
        <v>116</v>
      </c>
      <c r="M5693" s="10">
        <v>92.421441774491683</v>
      </c>
    </row>
    <row r="5694" spans="11:13" x14ac:dyDescent="0.25">
      <c r="K5694" s="26" t="s">
        <v>111</v>
      </c>
      <c r="L5694" s="27" t="s">
        <v>117</v>
      </c>
      <c r="M5694" s="10">
        <v>64.110196268786581</v>
      </c>
    </row>
    <row r="5695" spans="11:13" x14ac:dyDescent="0.25">
      <c r="K5695" s="26" t="s">
        <v>111</v>
      </c>
      <c r="L5695" s="27" t="s">
        <v>118</v>
      </c>
      <c r="M5695" s="10">
        <v>654.89066319048402</v>
      </c>
    </row>
    <row r="5696" spans="11:13" x14ac:dyDescent="0.25">
      <c r="K5696" s="26" t="s">
        <v>111</v>
      </c>
      <c r="L5696" s="27" t="s">
        <v>119</v>
      </c>
      <c r="M5696" s="10">
        <v>23.105360443622921</v>
      </c>
    </row>
    <row r="5697" spans="11:13" x14ac:dyDescent="0.25">
      <c r="K5697" s="26" t="s">
        <v>111</v>
      </c>
      <c r="L5697" s="27" t="s">
        <v>115</v>
      </c>
      <c r="M5697" s="10">
        <v>231.05360443622922</v>
      </c>
    </row>
    <row r="5698" spans="11:13" x14ac:dyDescent="0.25">
      <c r="K5698" s="26" t="s">
        <v>111</v>
      </c>
      <c r="L5698" s="27" t="s">
        <v>116</v>
      </c>
      <c r="M5698" s="10">
        <v>150</v>
      </c>
    </row>
    <row r="5699" spans="11:13" x14ac:dyDescent="0.25">
      <c r="K5699" s="26" t="s">
        <v>112</v>
      </c>
      <c r="L5699" s="27" t="s">
        <v>117</v>
      </c>
      <c r="M5699" s="10">
        <v>33.06878306878307</v>
      </c>
    </row>
    <row r="5700" spans="11:13" x14ac:dyDescent="0.25">
      <c r="K5700" s="26" t="s">
        <v>111</v>
      </c>
      <c r="L5700" s="27" t="s">
        <v>118</v>
      </c>
      <c r="M5700" s="10">
        <v>73.860135551447939</v>
      </c>
    </row>
    <row r="5701" spans="11:13" x14ac:dyDescent="0.25">
      <c r="K5701" s="26" t="s">
        <v>111</v>
      </c>
      <c r="L5701" s="27" t="s">
        <v>119</v>
      </c>
      <c r="M5701" s="10">
        <v>46.210720887245841</v>
      </c>
    </row>
    <row r="5702" spans="11:13" x14ac:dyDescent="0.25">
      <c r="K5702" s="26" t="s">
        <v>111</v>
      </c>
      <c r="L5702" s="27" t="s">
        <v>115</v>
      </c>
      <c r="M5702" s="10">
        <v>154.03573629081947</v>
      </c>
    </row>
    <row r="5703" spans="11:13" x14ac:dyDescent="0.25">
      <c r="K5703" s="26" t="s">
        <v>111</v>
      </c>
      <c r="L5703" s="27" t="s">
        <v>116</v>
      </c>
      <c r="M5703" s="10">
        <v>133</v>
      </c>
    </row>
    <row r="5704" spans="11:13" x14ac:dyDescent="0.25">
      <c r="K5704" s="26" t="s">
        <v>111</v>
      </c>
      <c r="L5704" s="27" t="s">
        <v>117</v>
      </c>
      <c r="M5704" s="10">
        <v>115.63218686161397</v>
      </c>
    </row>
    <row r="5705" spans="11:13" x14ac:dyDescent="0.25">
      <c r="K5705" s="26" t="s">
        <v>111</v>
      </c>
      <c r="L5705" s="27" t="s">
        <v>118</v>
      </c>
      <c r="M5705" s="10">
        <v>440.91710758377428</v>
      </c>
    </row>
    <row r="5706" spans="11:13" x14ac:dyDescent="0.25">
      <c r="K5706" s="26" t="s">
        <v>111</v>
      </c>
      <c r="L5706" s="27" t="s">
        <v>119</v>
      </c>
      <c r="M5706" s="10">
        <v>211.82988430829397</v>
      </c>
    </row>
    <row r="5707" spans="11:13" x14ac:dyDescent="0.25">
      <c r="K5707" s="26" t="s">
        <v>111</v>
      </c>
      <c r="L5707" s="27" t="s">
        <v>115</v>
      </c>
      <c r="M5707" s="10">
        <v>15</v>
      </c>
    </row>
    <row r="5708" spans="11:13" x14ac:dyDescent="0.25">
      <c r="K5708" s="26" t="s">
        <v>110</v>
      </c>
      <c r="L5708" s="27" t="s">
        <v>116</v>
      </c>
      <c r="M5708" s="10">
        <v>154.03573629081947</v>
      </c>
    </row>
    <row r="5709" spans="11:13" x14ac:dyDescent="0.25">
      <c r="K5709" s="26" t="s">
        <v>110</v>
      </c>
      <c r="L5709" s="27" t="s">
        <v>117</v>
      </c>
      <c r="M5709" s="10">
        <v>46.210720887245841</v>
      </c>
    </row>
    <row r="5710" spans="11:13" x14ac:dyDescent="0.25">
      <c r="K5710" s="26" t="s">
        <v>111</v>
      </c>
      <c r="L5710" s="27" t="s">
        <v>118</v>
      </c>
      <c r="M5710" s="10">
        <v>30.807147258163894</v>
      </c>
    </row>
    <row r="5711" spans="11:13" x14ac:dyDescent="0.25">
      <c r="K5711" s="26" t="s">
        <v>113</v>
      </c>
      <c r="L5711" s="27" t="s">
        <v>119</v>
      </c>
      <c r="M5711" s="10">
        <v>15.403573629081947</v>
      </c>
    </row>
    <row r="5712" spans="11:13" x14ac:dyDescent="0.25">
      <c r="K5712" s="26" t="s">
        <v>113</v>
      </c>
      <c r="L5712" s="27" t="s">
        <v>115</v>
      </c>
      <c r="M5712" s="10">
        <v>26.186075169439309</v>
      </c>
    </row>
    <row r="5713" spans="11:13" x14ac:dyDescent="0.25">
      <c r="K5713" s="26" t="s">
        <v>113</v>
      </c>
      <c r="L5713" s="27" t="s">
        <v>116</v>
      </c>
      <c r="M5713" s="10">
        <v>118.14593312390672</v>
      </c>
    </row>
    <row r="5714" spans="11:13" x14ac:dyDescent="0.25">
      <c r="K5714" s="26" t="s">
        <v>113</v>
      </c>
      <c r="L5714" s="27" t="s">
        <v>117</v>
      </c>
      <c r="M5714" s="10">
        <v>770.17868145409739</v>
      </c>
    </row>
    <row r="5715" spans="11:13" x14ac:dyDescent="0.25">
      <c r="K5715" s="26" t="s">
        <v>111</v>
      </c>
      <c r="L5715" s="27" t="s">
        <v>118</v>
      </c>
      <c r="M5715" s="10">
        <v>30.807147258163894</v>
      </c>
    </row>
    <row r="5716" spans="11:13" x14ac:dyDescent="0.25">
      <c r="K5716" s="26" t="s">
        <v>111</v>
      </c>
      <c r="L5716" s="27" t="s">
        <v>119</v>
      </c>
      <c r="M5716" s="10">
        <v>195.868430335097</v>
      </c>
    </row>
    <row r="5717" spans="11:13" x14ac:dyDescent="0.25">
      <c r="K5717" s="26" t="s">
        <v>111</v>
      </c>
      <c r="L5717" s="27" t="s">
        <v>115</v>
      </c>
      <c r="M5717" s="10">
        <v>39.682539682539684</v>
      </c>
    </row>
    <row r="5718" spans="11:13" x14ac:dyDescent="0.25">
      <c r="K5718" s="26" t="s">
        <v>111</v>
      </c>
      <c r="L5718" s="27" t="s">
        <v>116</v>
      </c>
      <c r="M5718" s="10">
        <v>123.22858903265558</v>
      </c>
    </row>
    <row r="5719" spans="11:13" x14ac:dyDescent="0.25">
      <c r="K5719" s="26" t="s">
        <v>111</v>
      </c>
      <c r="L5719" s="27" t="s">
        <v>117</v>
      </c>
      <c r="M5719" s="10">
        <v>308.07147258163894</v>
      </c>
    </row>
    <row r="5720" spans="11:13" x14ac:dyDescent="0.25">
      <c r="K5720" s="26" t="s">
        <v>111</v>
      </c>
      <c r="L5720" s="27" t="s">
        <v>118</v>
      </c>
      <c r="M5720" s="10">
        <v>154.03573629081947</v>
      </c>
    </row>
    <row r="5721" spans="11:13" x14ac:dyDescent="0.25">
      <c r="K5721" s="26" t="s">
        <v>111</v>
      </c>
      <c r="L5721" s="27" t="s">
        <v>119</v>
      </c>
      <c r="M5721" s="10">
        <v>154.03573629081947</v>
      </c>
    </row>
    <row r="5722" spans="11:13" x14ac:dyDescent="0.25">
      <c r="K5722" s="26" t="s">
        <v>111</v>
      </c>
      <c r="L5722" s="27" t="s">
        <v>115</v>
      </c>
      <c r="M5722" s="10">
        <v>92.421441774491683</v>
      </c>
    </row>
    <row r="5723" spans="11:13" x14ac:dyDescent="0.25">
      <c r="K5723" s="26" t="s">
        <v>111</v>
      </c>
      <c r="L5723" s="27" t="s">
        <v>116</v>
      </c>
      <c r="M5723" s="10">
        <v>770.17868145409739</v>
      </c>
    </row>
    <row r="5724" spans="11:13" x14ac:dyDescent="0.25">
      <c r="K5724" s="26" t="s">
        <v>111</v>
      </c>
      <c r="L5724" s="27" t="s">
        <v>117</v>
      </c>
      <c r="M5724" s="10">
        <v>385.08934072704869</v>
      </c>
    </row>
    <row r="5725" spans="11:13" x14ac:dyDescent="0.25">
      <c r="K5725" s="26" t="s">
        <v>111</v>
      </c>
      <c r="L5725" s="27" t="s">
        <v>118</v>
      </c>
      <c r="M5725" s="10">
        <v>100</v>
      </c>
    </row>
    <row r="5726" spans="11:13" x14ac:dyDescent="0.25">
      <c r="K5726" s="26" t="s">
        <v>111</v>
      </c>
      <c r="L5726" s="27" t="s">
        <v>119</v>
      </c>
      <c r="M5726" s="10">
        <v>264.74637297469025</v>
      </c>
    </row>
    <row r="5727" spans="11:13" x14ac:dyDescent="0.25">
      <c r="K5727" s="26" t="s">
        <v>111</v>
      </c>
      <c r="L5727" s="27" t="s">
        <v>115</v>
      </c>
      <c r="M5727" s="10">
        <v>21.828254847645432</v>
      </c>
    </row>
    <row r="5728" spans="11:13" x14ac:dyDescent="0.25">
      <c r="K5728" s="26" t="s">
        <v>110</v>
      </c>
      <c r="L5728" s="27" t="s">
        <v>116</v>
      </c>
      <c r="M5728" s="10">
        <v>54.574221932540333</v>
      </c>
    </row>
    <row r="5729" spans="11:13" x14ac:dyDescent="0.25">
      <c r="K5729" s="26" t="s">
        <v>110</v>
      </c>
      <c r="L5729" s="27" t="s">
        <v>117</v>
      </c>
      <c r="M5729" s="10">
        <v>154.32098765432099</v>
      </c>
    </row>
    <row r="5730" spans="11:13" x14ac:dyDescent="0.25">
      <c r="K5730" s="26" t="s">
        <v>111</v>
      </c>
      <c r="L5730" s="27" t="s">
        <v>118</v>
      </c>
      <c r="M5730" s="10">
        <v>20.106240834283852</v>
      </c>
    </row>
    <row r="5731" spans="11:13" x14ac:dyDescent="0.25">
      <c r="K5731" s="26" t="s">
        <v>111</v>
      </c>
      <c r="L5731" s="27" t="s">
        <v>119</v>
      </c>
      <c r="M5731" s="10">
        <v>250</v>
      </c>
    </row>
    <row r="5732" spans="11:13" x14ac:dyDescent="0.25">
      <c r="K5732" s="26" t="s">
        <v>111</v>
      </c>
      <c r="L5732" s="27" t="s">
        <v>115</v>
      </c>
      <c r="M5732" s="10">
        <v>46.210720887245841</v>
      </c>
    </row>
    <row r="5733" spans="11:13" x14ac:dyDescent="0.25">
      <c r="K5733" s="26" t="s">
        <v>111</v>
      </c>
      <c r="L5733" s="27" t="s">
        <v>116</v>
      </c>
      <c r="M5733" s="10">
        <v>61.970899470899475</v>
      </c>
    </row>
    <row r="5734" spans="11:13" x14ac:dyDescent="0.25">
      <c r="K5734" s="26" t="s">
        <v>111</v>
      </c>
      <c r="L5734" s="27" t="s">
        <v>117</v>
      </c>
      <c r="M5734" s="10">
        <v>65</v>
      </c>
    </row>
    <row r="5735" spans="11:13" x14ac:dyDescent="0.25">
      <c r="K5735" s="26" t="s">
        <v>111</v>
      </c>
      <c r="L5735" s="27" t="s">
        <v>118</v>
      </c>
      <c r="M5735" s="10">
        <v>5.7319223985890657</v>
      </c>
    </row>
    <row r="5736" spans="11:13" x14ac:dyDescent="0.25">
      <c r="K5736" s="26" t="s">
        <v>111</v>
      </c>
      <c r="L5736" s="27" t="s">
        <v>119</v>
      </c>
      <c r="M5736" s="10">
        <v>440.91710758377428</v>
      </c>
    </row>
    <row r="5737" spans="11:13" x14ac:dyDescent="0.25">
      <c r="K5737" s="26" t="s">
        <v>111</v>
      </c>
      <c r="L5737" s="27" t="s">
        <v>115</v>
      </c>
      <c r="M5737" s="10">
        <v>73.069998941014504</v>
      </c>
    </row>
    <row r="5738" spans="11:13" x14ac:dyDescent="0.25">
      <c r="K5738" s="26" t="s">
        <v>111</v>
      </c>
      <c r="L5738" s="27" t="s">
        <v>116</v>
      </c>
      <c r="M5738" s="10">
        <v>14.999537892791128</v>
      </c>
    </row>
    <row r="5739" spans="11:13" x14ac:dyDescent="0.25">
      <c r="K5739" s="26" t="s">
        <v>112</v>
      </c>
      <c r="L5739" s="27" t="s">
        <v>117</v>
      </c>
      <c r="M5739" s="10">
        <v>10.990319360363413</v>
      </c>
    </row>
    <row r="5740" spans="11:13" x14ac:dyDescent="0.25">
      <c r="K5740" s="26" t="s">
        <v>112</v>
      </c>
      <c r="L5740" s="27" t="s">
        <v>118</v>
      </c>
      <c r="M5740" s="10">
        <v>21.980638720726827</v>
      </c>
    </row>
    <row r="5741" spans="11:13" x14ac:dyDescent="0.25">
      <c r="K5741" s="26" t="s">
        <v>114</v>
      </c>
      <c r="L5741" s="27" t="s">
        <v>119</v>
      </c>
      <c r="M5741" s="10">
        <v>66.137566137566139</v>
      </c>
    </row>
    <row r="5742" spans="11:13" x14ac:dyDescent="0.25">
      <c r="K5742" s="26" t="s">
        <v>114</v>
      </c>
      <c r="L5742" s="27" t="s">
        <v>115</v>
      </c>
      <c r="M5742" s="10">
        <v>154.03573629081947</v>
      </c>
    </row>
    <row r="5743" spans="11:13" x14ac:dyDescent="0.25">
      <c r="K5743" s="26" t="s">
        <v>114</v>
      </c>
      <c r="L5743" s="27" t="s">
        <v>116</v>
      </c>
      <c r="M5743" s="10">
        <v>33.06878306878307</v>
      </c>
    </row>
    <row r="5744" spans="11:13" x14ac:dyDescent="0.25">
      <c r="K5744" s="26" t="s">
        <v>111</v>
      </c>
      <c r="L5744" s="27" t="s">
        <v>117</v>
      </c>
      <c r="M5744" s="10">
        <v>66.137566137566139</v>
      </c>
    </row>
    <row r="5745" spans="11:13" x14ac:dyDescent="0.25">
      <c r="K5745" s="26" t="s">
        <v>111</v>
      </c>
      <c r="L5745" s="27" t="s">
        <v>118</v>
      </c>
      <c r="M5745" s="10">
        <v>1831.7198933939023</v>
      </c>
    </row>
    <row r="5746" spans="11:13" x14ac:dyDescent="0.25">
      <c r="K5746" s="26" t="s">
        <v>113</v>
      </c>
      <c r="L5746" s="27" t="s">
        <v>119</v>
      </c>
      <c r="M5746" s="10">
        <v>197.4242713399185</v>
      </c>
    </row>
    <row r="5747" spans="11:13" x14ac:dyDescent="0.25">
      <c r="K5747" s="26" t="s">
        <v>113</v>
      </c>
      <c r="L5747" s="27" t="s">
        <v>115</v>
      </c>
      <c r="M5747" s="10">
        <v>197.4242713399185</v>
      </c>
    </row>
    <row r="5748" spans="11:13" x14ac:dyDescent="0.25">
      <c r="K5748" s="26" t="s">
        <v>111</v>
      </c>
      <c r="L5748" s="27" t="s">
        <v>116</v>
      </c>
      <c r="M5748" s="10">
        <v>19.840572216477074</v>
      </c>
    </row>
    <row r="5749" spans="11:13" x14ac:dyDescent="0.25">
      <c r="K5749" s="26" t="s">
        <v>111</v>
      </c>
      <c r="L5749" s="27" t="s">
        <v>117</v>
      </c>
      <c r="M5749" s="10">
        <v>23.859703550499827</v>
      </c>
    </row>
    <row r="5750" spans="11:13" x14ac:dyDescent="0.25">
      <c r="K5750" s="26" t="s">
        <v>111</v>
      </c>
      <c r="L5750" s="27" t="s">
        <v>118</v>
      </c>
      <c r="M5750" s="10">
        <v>6.4240103812007767</v>
      </c>
    </row>
    <row r="5751" spans="11:13" x14ac:dyDescent="0.25">
      <c r="K5751" s="26" t="s">
        <v>111</v>
      </c>
      <c r="L5751" s="27" t="s">
        <v>119</v>
      </c>
      <c r="M5751" s="10">
        <v>50</v>
      </c>
    </row>
    <row r="5752" spans="11:13" x14ac:dyDescent="0.25">
      <c r="K5752" s="26" t="s">
        <v>110</v>
      </c>
      <c r="L5752" s="27" t="s">
        <v>115</v>
      </c>
      <c r="M5752" s="10">
        <v>79.423911892407062</v>
      </c>
    </row>
    <row r="5753" spans="11:13" x14ac:dyDescent="0.25">
      <c r="K5753" s="26" t="s">
        <v>111</v>
      </c>
      <c r="L5753" s="27" t="s">
        <v>116</v>
      </c>
      <c r="M5753" s="10">
        <v>822.60113058299385</v>
      </c>
    </row>
    <row r="5754" spans="11:13" x14ac:dyDescent="0.25">
      <c r="K5754" s="26" t="s">
        <v>114</v>
      </c>
      <c r="L5754" s="27" t="s">
        <v>117</v>
      </c>
      <c r="M5754" s="10">
        <v>211.79709837975219</v>
      </c>
    </row>
    <row r="5755" spans="11:13" x14ac:dyDescent="0.25">
      <c r="K5755" s="26" t="s">
        <v>114</v>
      </c>
      <c r="L5755" s="27" t="s">
        <v>118</v>
      </c>
      <c r="M5755" s="10">
        <v>32.904045223319756</v>
      </c>
    </row>
    <row r="5756" spans="11:13" x14ac:dyDescent="0.25">
      <c r="K5756" s="26" t="s">
        <v>111</v>
      </c>
      <c r="L5756" s="27" t="s">
        <v>119</v>
      </c>
      <c r="M5756" s="10">
        <v>40.515355319666149</v>
      </c>
    </row>
    <row r="5757" spans="11:13" x14ac:dyDescent="0.25">
      <c r="K5757" s="26" t="s">
        <v>111</v>
      </c>
      <c r="L5757" s="27" t="s">
        <v>115</v>
      </c>
      <c r="M5757" s="10">
        <v>16.048788316482106</v>
      </c>
    </row>
    <row r="5758" spans="11:13" x14ac:dyDescent="0.25">
      <c r="K5758" s="26" t="s">
        <v>111</v>
      </c>
      <c r="L5758" s="27" t="s">
        <v>116</v>
      </c>
      <c r="M5758" s="10">
        <v>53.261593612514268</v>
      </c>
    </row>
    <row r="5759" spans="11:13" x14ac:dyDescent="0.25">
      <c r="K5759" s="26" t="s">
        <v>113</v>
      </c>
      <c r="L5759" s="27" t="s">
        <v>117</v>
      </c>
      <c r="M5759" s="10">
        <v>26.630796806257134</v>
      </c>
    </row>
    <row r="5760" spans="11:13" x14ac:dyDescent="0.25">
      <c r="K5760" s="26" t="s">
        <v>113</v>
      </c>
      <c r="L5760" s="27" t="s">
        <v>118</v>
      </c>
      <c r="M5760" s="10">
        <v>38.590526944457203</v>
      </c>
    </row>
    <row r="5761" spans="11:13" x14ac:dyDescent="0.25">
      <c r="K5761" s="26" t="s">
        <v>110</v>
      </c>
      <c r="L5761" s="27" t="s">
        <v>119</v>
      </c>
      <c r="M5761" s="10">
        <v>61.614294516327789</v>
      </c>
    </row>
    <row r="5762" spans="11:13" x14ac:dyDescent="0.25">
      <c r="K5762" s="26" t="s">
        <v>110</v>
      </c>
      <c r="L5762" s="27" t="s">
        <v>115</v>
      </c>
      <c r="M5762" s="10">
        <v>155.69619093848172</v>
      </c>
    </row>
    <row r="5763" spans="11:13" x14ac:dyDescent="0.25">
      <c r="K5763" s="26" t="s">
        <v>112</v>
      </c>
      <c r="L5763" s="27" t="s">
        <v>116</v>
      </c>
      <c r="M5763" s="10">
        <v>100</v>
      </c>
    </row>
    <row r="5764" spans="11:13" x14ac:dyDescent="0.25">
      <c r="K5764" s="26" t="s">
        <v>112</v>
      </c>
      <c r="L5764" s="27" t="s">
        <v>117</v>
      </c>
      <c r="M5764" s="10">
        <v>130.35685188202706</v>
      </c>
    </row>
    <row r="5765" spans="11:13" x14ac:dyDescent="0.25">
      <c r="K5765" s="26" t="s">
        <v>112</v>
      </c>
      <c r="L5765" s="27" t="s">
        <v>118</v>
      </c>
      <c r="M5765" s="10">
        <v>25.696041524803107</v>
      </c>
    </row>
    <row r="5766" spans="11:13" x14ac:dyDescent="0.25">
      <c r="K5766" s="26" t="s">
        <v>112</v>
      </c>
      <c r="L5766" s="27" t="s">
        <v>119</v>
      </c>
      <c r="M5766" s="10">
        <v>105.51447935921134</v>
      </c>
    </row>
    <row r="5767" spans="11:13" x14ac:dyDescent="0.25">
      <c r="K5767" s="26" t="s">
        <v>112</v>
      </c>
      <c r="L5767" s="27" t="s">
        <v>115</v>
      </c>
      <c r="M5767" s="10">
        <v>243.37646333949476</v>
      </c>
    </row>
    <row r="5768" spans="11:13" x14ac:dyDescent="0.25">
      <c r="K5768" s="26" t="s">
        <v>112</v>
      </c>
      <c r="L5768" s="27" t="s">
        <v>116</v>
      </c>
      <c r="M5768" s="10">
        <v>110.22927689594357</v>
      </c>
    </row>
    <row r="5769" spans="11:13" x14ac:dyDescent="0.25">
      <c r="K5769" s="26" t="s">
        <v>112</v>
      </c>
      <c r="L5769" s="27" t="s">
        <v>117</v>
      </c>
      <c r="M5769" s="10">
        <v>33.838000000000001</v>
      </c>
    </row>
    <row r="5770" spans="11:13" x14ac:dyDescent="0.25">
      <c r="K5770" s="26" t="s">
        <v>112</v>
      </c>
      <c r="L5770" s="27" t="s">
        <v>118</v>
      </c>
      <c r="M5770" s="10">
        <v>11.022927689594356</v>
      </c>
    </row>
    <row r="5771" spans="11:13" x14ac:dyDescent="0.25">
      <c r="K5771" s="26" t="s">
        <v>113</v>
      </c>
      <c r="L5771" s="27" t="s">
        <v>119</v>
      </c>
      <c r="M5771" s="10">
        <v>66.137566137566139</v>
      </c>
    </row>
    <row r="5772" spans="11:13" x14ac:dyDescent="0.25">
      <c r="K5772" s="26" t="s">
        <v>111</v>
      </c>
      <c r="L5772" s="27" t="s">
        <v>115</v>
      </c>
      <c r="M5772" s="10">
        <v>49.291435613062234</v>
      </c>
    </row>
    <row r="5773" spans="11:13" x14ac:dyDescent="0.25">
      <c r="K5773" s="26" t="s">
        <v>111</v>
      </c>
      <c r="L5773" s="27" t="s">
        <v>116</v>
      </c>
      <c r="M5773" s="10">
        <v>231.05360443622922</v>
      </c>
    </row>
    <row r="5774" spans="11:13" x14ac:dyDescent="0.25">
      <c r="K5774" s="26" t="s">
        <v>112</v>
      </c>
      <c r="L5774" s="27" t="s">
        <v>117</v>
      </c>
      <c r="M5774" s="10">
        <v>74.062590274434285</v>
      </c>
    </row>
    <row r="5775" spans="11:13" x14ac:dyDescent="0.25">
      <c r="K5775" s="26" t="s">
        <v>112</v>
      </c>
      <c r="L5775" s="27" t="s">
        <v>118</v>
      </c>
      <c r="M5775" s="10">
        <v>10.814535765149079</v>
      </c>
    </row>
    <row r="5776" spans="11:13" x14ac:dyDescent="0.25">
      <c r="K5776" s="26" t="s">
        <v>112</v>
      </c>
      <c r="L5776" s="27" t="s">
        <v>119</v>
      </c>
      <c r="M5776" s="10">
        <v>200</v>
      </c>
    </row>
    <row r="5777" spans="11:13" x14ac:dyDescent="0.25">
      <c r="K5777" s="26" t="s">
        <v>112</v>
      </c>
      <c r="L5777" s="27" t="s">
        <v>115</v>
      </c>
      <c r="M5777" s="10">
        <v>70.546737213403873</v>
      </c>
    </row>
    <row r="5778" spans="11:13" x14ac:dyDescent="0.25">
      <c r="K5778" s="26" t="s">
        <v>112</v>
      </c>
      <c r="L5778" s="27" t="s">
        <v>116</v>
      </c>
      <c r="M5778" s="10">
        <v>200</v>
      </c>
    </row>
    <row r="5779" spans="11:13" x14ac:dyDescent="0.25">
      <c r="K5779" s="26" t="s">
        <v>112</v>
      </c>
      <c r="L5779" s="27" t="s">
        <v>117</v>
      </c>
      <c r="M5779" s="10">
        <v>103.41261633919338</v>
      </c>
    </row>
    <row r="5780" spans="11:13" x14ac:dyDescent="0.25">
      <c r="K5780" s="26" t="s">
        <v>112</v>
      </c>
      <c r="L5780" s="27" t="s">
        <v>118</v>
      </c>
      <c r="M5780" s="10">
        <v>103.41261633919338</v>
      </c>
    </row>
    <row r="5781" spans="11:13" x14ac:dyDescent="0.25">
      <c r="K5781" s="26" t="s">
        <v>111</v>
      </c>
      <c r="L5781" s="27" t="s">
        <v>119</v>
      </c>
      <c r="M5781" s="10">
        <v>220.45855379188714</v>
      </c>
    </row>
    <row r="5782" spans="11:13" x14ac:dyDescent="0.25">
      <c r="K5782" s="26" t="s">
        <v>111</v>
      </c>
      <c r="L5782" s="27" t="s">
        <v>115</v>
      </c>
      <c r="M5782" s="10">
        <v>69.316081330868769</v>
      </c>
    </row>
    <row r="5783" spans="11:13" x14ac:dyDescent="0.25">
      <c r="K5783" s="26" t="s">
        <v>112</v>
      </c>
      <c r="L5783" s="27" t="s">
        <v>116</v>
      </c>
      <c r="M5783" s="10">
        <v>137.88348845225781</v>
      </c>
    </row>
    <row r="5784" spans="11:13" x14ac:dyDescent="0.25">
      <c r="K5784" s="26" t="s">
        <v>112</v>
      </c>
      <c r="L5784" s="27" t="s">
        <v>117</v>
      </c>
      <c r="M5784" s="10">
        <v>17.235436056532226</v>
      </c>
    </row>
    <row r="5785" spans="11:13" x14ac:dyDescent="0.25">
      <c r="K5785" s="26" t="s">
        <v>112</v>
      </c>
      <c r="L5785" s="27" t="s">
        <v>118</v>
      </c>
      <c r="M5785" s="10">
        <v>1984.1269841269841</v>
      </c>
    </row>
    <row r="5786" spans="11:13" x14ac:dyDescent="0.25">
      <c r="K5786" s="26" t="s">
        <v>112</v>
      </c>
      <c r="L5786" s="27" t="s">
        <v>119</v>
      </c>
      <c r="M5786" s="10">
        <v>46.210720887245841</v>
      </c>
    </row>
    <row r="5787" spans="11:13" x14ac:dyDescent="0.25">
      <c r="K5787" s="26" t="s">
        <v>112</v>
      </c>
      <c r="L5787" s="27" t="s">
        <v>115</v>
      </c>
      <c r="M5787" s="10">
        <v>19.27203114360233</v>
      </c>
    </row>
    <row r="5788" spans="11:13" x14ac:dyDescent="0.25">
      <c r="K5788" s="26" t="s">
        <v>112</v>
      </c>
      <c r="L5788" s="27" t="s">
        <v>116</v>
      </c>
      <c r="M5788" s="10">
        <v>123.22858903265558</v>
      </c>
    </row>
    <row r="5789" spans="11:13" x14ac:dyDescent="0.25">
      <c r="K5789" s="26" t="s">
        <v>111</v>
      </c>
      <c r="L5789" s="27" t="s">
        <v>117</v>
      </c>
      <c r="M5789" s="10">
        <v>48.883819455760147</v>
      </c>
    </row>
    <row r="5790" spans="11:13" x14ac:dyDescent="0.25">
      <c r="K5790" s="26" t="s">
        <v>111</v>
      </c>
      <c r="L5790" s="27" t="s">
        <v>118</v>
      </c>
      <c r="M5790" s="10">
        <v>19.553527782304059</v>
      </c>
    </row>
    <row r="5791" spans="11:13" x14ac:dyDescent="0.25">
      <c r="K5791" s="26" t="s">
        <v>111</v>
      </c>
      <c r="L5791" s="27" t="s">
        <v>119</v>
      </c>
      <c r="M5791" s="10">
        <v>40.611367837338264</v>
      </c>
    </row>
    <row r="5792" spans="11:13" x14ac:dyDescent="0.25">
      <c r="K5792" s="26" t="s">
        <v>111</v>
      </c>
      <c r="L5792" s="27" t="s">
        <v>115</v>
      </c>
      <c r="M5792" s="10">
        <v>15.403573629081947</v>
      </c>
    </row>
    <row r="5793" spans="11:13" x14ac:dyDescent="0.25">
      <c r="K5793" s="26" t="s">
        <v>111</v>
      </c>
      <c r="L5793" s="27" t="s">
        <v>116</v>
      </c>
      <c r="M5793" s="10">
        <v>15.403573629081947</v>
      </c>
    </row>
    <row r="5794" spans="11:13" x14ac:dyDescent="0.25">
      <c r="K5794" s="26" t="s">
        <v>111</v>
      </c>
      <c r="L5794" s="27" t="s">
        <v>117</v>
      </c>
      <c r="M5794" s="10">
        <v>69.316081330868769</v>
      </c>
    </row>
    <row r="5795" spans="11:13" x14ac:dyDescent="0.25">
      <c r="K5795" s="26" t="s">
        <v>111</v>
      </c>
      <c r="L5795" s="27" t="s">
        <v>118</v>
      </c>
      <c r="M5795" s="10">
        <v>46.210720887245841</v>
      </c>
    </row>
    <row r="5796" spans="11:13" x14ac:dyDescent="0.25">
      <c r="K5796" s="26" t="s">
        <v>111</v>
      </c>
      <c r="L5796" s="27" t="s">
        <v>119</v>
      </c>
      <c r="M5796" s="10">
        <v>15.403573629081947</v>
      </c>
    </row>
    <row r="5797" spans="11:13" x14ac:dyDescent="0.25">
      <c r="K5797" s="26" t="s">
        <v>114</v>
      </c>
      <c r="L5797" s="27" t="s">
        <v>115</v>
      </c>
      <c r="M5797" s="10">
        <v>45.95</v>
      </c>
    </row>
    <row r="5798" spans="11:13" x14ac:dyDescent="0.25">
      <c r="K5798" s="26" t="s">
        <v>114</v>
      </c>
      <c r="L5798" s="27" t="s">
        <v>116</v>
      </c>
      <c r="M5798" s="10">
        <v>91.585994669695125</v>
      </c>
    </row>
    <row r="5799" spans="11:13" x14ac:dyDescent="0.25">
      <c r="K5799" s="26" t="s">
        <v>114</v>
      </c>
      <c r="L5799" s="27" t="s">
        <v>117</v>
      </c>
      <c r="M5799" s="10">
        <v>100</v>
      </c>
    </row>
    <row r="5800" spans="11:13" x14ac:dyDescent="0.25">
      <c r="K5800" s="26" t="s">
        <v>112</v>
      </c>
      <c r="L5800" s="27" t="s">
        <v>118</v>
      </c>
      <c r="M5800" s="10">
        <v>86.16477076870045</v>
      </c>
    </row>
    <row r="5801" spans="11:13" x14ac:dyDescent="0.25">
      <c r="K5801" s="26" t="s">
        <v>112</v>
      </c>
      <c r="L5801" s="27" t="s">
        <v>119</v>
      </c>
      <c r="M5801" s="10">
        <v>84.718839351900883</v>
      </c>
    </row>
    <row r="5802" spans="11:13" x14ac:dyDescent="0.25">
      <c r="K5802" s="26" t="s">
        <v>112</v>
      </c>
      <c r="L5802" s="27" t="s">
        <v>115</v>
      </c>
      <c r="M5802" s="10">
        <v>24.846395920430009</v>
      </c>
    </row>
    <row r="5803" spans="11:13" x14ac:dyDescent="0.25">
      <c r="K5803" s="26" t="s">
        <v>112</v>
      </c>
      <c r="L5803" s="27" t="s">
        <v>116</v>
      </c>
      <c r="M5803" s="10">
        <v>65.808090446639511</v>
      </c>
    </row>
    <row r="5804" spans="11:13" x14ac:dyDescent="0.25">
      <c r="K5804" s="26" t="s">
        <v>112</v>
      </c>
      <c r="L5804" s="27" t="s">
        <v>117</v>
      </c>
      <c r="M5804" s="10">
        <v>68.941744226128904</v>
      </c>
    </row>
    <row r="5805" spans="11:13" x14ac:dyDescent="0.25">
      <c r="K5805" s="26" t="s">
        <v>112</v>
      </c>
      <c r="L5805" s="27" t="s">
        <v>118</v>
      </c>
      <c r="M5805" s="10">
        <v>35.714285714285715</v>
      </c>
    </row>
    <row r="5806" spans="11:13" x14ac:dyDescent="0.25">
      <c r="K5806" s="26" t="s">
        <v>112</v>
      </c>
      <c r="L5806" s="27" t="s">
        <v>119</v>
      </c>
      <c r="M5806" s="10">
        <v>33.06878306878307</v>
      </c>
    </row>
    <row r="5807" spans="11:13" x14ac:dyDescent="0.25">
      <c r="K5807" s="26" t="s">
        <v>113</v>
      </c>
      <c r="L5807" s="27" t="s">
        <v>115</v>
      </c>
      <c r="M5807" s="10">
        <v>661.37566137566137</v>
      </c>
    </row>
    <row r="5808" spans="11:13" x14ac:dyDescent="0.25">
      <c r="K5808" s="26" t="s">
        <v>111</v>
      </c>
      <c r="L5808" s="27" t="s">
        <v>116</v>
      </c>
      <c r="M5808" s="10">
        <v>138.63216266173754</v>
      </c>
    </row>
    <row r="5809" spans="11:13" x14ac:dyDescent="0.25">
      <c r="K5809" s="26" t="s">
        <v>112</v>
      </c>
      <c r="L5809" s="27" t="s">
        <v>117</v>
      </c>
      <c r="M5809" s="10">
        <v>5.1706308169596689</v>
      </c>
    </row>
    <row r="5810" spans="11:13" x14ac:dyDescent="0.25">
      <c r="K5810" s="26" t="s">
        <v>109</v>
      </c>
      <c r="L5810" s="27" t="s">
        <v>118</v>
      </c>
      <c r="M5810" s="10">
        <v>62.047569803516026</v>
      </c>
    </row>
    <row r="5811" spans="11:13" x14ac:dyDescent="0.25">
      <c r="K5811" s="26" t="s">
        <v>113</v>
      </c>
      <c r="L5811" s="27" t="s">
        <v>119</v>
      </c>
      <c r="M5811" s="10">
        <v>41.365046535677351</v>
      </c>
    </row>
    <row r="5812" spans="11:13" x14ac:dyDescent="0.25">
      <c r="K5812" s="26" t="s">
        <v>113</v>
      </c>
      <c r="L5812" s="27" t="s">
        <v>115</v>
      </c>
      <c r="M5812" s="10">
        <v>33.092037228541876</v>
      </c>
    </row>
    <row r="5813" spans="11:13" x14ac:dyDescent="0.25">
      <c r="K5813" s="26" t="s">
        <v>113</v>
      </c>
      <c r="L5813" s="27" t="s">
        <v>116</v>
      </c>
      <c r="M5813" s="10">
        <v>64.11582213029989</v>
      </c>
    </row>
    <row r="5814" spans="11:13" x14ac:dyDescent="0.25">
      <c r="K5814" s="26" t="s">
        <v>109</v>
      </c>
      <c r="L5814" s="27" t="s">
        <v>117</v>
      </c>
      <c r="M5814" s="10">
        <v>63.771113409169253</v>
      </c>
    </row>
    <row r="5815" spans="11:13" x14ac:dyDescent="0.25">
      <c r="K5815" s="26" t="s">
        <v>113</v>
      </c>
      <c r="L5815" s="27" t="s">
        <v>118</v>
      </c>
      <c r="M5815" s="10">
        <v>51.706308169596689</v>
      </c>
    </row>
    <row r="5816" spans="11:13" x14ac:dyDescent="0.25">
      <c r="K5816" s="26" t="s">
        <v>111</v>
      </c>
      <c r="L5816" s="27" t="s">
        <v>119</v>
      </c>
      <c r="M5816" s="10">
        <v>11.243278474824834</v>
      </c>
    </row>
    <row r="5817" spans="11:13" x14ac:dyDescent="0.25">
      <c r="K5817" s="26" t="s">
        <v>111</v>
      </c>
      <c r="L5817" s="27" t="s">
        <v>115</v>
      </c>
      <c r="M5817" s="10">
        <v>30.835249829763725</v>
      </c>
    </row>
    <row r="5818" spans="11:13" x14ac:dyDescent="0.25">
      <c r="K5818" s="26" t="s">
        <v>113</v>
      </c>
      <c r="L5818" s="27" t="s">
        <v>116</v>
      </c>
      <c r="M5818" s="10">
        <v>32.747328507411233</v>
      </c>
    </row>
    <row r="5819" spans="11:13" x14ac:dyDescent="0.25">
      <c r="K5819" s="26" t="s">
        <v>111</v>
      </c>
      <c r="L5819" s="27" t="s">
        <v>117</v>
      </c>
      <c r="M5819" s="10">
        <v>228.96498667423779</v>
      </c>
    </row>
    <row r="5820" spans="11:13" x14ac:dyDescent="0.25">
      <c r="K5820" s="26" t="s">
        <v>111</v>
      </c>
      <c r="L5820" s="27" t="s">
        <v>118</v>
      </c>
      <c r="M5820" s="10">
        <v>51.706308169596689</v>
      </c>
    </row>
    <row r="5821" spans="11:13" x14ac:dyDescent="0.25">
      <c r="K5821" s="26" t="s">
        <v>113</v>
      </c>
      <c r="L5821" s="27" t="s">
        <v>119</v>
      </c>
      <c r="M5821" s="10">
        <v>41.365046535677351</v>
      </c>
    </row>
    <row r="5822" spans="11:13" x14ac:dyDescent="0.25">
      <c r="K5822" s="26" t="s">
        <v>113</v>
      </c>
      <c r="L5822" s="27" t="s">
        <v>115</v>
      </c>
      <c r="M5822" s="10">
        <v>62.047569803516026</v>
      </c>
    </row>
    <row r="5823" spans="11:13" x14ac:dyDescent="0.25">
      <c r="K5823" s="26" t="s">
        <v>113</v>
      </c>
      <c r="L5823" s="27" t="s">
        <v>116</v>
      </c>
      <c r="M5823" s="10">
        <v>68.941744226128904</v>
      </c>
    </row>
    <row r="5824" spans="11:13" x14ac:dyDescent="0.25">
      <c r="K5824" s="26" t="s">
        <v>113</v>
      </c>
      <c r="L5824" s="27" t="s">
        <v>117</v>
      </c>
      <c r="M5824" s="10">
        <v>41.365046535677351</v>
      </c>
    </row>
    <row r="5825" spans="11:13" x14ac:dyDescent="0.25">
      <c r="K5825" s="26" t="s">
        <v>113</v>
      </c>
      <c r="L5825" s="27" t="s">
        <v>118</v>
      </c>
      <c r="M5825" s="10">
        <v>31.023784901758013</v>
      </c>
    </row>
    <row r="5826" spans="11:13" x14ac:dyDescent="0.25">
      <c r="K5826" s="26" t="s">
        <v>112</v>
      </c>
      <c r="L5826" s="27" t="s">
        <v>119</v>
      </c>
      <c r="M5826" s="10">
        <v>62.047569803516026</v>
      </c>
    </row>
    <row r="5827" spans="11:13" x14ac:dyDescent="0.25">
      <c r="K5827" s="26" t="s">
        <v>112</v>
      </c>
      <c r="L5827" s="27" t="s">
        <v>115</v>
      </c>
      <c r="M5827" s="10">
        <v>154.03573629081947</v>
      </c>
    </row>
    <row r="5828" spans="11:13" x14ac:dyDescent="0.25">
      <c r="K5828" s="26" t="s">
        <v>112</v>
      </c>
      <c r="L5828" s="27" t="s">
        <v>116</v>
      </c>
      <c r="M5828" s="10">
        <v>770.17868145409739</v>
      </c>
    </row>
    <row r="5829" spans="11:13" x14ac:dyDescent="0.25">
      <c r="K5829" s="26" t="s">
        <v>112</v>
      </c>
      <c r="L5829" s="27" t="s">
        <v>117</v>
      </c>
      <c r="M5829" s="10">
        <v>1.5873015873015872</v>
      </c>
    </row>
    <row r="5830" spans="11:13" x14ac:dyDescent="0.25">
      <c r="K5830" s="26" t="s">
        <v>110</v>
      </c>
      <c r="L5830" s="27" t="s">
        <v>118</v>
      </c>
      <c r="M5830" s="10">
        <v>103.41261633919338</v>
      </c>
    </row>
    <row r="5831" spans="11:13" x14ac:dyDescent="0.25">
      <c r="K5831" s="26" t="s">
        <v>110</v>
      </c>
      <c r="L5831" s="27" t="s">
        <v>119</v>
      </c>
      <c r="M5831" s="10">
        <v>241.29610479145123</v>
      </c>
    </row>
    <row r="5832" spans="11:13" x14ac:dyDescent="0.25">
      <c r="K5832" s="26" t="s">
        <v>110</v>
      </c>
      <c r="L5832" s="27" t="s">
        <v>115</v>
      </c>
      <c r="M5832" s="10">
        <v>51.706308169596689</v>
      </c>
    </row>
    <row r="5833" spans="11:13" x14ac:dyDescent="0.25">
      <c r="K5833" s="26" t="s">
        <v>113</v>
      </c>
      <c r="L5833" s="27" t="s">
        <v>116</v>
      </c>
      <c r="M5833" s="10">
        <v>70</v>
      </c>
    </row>
    <row r="5834" spans="11:13" x14ac:dyDescent="0.25">
      <c r="K5834" s="26" t="s">
        <v>113</v>
      </c>
      <c r="L5834" s="27" t="s">
        <v>117</v>
      </c>
      <c r="M5834" s="10">
        <v>741.28984432913273</v>
      </c>
    </row>
    <row r="5835" spans="11:13" x14ac:dyDescent="0.25">
      <c r="K5835" s="26" t="s">
        <v>113</v>
      </c>
      <c r="L5835" s="27" t="s">
        <v>118</v>
      </c>
      <c r="M5835" s="10">
        <v>434.18405167849198</v>
      </c>
    </row>
    <row r="5836" spans="11:13" x14ac:dyDescent="0.25">
      <c r="K5836" s="26" t="s">
        <v>113</v>
      </c>
      <c r="L5836" s="27" t="s">
        <v>119</v>
      </c>
      <c r="M5836" s="10">
        <v>46.210720887245841</v>
      </c>
    </row>
    <row r="5837" spans="11:13" x14ac:dyDescent="0.25">
      <c r="K5837" s="26" t="s">
        <v>113</v>
      </c>
      <c r="L5837" s="27" t="s">
        <v>115</v>
      </c>
      <c r="M5837" s="10">
        <v>77.017868145409736</v>
      </c>
    </row>
    <row r="5838" spans="11:13" x14ac:dyDescent="0.25">
      <c r="K5838" s="26" t="s">
        <v>112</v>
      </c>
      <c r="L5838" s="27" t="s">
        <v>116</v>
      </c>
      <c r="M5838" s="10">
        <v>30.807147258163894</v>
      </c>
    </row>
    <row r="5839" spans="11:13" x14ac:dyDescent="0.25">
      <c r="K5839" s="26" t="s">
        <v>112</v>
      </c>
      <c r="L5839" s="27" t="s">
        <v>117</v>
      </c>
      <c r="M5839" s="10">
        <v>9.2421441774491679</v>
      </c>
    </row>
    <row r="5840" spans="11:13" x14ac:dyDescent="0.25">
      <c r="K5840" s="26" t="s">
        <v>110</v>
      </c>
      <c r="L5840" s="27" t="s">
        <v>118</v>
      </c>
      <c r="M5840" s="10">
        <v>260.71370376405412</v>
      </c>
    </row>
    <row r="5841" spans="11:13" x14ac:dyDescent="0.25">
      <c r="K5841" s="26" t="s">
        <v>110</v>
      </c>
      <c r="L5841" s="27" t="s">
        <v>119</v>
      </c>
      <c r="M5841" s="10">
        <v>1629.4606485253382</v>
      </c>
    </row>
    <row r="5842" spans="11:13" x14ac:dyDescent="0.25">
      <c r="K5842" s="26" t="s">
        <v>110</v>
      </c>
      <c r="L5842" s="27" t="s">
        <v>115</v>
      </c>
      <c r="M5842" s="10">
        <v>91.585994669695125</v>
      </c>
    </row>
    <row r="5843" spans="11:13" x14ac:dyDescent="0.25">
      <c r="K5843" s="26" t="s">
        <v>110</v>
      </c>
      <c r="L5843" s="27" t="s">
        <v>116</v>
      </c>
      <c r="M5843" s="10">
        <v>91.585994669695125</v>
      </c>
    </row>
    <row r="5844" spans="11:13" x14ac:dyDescent="0.25">
      <c r="K5844" s="26" t="s">
        <v>113</v>
      </c>
      <c r="L5844" s="27" t="s">
        <v>117</v>
      </c>
      <c r="M5844" s="10">
        <v>59.530896535301828</v>
      </c>
    </row>
    <row r="5845" spans="11:13" x14ac:dyDescent="0.25">
      <c r="K5845" s="26" t="s">
        <v>113</v>
      </c>
      <c r="L5845" s="27" t="s">
        <v>118</v>
      </c>
      <c r="M5845" s="10">
        <v>195.07816864645059</v>
      </c>
    </row>
    <row r="5846" spans="11:13" x14ac:dyDescent="0.25">
      <c r="K5846" s="26" t="s">
        <v>113</v>
      </c>
      <c r="L5846" s="27" t="s">
        <v>119</v>
      </c>
      <c r="M5846" s="10">
        <v>195.07816864645059</v>
      </c>
    </row>
    <row r="5847" spans="11:13" x14ac:dyDescent="0.25">
      <c r="K5847" s="26" t="s">
        <v>113</v>
      </c>
      <c r="L5847" s="27" t="s">
        <v>115</v>
      </c>
      <c r="M5847" s="10">
        <v>164.85479040545121</v>
      </c>
    </row>
    <row r="5848" spans="11:13" x14ac:dyDescent="0.25">
      <c r="K5848" s="26" t="s">
        <v>113</v>
      </c>
      <c r="L5848" s="27" t="s">
        <v>116</v>
      </c>
      <c r="M5848" s="10">
        <v>47.624717228241458</v>
      </c>
    </row>
    <row r="5849" spans="11:13" x14ac:dyDescent="0.25">
      <c r="K5849" s="26" t="s">
        <v>113</v>
      </c>
      <c r="L5849" s="27" t="s">
        <v>117</v>
      </c>
      <c r="M5849" s="10">
        <v>325.89212970506765</v>
      </c>
    </row>
    <row r="5850" spans="11:13" x14ac:dyDescent="0.25">
      <c r="K5850" s="26" t="s">
        <v>113</v>
      </c>
      <c r="L5850" s="27" t="s">
        <v>118</v>
      </c>
      <c r="M5850" s="10">
        <v>350</v>
      </c>
    </row>
    <row r="5851" spans="11:13" x14ac:dyDescent="0.25">
      <c r="K5851" s="26" t="s">
        <v>111</v>
      </c>
      <c r="L5851" s="27" t="s">
        <v>119</v>
      </c>
      <c r="M5851" s="10">
        <v>88.183421516754848</v>
      </c>
    </row>
    <row r="5852" spans="11:13" x14ac:dyDescent="0.25">
      <c r="K5852" s="26" t="s">
        <v>111</v>
      </c>
      <c r="L5852" s="27" t="s">
        <v>115</v>
      </c>
      <c r="M5852" s="10">
        <v>51.931186000796579</v>
      </c>
    </row>
    <row r="5853" spans="11:13" x14ac:dyDescent="0.25">
      <c r="K5853" s="26" t="s">
        <v>111</v>
      </c>
      <c r="L5853" s="27" t="s">
        <v>116</v>
      </c>
      <c r="M5853" s="10">
        <v>52.949274594938046</v>
      </c>
    </row>
    <row r="5854" spans="11:13" x14ac:dyDescent="0.25">
      <c r="K5854" s="26" t="s">
        <v>111</v>
      </c>
      <c r="L5854" s="27" t="s">
        <v>117</v>
      </c>
      <c r="M5854" s="10">
        <v>49.372134038800709</v>
      </c>
    </row>
    <row r="5855" spans="11:13" x14ac:dyDescent="0.25">
      <c r="K5855" s="26" t="s">
        <v>110</v>
      </c>
      <c r="L5855" s="27" t="s">
        <v>118</v>
      </c>
      <c r="M5855" s="10">
        <v>231.05360443622922</v>
      </c>
    </row>
    <row r="5856" spans="11:13" x14ac:dyDescent="0.25">
      <c r="K5856" s="26" t="s">
        <v>110</v>
      </c>
      <c r="L5856" s="27" t="s">
        <v>119</v>
      </c>
      <c r="M5856" s="10">
        <v>30.807147258163894</v>
      </c>
    </row>
    <row r="5857" spans="11:13" x14ac:dyDescent="0.25">
      <c r="K5857" s="26" t="s">
        <v>111</v>
      </c>
      <c r="L5857" s="27" t="s">
        <v>115</v>
      </c>
      <c r="M5857" s="10">
        <v>5.6721497447532618</v>
      </c>
    </row>
    <row r="5858" spans="11:13" x14ac:dyDescent="0.25">
      <c r="K5858" s="26" t="s">
        <v>111</v>
      </c>
      <c r="L5858" s="27" t="s">
        <v>116</v>
      </c>
      <c r="M5858" s="10">
        <v>42.359419675950441</v>
      </c>
    </row>
    <row r="5859" spans="11:13" x14ac:dyDescent="0.25">
      <c r="K5859" s="26" t="s">
        <v>111</v>
      </c>
      <c r="L5859" s="27" t="s">
        <v>117</v>
      </c>
      <c r="M5859" s="10">
        <v>21.179709837975221</v>
      </c>
    </row>
    <row r="5860" spans="11:13" x14ac:dyDescent="0.25">
      <c r="K5860" s="26" t="s">
        <v>111</v>
      </c>
      <c r="L5860" s="27" t="s">
        <v>118</v>
      </c>
      <c r="M5860" s="10">
        <v>21.179709837975221</v>
      </c>
    </row>
    <row r="5861" spans="11:13" x14ac:dyDescent="0.25">
      <c r="K5861" s="26" t="s">
        <v>111</v>
      </c>
      <c r="L5861" s="27" t="s">
        <v>119</v>
      </c>
      <c r="M5861" s="10">
        <v>19.27203114360233</v>
      </c>
    </row>
    <row r="5862" spans="11:13" x14ac:dyDescent="0.25">
      <c r="K5862" s="26" t="s">
        <v>113</v>
      </c>
      <c r="L5862" s="27" t="s">
        <v>115</v>
      </c>
      <c r="M5862" s="10">
        <v>52.949274594938046</v>
      </c>
    </row>
    <row r="5863" spans="11:13" x14ac:dyDescent="0.25">
      <c r="K5863" s="26" t="s">
        <v>113</v>
      </c>
      <c r="L5863" s="27" t="s">
        <v>116</v>
      </c>
      <c r="M5863" s="10">
        <v>105.89854918987609</v>
      </c>
    </row>
    <row r="5864" spans="11:13" x14ac:dyDescent="0.25">
      <c r="K5864" s="26" t="s">
        <v>113</v>
      </c>
      <c r="L5864" s="27" t="s">
        <v>117</v>
      </c>
      <c r="M5864" s="10">
        <v>103.41261633919338</v>
      </c>
    </row>
    <row r="5865" spans="11:13" x14ac:dyDescent="0.25">
      <c r="K5865" s="26" t="s">
        <v>113</v>
      </c>
      <c r="L5865" s="27" t="s">
        <v>118</v>
      </c>
      <c r="M5865" s="10">
        <v>103.41261633919338</v>
      </c>
    </row>
    <row r="5866" spans="11:13" x14ac:dyDescent="0.25">
      <c r="K5866" s="26" t="s">
        <v>110</v>
      </c>
      <c r="L5866" s="27" t="s">
        <v>119</v>
      </c>
      <c r="M5866" s="10">
        <v>137.88348845225781</v>
      </c>
    </row>
    <row r="5867" spans="11:13" x14ac:dyDescent="0.25">
      <c r="K5867" s="26" t="s">
        <v>110</v>
      </c>
      <c r="L5867" s="27" t="s">
        <v>115</v>
      </c>
      <c r="M5867" s="10">
        <v>19553.52778230406</v>
      </c>
    </row>
    <row r="5868" spans="11:13" x14ac:dyDescent="0.25">
      <c r="K5868" s="26" t="s">
        <v>110</v>
      </c>
      <c r="L5868" s="27" t="s">
        <v>116</v>
      </c>
      <c r="M5868" s="10">
        <v>84.718839351900883</v>
      </c>
    </row>
    <row r="5869" spans="11:13" x14ac:dyDescent="0.25">
      <c r="K5869" s="26" t="s">
        <v>110</v>
      </c>
      <c r="L5869" s="27" t="s">
        <v>117</v>
      </c>
      <c r="M5869" s="10">
        <v>385.08934072704869</v>
      </c>
    </row>
    <row r="5870" spans="11:13" x14ac:dyDescent="0.25">
      <c r="K5870" s="26" t="s">
        <v>110</v>
      </c>
      <c r="L5870" s="27" t="s">
        <v>118</v>
      </c>
      <c r="M5870" s="10">
        <v>8.9285714285714288</v>
      </c>
    </row>
    <row r="5871" spans="11:13" x14ac:dyDescent="0.25">
      <c r="K5871" s="26" t="s">
        <v>112</v>
      </c>
      <c r="L5871" s="27" t="s">
        <v>119</v>
      </c>
      <c r="M5871" s="10">
        <v>97.767638911520294</v>
      </c>
    </row>
    <row r="5872" spans="11:13" x14ac:dyDescent="0.25">
      <c r="K5872" s="26" t="s">
        <v>110</v>
      </c>
      <c r="L5872" s="27" t="s">
        <v>115</v>
      </c>
      <c r="M5872" s="10">
        <v>211.79709837975219</v>
      </c>
    </row>
    <row r="5873" spans="11:13" x14ac:dyDescent="0.25">
      <c r="K5873" s="26" t="s">
        <v>113</v>
      </c>
      <c r="L5873" s="27" t="s">
        <v>116</v>
      </c>
      <c r="M5873" s="10">
        <v>0.21179709837975219</v>
      </c>
    </row>
    <row r="5874" spans="11:13" x14ac:dyDescent="0.25">
      <c r="K5874" s="26" t="s">
        <v>113</v>
      </c>
      <c r="L5874" s="27" t="s">
        <v>117</v>
      </c>
      <c r="M5874" s="10">
        <v>86.177180282661155</v>
      </c>
    </row>
    <row r="5875" spans="11:13" x14ac:dyDescent="0.25">
      <c r="K5875" s="26" t="s">
        <v>113</v>
      </c>
      <c r="L5875" s="27" t="s">
        <v>118</v>
      </c>
      <c r="M5875" s="10">
        <v>2.412961047914512</v>
      </c>
    </row>
    <row r="5876" spans="11:13" x14ac:dyDescent="0.25">
      <c r="K5876" s="26" t="s">
        <v>113</v>
      </c>
      <c r="L5876" s="27" t="s">
        <v>119</v>
      </c>
      <c r="M5876" s="10">
        <v>46.210720887245841</v>
      </c>
    </row>
    <row r="5877" spans="11:13" x14ac:dyDescent="0.25">
      <c r="K5877" s="26" t="s">
        <v>113</v>
      </c>
      <c r="L5877" s="27" t="s">
        <v>115</v>
      </c>
      <c r="M5877" s="10">
        <v>86.177180282661155</v>
      </c>
    </row>
    <row r="5878" spans="11:13" x14ac:dyDescent="0.25">
      <c r="K5878" s="26" t="s">
        <v>113</v>
      </c>
      <c r="L5878" s="27" t="s">
        <v>116</v>
      </c>
      <c r="M5878" s="10">
        <v>1000</v>
      </c>
    </row>
    <row r="5879" spans="11:13" x14ac:dyDescent="0.25">
      <c r="K5879" s="26" t="s">
        <v>111</v>
      </c>
      <c r="L5879" s="27" t="s">
        <v>117</v>
      </c>
      <c r="M5879" s="10">
        <v>18.04052028218695</v>
      </c>
    </row>
    <row r="5880" spans="11:13" x14ac:dyDescent="0.25">
      <c r="K5880" s="26" t="s">
        <v>111</v>
      </c>
      <c r="L5880" s="27" t="s">
        <v>118</v>
      </c>
      <c r="M5880" s="10">
        <v>195.53527782304059</v>
      </c>
    </row>
    <row r="5881" spans="11:13" x14ac:dyDescent="0.25">
      <c r="K5881" s="26" t="s">
        <v>111</v>
      </c>
      <c r="L5881" s="27" t="s">
        <v>119</v>
      </c>
      <c r="M5881" s="10">
        <v>51.475166790214971</v>
      </c>
    </row>
    <row r="5882" spans="11:13" x14ac:dyDescent="0.25">
      <c r="K5882" s="26" t="s">
        <v>111</v>
      </c>
      <c r="L5882" s="27" t="s">
        <v>115</v>
      </c>
      <c r="M5882" s="10">
        <v>246.45717806531115</v>
      </c>
    </row>
    <row r="5883" spans="11:13" x14ac:dyDescent="0.25">
      <c r="K5883" s="26" t="s">
        <v>113</v>
      </c>
      <c r="L5883" s="27" t="s">
        <v>116</v>
      </c>
      <c r="M5883" s="10">
        <v>154.03573629081947</v>
      </c>
    </row>
    <row r="5884" spans="11:13" x14ac:dyDescent="0.25">
      <c r="K5884" s="26" t="s">
        <v>113</v>
      </c>
      <c r="L5884" s="27" t="s">
        <v>117</v>
      </c>
      <c r="M5884" s="10">
        <v>1058.985491898761</v>
      </c>
    </row>
    <row r="5885" spans="11:13" x14ac:dyDescent="0.25">
      <c r="K5885" s="26" t="s">
        <v>111</v>
      </c>
      <c r="L5885" s="27" t="s">
        <v>118</v>
      </c>
      <c r="M5885" s="10">
        <v>107.82501540357363</v>
      </c>
    </row>
    <row r="5886" spans="11:13" x14ac:dyDescent="0.25">
      <c r="K5886" s="26" t="s">
        <v>111</v>
      </c>
      <c r="L5886" s="27" t="s">
        <v>119</v>
      </c>
      <c r="M5886" s="10">
        <v>81.084411583487366</v>
      </c>
    </row>
    <row r="5887" spans="11:13" x14ac:dyDescent="0.25">
      <c r="K5887" s="26" t="s">
        <v>110</v>
      </c>
      <c r="L5887" s="27" t="s">
        <v>115</v>
      </c>
      <c r="M5887" s="10">
        <v>141.89772027110291</v>
      </c>
    </row>
    <row r="5888" spans="11:13" x14ac:dyDescent="0.25">
      <c r="K5888" s="26" t="s">
        <v>111</v>
      </c>
      <c r="L5888" s="27" t="s">
        <v>116</v>
      </c>
      <c r="M5888" s="10">
        <v>121.62661737523106</v>
      </c>
    </row>
    <row r="5889" spans="11:13" x14ac:dyDescent="0.25">
      <c r="K5889" s="26" t="s">
        <v>111</v>
      </c>
      <c r="L5889" s="27" t="s">
        <v>117</v>
      </c>
      <c r="M5889" s="10">
        <v>38.508934072704868</v>
      </c>
    </row>
    <row r="5890" spans="11:13" x14ac:dyDescent="0.25">
      <c r="K5890" s="26" t="s">
        <v>111</v>
      </c>
      <c r="L5890" s="27" t="s">
        <v>118</v>
      </c>
      <c r="M5890" s="10">
        <v>172.35436056532231</v>
      </c>
    </row>
    <row r="5891" spans="11:13" x14ac:dyDescent="0.25">
      <c r="K5891" s="26" t="s">
        <v>111</v>
      </c>
      <c r="L5891" s="27" t="s">
        <v>119</v>
      </c>
      <c r="M5891" s="10">
        <v>61.728395061728399</v>
      </c>
    </row>
    <row r="5892" spans="11:13" x14ac:dyDescent="0.25">
      <c r="K5892" s="26" t="s">
        <v>111</v>
      </c>
      <c r="L5892" s="27" t="s">
        <v>115</v>
      </c>
      <c r="M5892" s="10">
        <v>220.45855379188714</v>
      </c>
    </row>
    <row r="5893" spans="11:13" x14ac:dyDescent="0.25">
      <c r="K5893" s="26" t="s">
        <v>111</v>
      </c>
      <c r="L5893" s="27" t="s">
        <v>116</v>
      </c>
      <c r="M5893" s="10">
        <v>220.45855379188714</v>
      </c>
    </row>
    <row r="5894" spans="11:13" x14ac:dyDescent="0.25">
      <c r="K5894" s="26" t="s">
        <v>111</v>
      </c>
      <c r="L5894" s="27" t="s">
        <v>117</v>
      </c>
      <c r="M5894" s="10">
        <v>220.45855379188714</v>
      </c>
    </row>
    <row r="5895" spans="11:13" x14ac:dyDescent="0.25">
      <c r="K5895" s="26" t="s">
        <v>111</v>
      </c>
      <c r="L5895" s="27" t="s">
        <v>118</v>
      </c>
      <c r="M5895" s="10">
        <v>16.294606485253382</v>
      </c>
    </row>
    <row r="5896" spans="11:13" x14ac:dyDescent="0.25">
      <c r="K5896" s="26" t="s">
        <v>111</v>
      </c>
      <c r="L5896" s="27" t="s">
        <v>119</v>
      </c>
      <c r="M5896" s="10">
        <v>300.21151284053843</v>
      </c>
    </row>
    <row r="5897" spans="11:13" x14ac:dyDescent="0.25">
      <c r="K5897" s="26" t="s">
        <v>113</v>
      </c>
      <c r="L5897" s="27" t="s">
        <v>115</v>
      </c>
      <c r="M5897" s="10">
        <v>220.45855379188714</v>
      </c>
    </row>
    <row r="5898" spans="11:13" x14ac:dyDescent="0.25">
      <c r="K5898" s="26" t="s">
        <v>111</v>
      </c>
      <c r="L5898" s="27" t="s">
        <v>116</v>
      </c>
      <c r="M5898" s="10">
        <v>17.235436056532226</v>
      </c>
    </row>
    <row r="5899" spans="11:13" x14ac:dyDescent="0.25">
      <c r="K5899" s="26" t="s">
        <v>111</v>
      </c>
      <c r="L5899" s="27" t="s">
        <v>117</v>
      </c>
      <c r="M5899" s="10">
        <v>254.15651805570261</v>
      </c>
    </row>
    <row r="5900" spans="11:13" x14ac:dyDescent="0.25">
      <c r="K5900" s="26" t="s">
        <v>113</v>
      </c>
      <c r="L5900" s="27" t="s">
        <v>118</v>
      </c>
      <c r="M5900" s="10">
        <v>66.137566137566139</v>
      </c>
    </row>
    <row r="5901" spans="11:13" x14ac:dyDescent="0.25">
      <c r="K5901" s="26" t="s">
        <v>111</v>
      </c>
      <c r="L5901" s="27" t="s">
        <v>119</v>
      </c>
      <c r="M5901" s="10">
        <v>109.90319360363415</v>
      </c>
    </row>
    <row r="5902" spans="11:13" x14ac:dyDescent="0.25">
      <c r="K5902" s="26" t="s">
        <v>111</v>
      </c>
      <c r="L5902" s="27" t="s">
        <v>115</v>
      </c>
      <c r="M5902" s="10">
        <v>109.90319360363415</v>
      </c>
    </row>
    <row r="5903" spans="11:13" x14ac:dyDescent="0.25">
      <c r="K5903" s="26" t="s">
        <v>111</v>
      </c>
      <c r="L5903" s="27" t="s">
        <v>116</v>
      </c>
      <c r="M5903" s="10">
        <v>137.37899200454268</v>
      </c>
    </row>
    <row r="5904" spans="11:13" x14ac:dyDescent="0.25">
      <c r="K5904" s="26" t="s">
        <v>111</v>
      </c>
      <c r="L5904" s="27" t="s">
        <v>117</v>
      </c>
      <c r="M5904" s="10">
        <v>91.585994669695125</v>
      </c>
    </row>
    <row r="5905" spans="11:13" x14ac:dyDescent="0.25">
      <c r="K5905" s="26" t="s">
        <v>112</v>
      </c>
      <c r="L5905" s="27" t="s">
        <v>118</v>
      </c>
      <c r="M5905" s="10">
        <v>75</v>
      </c>
    </row>
    <row r="5906" spans="11:13" x14ac:dyDescent="0.25">
      <c r="K5906" s="26" t="s">
        <v>113</v>
      </c>
      <c r="L5906" s="27" t="s">
        <v>119</v>
      </c>
      <c r="M5906" s="10">
        <v>44.091710758377424</v>
      </c>
    </row>
    <row r="5907" spans="11:13" x14ac:dyDescent="0.25">
      <c r="K5907" s="26" t="s">
        <v>113</v>
      </c>
      <c r="L5907" s="27" t="s">
        <v>115</v>
      </c>
      <c r="M5907" s="10">
        <v>65.178425941013529</v>
      </c>
    </row>
    <row r="5908" spans="11:13" x14ac:dyDescent="0.25">
      <c r="K5908" s="26" t="s">
        <v>113</v>
      </c>
      <c r="L5908" s="27" t="s">
        <v>116</v>
      </c>
      <c r="M5908" s="10">
        <v>51.706308169596689</v>
      </c>
    </row>
    <row r="5909" spans="11:13" x14ac:dyDescent="0.25">
      <c r="K5909" s="26" t="s">
        <v>111</v>
      </c>
      <c r="L5909" s="27" t="s">
        <v>117</v>
      </c>
      <c r="M5909" s="10">
        <v>63.771113409169253</v>
      </c>
    </row>
    <row r="5910" spans="11:13" x14ac:dyDescent="0.25">
      <c r="K5910" s="26" t="s">
        <v>111</v>
      </c>
      <c r="L5910" s="27" t="s">
        <v>118</v>
      </c>
      <c r="M5910" s="10">
        <v>33.781454670803171</v>
      </c>
    </row>
    <row r="5911" spans="11:13" x14ac:dyDescent="0.25">
      <c r="K5911" s="26" t="s">
        <v>111</v>
      </c>
      <c r="L5911" s="27" t="s">
        <v>119</v>
      </c>
      <c r="M5911" s="10">
        <v>41.365046535677351</v>
      </c>
    </row>
    <row r="5912" spans="11:13" x14ac:dyDescent="0.25">
      <c r="K5912" s="26" t="s">
        <v>111</v>
      </c>
      <c r="L5912" s="27" t="s">
        <v>115</v>
      </c>
      <c r="M5912" s="10">
        <v>103.41261633919338</v>
      </c>
    </row>
    <row r="5913" spans="11:13" x14ac:dyDescent="0.25">
      <c r="K5913" s="26" t="s">
        <v>113</v>
      </c>
      <c r="L5913" s="27" t="s">
        <v>116</v>
      </c>
      <c r="M5913" s="10">
        <v>68.941744226128904</v>
      </c>
    </row>
    <row r="5914" spans="11:13" x14ac:dyDescent="0.25">
      <c r="K5914" s="26" t="s">
        <v>113</v>
      </c>
      <c r="L5914" s="27" t="s">
        <v>117</v>
      </c>
      <c r="M5914" s="10">
        <v>103.41261633919338</v>
      </c>
    </row>
    <row r="5915" spans="11:13" x14ac:dyDescent="0.25">
      <c r="K5915" s="26" t="s">
        <v>113</v>
      </c>
      <c r="L5915" s="27" t="s">
        <v>118</v>
      </c>
      <c r="M5915" s="10">
        <v>103.41261633919338</v>
      </c>
    </row>
    <row r="5916" spans="11:13" x14ac:dyDescent="0.25">
      <c r="K5916" s="26" t="s">
        <v>110</v>
      </c>
      <c r="L5916" s="27" t="s">
        <v>119</v>
      </c>
      <c r="M5916" s="10">
        <v>103.41261633919338</v>
      </c>
    </row>
    <row r="5917" spans="11:13" x14ac:dyDescent="0.25">
      <c r="K5917" s="26" t="s">
        <v>110</v>
      </c>
      <c r="L5917" s="27" t="s">
        <v>115</v>
      </c>
      <c r="M5917" s="10">
        <v>103.41261633919338</v>
      </c>
    </row>
    <row r="5918" spans="11:13" x14ac:dyDescent="0.25">
      <c r="K5918" s="26" t="s">
        <v>110</v>
      </c>
      <c r="L5918" s="27" t="s">
        <v>116</v>
      </c>
      <c r="M5918" s="10">
        <v>103.41261633919338</v>
      </c>
    </row>
    <row r="5919" spans="11:13" x14ac:dyDescent="0.25">
      <c r="K5919" s="26" t="s">
        <v>110</v>
      </c>
      <c r="L5919" s="27" t="s">
        <v>117</v>
      </c>
      <c r="M5919" s="10">
        <v>103.41261633919338</v>
      </c>
    </row>
    <row r="5920" spans="11:13" x14ac:dyDescent="0.25">
      <c r="K5920" s="26" t="s">
        <v>113</v>
      </c>
      <c r="L5920" s="27" t="s">
        <v>118</v>
      </c>
      <c r="M5920" s="10">
        <v>103.41261633919338</v>
      </c>
    </row>
    <row r="5921" spans="11:13" x14ac:dyDescent="0.25">
      <c r="K5921" s="26" t="s">
        <v>111</v>
      </c>
      <c r="L5921" s="27" t="s">
        <v>119</v>
      </c>
      <c r="M5921" s="10">
        <v>18.958979662185452</v>
      </c>
    </row>
    <row r="5922" spans="11:13" x14ac:dyDescent="0.25">
      <c r="K5922" s="26" t="s">
        <v>111</v>
      </c>
      <c r="L5922" s="27" t="s">
        <v>115</v>
      </c>
      <c r="M5922" s="10">
        <v>95</v>
      </c>
    </row>
    <row r="5923" spans="11:13" x14ac:dyDescent="0.25">
      <c r="K5923" s="26" t="s">
        <v>111</v>
      </c>
      <c r="L5923" s="27" t="s">
        <v>116</v>
      </c>
      <c r="M5923" s="10">
        <v>100</v>
      </c>
    </row>
    <row r="5924" spans="11:13" x14ac:dyDescent="0.25">
      <c r="K5924" s="26" t="s">
        <v>111</v>
      </c>
      <c r="L5924" s="27" t="s">
        <v>117</v>
      </c>
      <c r="M5924" s="10">
        <v>33.06878306878307</v>
      </c>
    </row>
    <row r="5925" spans="11:13" x14ac:dyDescent="0.25">
      <c r="K5925" s="26" t="s">
        <v>110</v>
      </c>
      <c r="L5925" s="27" t="s">
        <v>118</v>
      </c>
      <c r="M5925" s="10">
        <v>66.137566137566139</v>
      </c>
    </row>
    <row r="5926" spans="11:13" x14ac:dyDescent="0.25">
      <c r="K5926" s="26" t="s">
        <v>110</v>
      </c>
      <c r="L5926" s="27" t="s">
        <v>119</v>
      </c>
      <c r="M5926" s="10">
        <v>16.666666666666668</v>
      </c>
    </row>
    <row r="5927" spans="11:13" x14ac:dyDescent="0.25">
      <c r="K5927" s="26" t="s">
        <v>110</v>
      </c>
      <c r="L5927" s="27" t="s">
        <v>115</v>
      </c>
      <c r="M5927" s="10">
        <v>488.83819455760147</v>
      </c>
    </row>
    <row r="5928" spans="11:13" x14ac:dyDescent="0.25">
      <c r="K5928" s="26" t="s">
        <v>113</v>
      </c>
      <c r="L5928" s="27" t="s">
        <v>116</v>
      </c>
      <c r="M5928" s="10">
        <v>25.696041524803107</v>
      </c>
    </row>
    <row r="5929" spans="11:13" x14ac:dyDescent="0.25">
      <c r="K5929" s="26" t="s">
        <v>113</v>
      </c>
      <c r="L5929" s="27" t="s">
        <v>117</v>
      </c>
      <c r="M5929" s="10">
        <v>228.96498667423779</v>
      </c>
    </row>
    <row r="5930" spans="11:13" x14ac:dyDescent="0.25">
      <c r="K5930" s="26" t="s">
        <v>113</v>
      </c>
      <c r="L5930" s="27" t="s">
        <v>118</v>
      </c>
      <c r="M5930" s="10">
        <v>109.90319360363415</v>
      </c>
    </row>
    <row r="5931" spans="11:13" x14ac:dyDescent="0.25">
      <c r="K5931" s="26" t="s">
        <v>113</v>
      </c>
      <c r="L5931" s="27" t="s">
        <v>119</v>
      </c>
      <c r="M5931" s="10">
        <v>293.80264550264553</v>
      </c>
    </row>
    <row r="5932" spans="11:13" x14ac:dyDescent="0.25">
      <c r="K5932" s="26" t="s">
        <v>113</v>
      </c>
      <c r="L5932" s="27" t="s">
        <v>115</v>
      </c>
      <c r="M5932" s="10">
        <v>101.3555144793592</v>
      </c>
    </row>
    <row r="5933" spans="11:13" x14ac:dyDescent="0.25">
      <c r="K5933" s="26" t="s">
        <v>110</v>
      </c>
      <c r="L5933" s="27" t="s">
        <v>116</v>
      </c>
      <c r="M5933" s="10">
        <v>62.769562538508936</v>
      </c>
    </row>
    <row r="5934" spans="11:13" x14ac:dyDescent="0.25">
      <c r="K5934" s="26" t="s">
        <v>110</v>
      </c>
      <c r="L5934" s="27" t="s">
        <v>117</v>
      </c>
      <c r="M5934" s="10">
        <v>39.664202094886015</v>
      </c>
    </row>
    <row r="5935" spans="11:13" x14ac:dyDescent="0.25">
      <c r="K5935" s="26" t="s">
        <v>111</v>
      </c>
      <c r="L5935" s="27" t="s">
        <v>118</v>
      </c>
      <c r="M5935" s="10">
        <v>82.024029574861373</v>
      </c>
    </row>
    <row r="5936" spans="11:13" x14ac:dyDescent="0.25">
      <c r="K5936" s="26" t="s">
        <v>111</v>
      </c>
      <c r="L5936" s="27" t="s">
        <v>119</v>
      </c>
      <c r="M5936" s="10">
        <v>7.7017868145409736</v>
      </c>
    </row>
    <row r="5937" spans="11:13" x14ac:dyDescent="0.25">
      <c r="K5937" s="26" t="s">
        <v>111</v>
      </c>
      <c r="L5937" s="27" t="s">
        <v>115</v>
      </c>
      <c r="M5937" s="10">
        <v>30.807147258163894</v>
      </c>
    </row>
    <row r="5938" spans="11:13" x14ac:dyDescent="0.25">
      <c r="K5938" s="26" t="s">
        <v>111</v>
      </c>
      <c r="L5938" s="27" t="s">
        <v>116</v>
      </c>
      <c r="M5938" s="10">
        <v>197.4242713399185</v>
      </c>
    </row>
    <row r="5939" spans="11:13" x14ac:dyDescent="0.25">
      <c r="K5939" s="26" t="s">
        <v>110</v>
      </c>
      <c r="L5939" s="27" t="s">
        <v>117</v>
      </c>
      <c r="M5939" s="10">
        <v>41.365046535677351</v>
      </c>
    </row>
    <row r="5940" spans="11:13" x14ac:dyDescent="0.25">
      <c r="K5940" s="26" t="s">
        <v>110</v>
      </c>
      <c r="L5940" s="27" t="s">
        <v>118</v>
      </c>
      <c r="M5940" s="10">
        <v>7.4426014672439713</v>
      </c>
    </row>
    <row r="5941" spans="11:13" x14ac:dyDescent="0.25">
      <c r="K5941" s="26" t="s">
        <v>110</v>
      </c>
      <c r="L5941" s="27" t="s">
        <v>119</v>
      </c>
      <c r="M5941" s="10">
        <v>183.17198933939025</v>
      </c>
    </row>
    <row r="5942" spans="11:13" x14ac:dyDescent="0.25">
      <c r="K5942" s="26" t="s">
        <v>112</v>
      </c>
      <c r="L5942" s="27" t="s">
        <v>115</v>
      </c>
      <c r="M5942" s="10">
        <v>431.30006161429452</v>
      </c>
    </row>
    <row r="5943" spans="11:13" x14ac:dyDescent="0.25">
      <c r="K5943" s="26" t="s">
        <v>112</v>
      </c>
      <c r="L5943" s="27" t="s">
        <v>116</v>
      </c>
      <c r="M5943" s="10">
        <v>123.22858903265558</v>
      </c>
    </row>
    <row r="5944" spans="11:13" x14ac:dyDescent="0.25">
      <c r="K5944" s="26" t="s">
        <v>112</v>
      </c>
      <c r="L5944" s="27" t="s">
        <v>117</v>
      </c>
      <c r="M5944" s="10">
        <v>123.22858903265558</v>
      </c>
    </row>
    <row r="5945" spans="11:13" x14ac:dyDescent="0.25">
      <c r="K5945" s="26" t="s">
        <v>110</v>
      </c>
      <c r="L5945" s="27" t="s">
        <v>118</v>
      </c>
      <c r="M5945" s="10">
        <v>20.125</v>
      </c>
    </row>
    <row r="5946" spans="11:13" x14ac:dyDescent="0.25">
      <c r="K5946" s="26" t="s">
        <v>111</v>
      </c>
      <c r="L5946" s="27" t="s">
        <v>119</v>
      </c>
      <c r="M5946" s="10">
        <v>2.6229231299551876</v>
      </c>
    </row>
    <row r="5947" spans="11:13" x14ac:dyDescent="0.25">
      <c r="K5947" s="26" t="s">
        <v>114</v>
      </c>
      <c r="L5947" s="27" t="s">
        <v>115</v>
      </c>
      <c r="M5947" s="10">
        <v>5.2458807307824884</v>
      </c>
    </row>
    <row r="5948" spans="11:13" x14ac:dyDescent="0.25">
      <c r="K5948" s="26" t="s">
        <v>111</v>
      </c>
      <c r="L5948" s="27" t="s">
        <v>116</v>
      </c>
      <c r="M5948" s="10">
        <v>10.341261633919338</v>
      </c>
    </row>
    <row r="5949" spans="11:13" x14ac:dyDescent="0.25">
      <c r="K5949" s="26" t="s">
        <v>111</v>
      </c>
      <c r="L5949" s="27" t="s">
        <v>117</v>
      </c>
      <c r="M5949" s="10">
        <v>51.706308169596689</v>
      </c>
    </row>
    <row r="5950" spans="11:13" x14ac:dyDescent="0.25">
      <c r="K5950" s="26" t="s">
        <v>111</v>
      </c>
      <c r="L5950" s="27" t="s">
        <v>118</v>
      </c>
      <c r="M5950" s="10">
        <v>27.576697690451567</v>
      </c>
    </row>
    <row r="5951" spans="11:13" x14ac:dyDescent="0.25">
      <c r="K5951" s="26" t="s">
        <v>112</v>
      </c>
      <c r="L5951" s="27" t="s">
        <v>119</v>
      </c>
      <c r="M5951" s="10">
        <v>16.534391534391535</v>
      </c>
    </row>
    <row r="5952" spans="11:13" x14ac:dyDescent="0.25">
      <c r="K5952" s="26" t="s">
        <v>112</v>
      </c>
      <c r="L5952" s="27" t="s">
        <v>115</v>
      </c>
      <c r="M5952" s="10">
        <v>924.21441774491689</v>
      </c>
    </row>
    <row r="5953" spans="11:13" x14ac:dyDescent="0.25">
      <c r="K5953" s="26" t="s">
        <v>111</v>
      </c>
      <c r="L5953" s="27" t="s">
        <v>116</v>
      </c>
      <c r="M5953" s="10">
        <v>184.84288354898337</v>
      </c>
    </row>
    <row r="5954" spans="11:13" x14ac:dyDescent="0.25">
      <c r="K5954" s="26" t="s">
        <v>111</v>
      </c>
      <c r="L5954" s="27" t="s">
        <v>117</v>
      </c>
      <c r="M5954" s="10">
        <v>110.22927689594357</v>
      </c>
    </row>
    <row r="5955" spans="11:13" x14ac:dyDescent="0.25">
      <c r="K5955" s="26" t="s">
        <v>111</v>
      </c>
      <c r="L5955" s="27" t="s">
        <v>118</v>
      </c>
      <c r="M5955" s="10">
        <v>308.07147258163894</v>
      </c>
    </row>
    <row r="5956" spans="11:13" x14ac:dyDescent="0.25">
      <c r="K5956" s="26" t="s">
        <v>111</v>
      </c>
      <c r="L5956" s="27" t="s">
        <v>119</v>
      </c>
      <c r="M5956" s="10">
        <v>325.89212970506765</v>
      </c>
    </row>
    <row r="5957" spans="11:13" x14ac:dyDescent="0.25">
      <c r="K5957" s="26" t="s">
        <v>111</v>
      </c>
      <c r="L5957" s="27" t="s">
        <v>115</v>
      </c>
      <c r="M5957" s="10">
        <v>162.94606485253382</v>
      </c>
    </row>
    <row r="5958" spans="11:13" x14ac:dyDescent="0.25">
      <c r="K5958" s="26" t="s">
        <v>112</v>
      </c>
      <c r="L5958" s="27" t="s">
        <v>116</v>
      </c>
      <c r="M5958" s="10">
        <v>33.06878306878307</v>
      </c>
    </row>
    <row r="5959" spans="11:13" x14ac:dyDescent="0.25">
      <c r="K5959" s="26" t="s">
        <v>112</v>
      </c>
      <c r="L5959" s="27" t="s">
        <v>117</v>
      </c>
      <c r="M5959" s="10">
        <v>2.8724132312204662</v>
      </c>
    </row>
    <row r="5960" spans="11:13" x14ac:dyDescent="0.25">
      <c r="K5960" s="26" t="s">
        <v>112</v>
      </c>
      <c r="L5960" s="27" t="s">
        <v>118</v>
      </c>
      <c r="M5960" s="10">
        <v>37.064492216456628</v>
      </c>
    </row>
    <row r="5961" spans="11:13" x14ac:dyDescent="0.25">
      <c r="K5961" s="26" t="s">
        <v>111</v>
      </c>
      <c r="L5961" s="27" t="s">
        <v>119</v>
      </c>
      <c r="M5961" s="10">
        <v>7.7017868145409736</v>
      </c>
    </row>
    <row r="5962" spans="11:13" x14ac:dyDescent="0.25">
      <c r="K5962" s="26" t="s">
        <v>111</v>
      </c>
      <c r="L5962" s="27" t="s">
        <v>115</v>
      </c>
      <c r="M5962" s="10">
        <v>21.179709837975221</v>
      </c>
    </row>
    <row r="5963" spans="11:13" x14ac:dyDescent="0.25">
      <c r="K5963" s="26" t="s">
        <v>111</v>
      </c>
      <c r="L5963" s="27" t="s">
        <v>116</v>
      </c>
      <c r="M5963" s="10">
        <v>5.4951596801817066</v>
      </c>
    </row>
    <row r="5964" spans="11:13" x14ac:dyDescent="0.25">
      <c r="K5964" s="26" t="s">
        <v>112</v>
      </c>
      <c r="L5964" s="27" t="s">
        <v>117</v>
      </c>
      <c r="M5964" s="10">
        <v>11.906179307060365</v>
      </c>
    </row>
    <row r="5965" spans="11:13" x14ac:dyDescent="0.25">
      <c r="K5965" s="26" t="s">
        <v>112</v>
      </c>
      <c r="L5965" s="27" t="s">
        <v>118</v>
      </c>
      <c r="M5965" s="10">
        <v>45.792997334847563</v>
      </c>
    </row>
    <row r="5966" spans="11:13" x14ac:dyDescent="0.25">
      <c r="K5966" s="26" t="s">
        <v>112</v>
      </c>
      <c r="L5966" s="27" t="s">
        <v>119</v>
      </c>
      <c r="M5966" s="10">
        <v>55.114638447971785</v>
      </c>
    </row>
    <row r="5967" spans="11:13" x14ac:dyDescent="0.25">
      <c r="K5967" s="26" t="s">
        <v>110</v>
      </c>
      <c r="L5967" s="27" t="s">
        <v>115</v>
      </c>
      <c r="M5967" s="10">
        <v>736.44485520640785</v>
      </c>
    </row>
    <row r="5968" spans="11:13" x14ac:dyDescent="0.25">
      <c r="K5968" s="26" t="s">
        <v>110</v>
      </c>
      <c r="L5968" s="27" t="s">
        <v>116</v>
      </c>
      <c r="M5968" s="10">
        <v>3.8508934072704868</v>
      </c>
    </row>
    <row r="5969" spans="11:13" x14ac:dyDescent="0.25">
      <c r="K5969" s="26" t="s">
        <v>114</v>
      </c>
      <c r="L5969" s="27" t="s">
        <v>117</v>
      </c>
      <c r="M5969" s="10">
        <v>231.05360443622922</v>
      </c>
    </row>
    <row r="5970" spans="11:13" x14ac:dyDescent="0.25">
      <c r="K5970" s="26" t="s">
        <v>114</v>
      </c>
      <c r="L5970" s="27" t="s">
        <v>118</v>
      </c>
      <c r="M5970" s="10">
        <v>246.45717806531115</v>
      </c>
    </row>
    <row r="5971" spans="11:13" x14ac:dyDescent="0.25">
      <c r="K5971" s="26" t="s">
        <v>110</v>
      </c>
      <c r="L5971" s="27" t="s">
        <v>119</v>
      </c>
      <c r="M5971" s="10">
        <v>179.8941798941799</v>
      </c>
    </row>
    <row r="5972" spans="11:13" x14ac:dyDescent="0.25">
      <c r="K5972" s="26" t="s">
        <v>111</v>
      </c>
      <c r="L5972" s="27" t="s">
        <v>115</v>
      </c>
      <c r="M5972" s="10">
        <v>38.508934072704868</v>
      </c>
    </row>
    <row r="5973" spans="11:13" x14ac:dyDescent="0.25">
      <c r="K5973" s="26" t="s">
        <v>111</v>
      </c>
      <c r="L5973" s="27" t="s">
        <v>116</v>
      </c>
      <c r="M5973" s="10">
        <v>46.210720887245841</v>
      </c>
    </row>
    <row r="5974" spans="11:13" x14ac:dyDescent="0.25">
      <c r="K5974" s="26" t="s">
        <v>111</v>
      </c>
      <c r="L5974" s="27" t="s">
        <v>117</v>
      </c>
      <c r="M5974" s="10">
        <v>150</v>
      </c>
    </row>
    <row r="5975" spans="11:13" x14ac:dyDescent="0.25">
      <c r="K5975" s="26" t="s">
        <v>111</v>
      </c>
      <c r="L5975" s="27" t="s">
        <v>118</v>
      </c>
      <c r="M5975" s="10">
        <v>100</v>
      </c>
    </row>
    <row r="5976" spans="11:13" x14ac:dyDescent="0.25">
      <c r="K5976" s="26" t="s">
        <v>112</v>
      </c>
      <c r="L5976" s="27" t="s">
        <v>119</v>
      </c>
      <c r="M5976" s="10">
        <v>84.411583487369072</v>
      </c>
    </row>
    <row r="5977" spans="11:13" x14ac:dyDescent="0.25">
      <c r="K5977" s="26" t="s">
        <v>111</v>
      </c>
      <c r="L5977" s="27" t="s">
        <v>115</v>
      </c>
      <c r="M5977" s="10">
        <v>158.84782378481412</v>
      </c>
    </row>
    <row r="5978" spans="11:13" x14ac:dyDescent="0.25">
      <c r="K5978" s="26" t="s">
        <v>111</v>
      </c>
      <c r="L5978" s="27" t="s">
        <v>116</v>
      </c>
      <c r="M5978" s="10">
        <v>105.89854918987609</v>
      </c>
    </row>
    <row r="5979" spans="11:13" x14ac:dyDescent="0.25">
      <c r="K5979" s="26" t="s">
        <v>112</v>
      </c>
      <c r="L5979" s="27" t="s">
        <v>117</v>
      </c>
      <c r="M5979" s="10">
        <v>105.89854918987609</v>
      </c>
    </row>
    <row r="5980" spans="11:13" x14ac:dyDescent="0.25">
      <c r="K5980" s="26" t="s">
        <v>112</v>
      </c>
      <c r="L5980" s="27" t="s">
        <v>118</v>
      </c>
      <c r="M5980" s="10">
        <v>52.949274594938046</v>
      </c>
    </row>
    <row r="5981" spans="11:13" x14ac:dyDescent="0.25">
      <c r="K5981" s="26" t="s">
        <v>112</v>
      </c>
      <c r="L5981" s="27" t="s">
        <v>119</v>
      </c>
      <c r="M5981" s="10">
        <v>105.89854918987609</v>
      </c>
    </row>
    <row r="5982" spans="11:13" x14ac:dyDescent="0.25">
      <c r="K5982" s="26" t="s">
        <v>112</v>
      </c>
      <c r="L5982" s="27" t="s">
        <v>115</v>
      </c>
      <c r="M5982" s="10">
        <v>105.89854918987609</v>
      </c>
    </row>
    <row r="5983" spans="11:13" x14ac:dyDescent="0.25">
      <c r="K5983" s="26" t="s">
        <v>109</v>
      </c>
      <c r="L5983" s="27" t="s">
        <v>116</v>
      </c>
      <c r="M5983" s="10">
        <v>22.045855379188712</v>
      </c>
    </row>
    <row r="5984" spans="11:13" x14ac:dyDescent="0.25">
      <c r="K5984" s="26" t="s">
        <v>109</v>
      </c>
      <c r="L5984" s="27" t="s">
        <v>117</v>
      </c>
      <c r="M5984" s="10">
        <v>66.137566137566139</v>
      </c>
    </row>
    <row r="5985" spans="11:13" x14ac:dyDescent="0.25">
      <c r="K5985" s="26" t="s">
        <v>111</v>
      </c>
      <c r="L5985" s="27" t="s">
        <v>118</v>
      </c>
      <c r="M5985" s="10">
        <v>17.636684303350968</v>
      </c>
    </row>
    <row r="5986" spans="11:13" x14ac:dyDescent="0.25">
      <c r="K5986" s="26" t="s">
        <v>111</v>
      </c>
      <c r="L5986" s="27" t="s">
        <v>119</v>
      </c>
      <c r="M5986" s="10">
        <v>51.706308169596689</v>
      </c>
    </row>
    <row r="5987" spans="11:13" x14ac:dyDescent="0.25">
      <c r="K5987" s="26" t="s">
        <v>111</v>
      </c>
      <c r="L5987" s="27" t="s">
        <v>115</v>
      </c>
      <c r="M5987" s="10">
        <v>42.359419675950441</v>
      </c>
    </row>
    <row r="5988" spans="11:13" x14ac:dyDescent="0.25">
      <c r="K5988" s="26" t="s">
        <v>111</v>
      </c>
      <c r="L5988" s="27" t="s">
        <v>116</v>
      </c>
      <c r="M5988" s="10">
        <v>27.576697690451567</v>
      </c>
    </row>
    <row r="5989" spans="11:13" x14ac:dyDescent="0.25">
      <c r="K5989" s="26" t="s">
        <v>111</v>
      </c>
      <c r="L5989" s="27" t="s">
        <v>117</v>
      </c>
      <c r="M5989" s="10">
        <v>55.153395380903135</v>
      </c>
    </row>
    <row r="5990" spans="11:13" x14ac:dyDescent="0.25">
      <c r="K5990" s="26" t="s">
        <v>112</v>
      </c>
      <c r="L5990" s="27" t="s">
        <v>118</v>
      </c>
      <c r="M5990" s="10">
        <v>31.25</v>
      </c>
    </row>
    <row r="5991" spans="11:13" x14ac:dyDescent="0.25">
      <c r="K5991" s="26" t="s">
        <v>112</v>
      </c>
      <c r="L5991" s="27" t="s">
        <v>119</v>
      </c>
      <c r="M5991" s="10">
        <v>102.73808976891625</v>
      </c>
    </row>
    <row r="5992" spans="11:13" x14ac:dyDescent="0.25">
      <c r="K5992" s="26" t="s">
        <v>111</v>
      </c>
      <c r="L5992" s="27" t="s">
        <v>115</v>
      </c>
      <c r="M5992" s="10">
        <v>110.22927689594357</v>
      </c>
    </row>
    <row r="5993" spans="11:13" x14ac:dyDescent="0.25">
      <c r="K5993" s="26" t="s">
        <v>111</v>
      </c>
      <c r="L5993" s="27" t="s">
        <v>116</v>
      </c>
      <c r="M5993" s="10">
        <v>88.183421516754848</v>
      </c>
    </row>
    <row r="5994" spans="11:13" x14ac:dyDescent="0.25">
      <c r="K5994" s="26" t="s">
        <v>111</v>
      </c>
      <c r="L5994" s="27" t="s">
        <v>117</v>
      </c>
      <c r="M5994" s="10">
        <v>88.183421516754848</v>
      </c>
    </row>
    <row r="5995" spans="11:13" x14ac:dyDescent="0.25">
      <c r="K5995" s="26" t="s">
        <v>109</v>
      </c>
      <c r="L5995" s="27" t="s">
        <v>118</v>
      </c>
      <c r="M5995" s="10">
        <v>88.183421516754848</v>
      </c>
    </row>
    <row r="5996" spans="11:13" x14ac:dyDescent="0.25">
      <c r="K5996" s="26" t="s">
        <v>111</v>
      </c>
      <c r="L5996" s="27" t="s">
        <v>119</v>
      </c>
      <c r="M5996" s="10">
        <v>26.785714285714285</v>
      </c>
    </row>
    <row r="5997" spans="11:13" x14ac:dyDescent="0.25">
      <c r="K5997" s="26" t="s">
        <v>111</v>
      </c>
      <c r="L5997" s="27" t="s">
        <v>115</v>
      </c>
      <c r="M5997" s="10">
        <v>88.183421516754848</v>
      </c>
    </row>
    <row r="5998" spans="11:13" x14ac:dyDescent="0.25">
      <c r="K5998" s="26" t="s">
        <v>110</v>
      </c>
      <c r="L5998" s="27" t="s">
        <v>116</v>
      </c>
      <c r="M5998" s="10">
        <v>88.183421516754848</v>
      </c>
    </row>
    <row r="5999" spans="11:13" x14ac:dyDescent="0.25">
      <c r="K5999" s="26" t="s">
        <v>110</v>
      </c>
      <c r="L5999" s="27" t="s">
        <v>117</v>
      </c>
      <c r="M5999" s="10">
        <v>88.183421516754848</v>
      </c>
    </row>
    <row r="6000" spans="11:13" x14ac:dyDescent="0.25">
      <c r="K6000" s="26" t="s">
        <v>110</v>
      </c>
      <c r="L6000" s="27" t="s">
        <v>118</v>
      </c>
      <c r="M6000" s="10">
        <v>88.183421516754848</v>
      </c>
    </row>
    <row r="6001" spans="11:13" x14ac:dyDescent="0.25">
      <c r="K6001" s="26" t="s">
        <v>110</v>
      </c>
      <c r="L6001" s="27" t="s">
        <v>119</v>
      </c>
      <c r="M6001" s="10">
        <v>88.183421516754848</v>
      </c>
    </row>
    <row r="6002" spans="11:13" x14ac:dyDescent="0.25">
      <c r="K6002" s="26" t="s">
        <v>110</v>
      </c>
      <c r="L6002" s="27" t="s">
        <v>115</v>
      </c>
      <c r="M6002" s="10">
        <v>88.183421516754848</v>
      </c>
    </row>
    <row r="6003" spans="11:13" x14ac:dyDescent="0.25">
      <c r="K6003" s="26" t="s">
        <v>109</v>
      </c>
      <c r="L6003" s="27" t="s">
        <v>116</v>
      </c>
      <c r="M6003" s="10">
        <v>88.183421516754848</v>
      </c>
    </row>
    <row r="6004" spans="11:13" x14ac:dyDescent="0.25">
      <c r="K6004" s="26" t="s">
        <v>109</v>
      </c>
      <c r="L6004" s="27" t="s">
        <v>117</v>
      </c>
      <c r="M6004" s="10">
        <v>44.091710758377424</v>
      </c>
    </row>
    <row r="6005" spans="11:13" x14ac:dyDescent="0.25">
      <c r="K6005" s="26" t="s">
        <v>111</v>
      </c>
      <c r="L6005" s="27" t="s">
        <v>118</v>
      </c>
      <c r="M6005" s="10">
        <v>462.10720887245844</v>
      </c>
    </row>
    <row r="6006" spans="11:13" x14ac:dyDescent="0.25">
      <c r="K6006" s="26" t="s">
        <v>109</v>
      </c>
      <c r="L6006" s="27" t="s">
        <v>119</v>
      </c>
      <c r="M6006" s="10">
        <v>172.35436056532231</v>
      </c>
    </row>
    <row r="6007" spans="11:13" x14ac:dyDescent="0.25">
      <c r="K6007" s="26" t="s">
        <v>109</v>
      </c>
      <c r="L6007" s="27" t="s">
        <v>115</v>
      </c>
      <c r="M6007" s="10">
        <v>90</v>
      </c>
    </row>
    <row r="6008" spans="11:13" x14ac:dyDescent="0.25">
      <c r="K6008" s="26" t="s">
        <v>113</v>
      </c>
      <c r="L6008" s="27" t="s">
        <v>116</v>
      </c>
      <c r="M6008" s="10">
        <v>40.121970791205264</v>
      </c>
    </row>
    <row r="6009" spans="11:13" x14ac:dyDescent="0.25">
      <c r="K6009" s="26" t="s">
        <v>110</v>
      </c>
      <c r="L6009" s="27" t="s">
        <v>117</v>
      </c>
      <c r="M6009" s="10">
        <v>66.137566137566139</v>
      </c>
    </row>
    <row r="6010" spans="11:13" x14ac:dyDescent="0.25">
      <c r="K6010" s="26" t="s">
        <v>111</v>
      </c>
      <c r="L6010" s="27" t="s">
        <v>118</v>
      </c>
      <c r="M6010" s="10">
        <v>66.137566137566139</v>
      </c>
    </row>
    <row r="6011" spans="11:13" x14ac:dyDescent="0.25">
      <c r="K6011" s="26" t="s">
        <v>111</v>
      </c>
      <c r="L6011" s="27" t="s">
        <v>119</v>
      </c>
      <c r="M6011" s="10">
        <v>88.183421516754848</v>
      </c>
    </row>
    <row r="6012" spans="11:13" x14ac:dyDescent="0.25">
      <c r="K6012" s="26" t="s">
        <v>111</v>
      </c>
      <c r="L6012" s="27" t="s">
        <v>115</v>
      </c>
      <c r="M6012" s="10">
        <v>661.37566137566137</v>
      </c>
    </row>
    <row r="6013" spans="11:13" x14ac:dyDescent="0.25">
      <c r="K6013" s="26" t="s">
        <v>111</v>
      </c>
      <c r="L6013" s="27" t="s">
        <v>116</v>
      </c>
      <c r="M6013" s="10">
        <v>163.38</v>
      </c>
    </row>
    <row r="6014" spans="11:13" x14ac:dyDescent="0.25">
      <c r="K6014" s="26" t="s">
        <v>113</v>
      </c>
      <c r="L6014" s="27" t="s">
        <v>117</v>
      </c>
      <c r="M6014" s="10">
        <v>40.121970791205264</v>
      </c>
    </row>
    <row r="6015" spans="11:13" x14ac:dyDescent="0.25">
      <c r="K6015" s="26" t="s">
        <v>113</v>
      </c>
      <c r="L6015" s="27" t="s">
        <v>118</v>
      </c>
      <c r="M6015" s="10">
        <v>32.412284255732921</v>
      </c>
    </row>
    <row r="6016" spans="11:13" x14ac:dyDescent="0.25">
      <c r="K6016" s="26" t="s">
        <v>113</v>
      </c>
      <c r="L6016" s="27" t="s">
        <v>119</v>
      </c>
      <c r="M6016" s="10">
        <v>84.718839351900883</v>
      </c>
    </row>
    <row r="6017" spans="11:13" x14ac:dyDescent="0.25">
      <c r="K6017" s="26" t="s">
        <v>113</v>
      </c>
      <c r="L6017" s="27" t="s">
        <v>115</v>
      </c>
      <c r="M6017" s="10">
        <v>20.106240834283852</v>
      </c>
    </row>
    <row r="6018" spans="11:13" x14ac:dyDescent="0.25">
      <c r="K6018" s="26" t="s">
        <v>110</v>
      </c>
      <c r="L6018" s="27" t="s">
        <v>116</v>
      </c>
      <c r="M6018" s="10">
        <v>33.887861983980287</v>
      </c>
    </row>
    <row r="6019" spans="11:13" x14ac:dyDescent="0.25">
      <c r="K6019" s="26" t="s">
        <v>113</v>
      </c>
      <c r="L6019" s="27" t="s">
        <v>117</v>
      </c>
      <c r="M6019" s="10">
        <v>80</v>
      </c>
    </row>
    <row r="6020" spans="11:13" x14ac:dyDescent="0.25">
      <c r="K6020" s="26" t="s">
        <v>113</v>
      </c>
      <c r="L6020" s="27" t="s">
        <v>118</v>
      </c>
      <c r="M6020" s="10">
        <v>95</v>
      </c>
    </row>
    <row r="6021" spans="11:13" x14ac:dyDescent="0.25">
      <c r="K6021" s="26" t="s">
        <v>111</v>
      </c>
      <c r="L6021" s="27" t="s">
        <v>119</v>
      </c>
      <c r="M6021" s="10">
        <v>155.69619093848172</v>
      </c>
    </row>
    <row r="6022" spans="11:13" x14ac:dyDescent="0.25">
      <c r="K6022" s="26" t="s">
        <v>111</v>
      </c>
      <c r="L6022" s="27" t="s">
        <v>115</v>
      </c>
      <c r="M6022" s="10">
        <v>84.411583487369072</v>
      </c>
    </row>
    <row r="6023" spans="11:13" x14ac:dyDescent="0.25">
      <c r="K6023" s="26" t="s">
        <v>114</v>
      </c>
      <c r="L6023" s="27" t="s">
        <v>116</v>
      </c>
      <c r="M6023" s="10">
        <v>256.96041524803104</v>
      </c>
    </row>
    <row r="6024" spans="11:13" x14ac:dyDescent="0.25">
      <c r="K6024" s="26" t="s">
        <v>111</v>
      </c>
      <c r="L6024" s="27" t="s">
        <v>117</v>
      </c>
      <c r="M6024" s="10">
        <v>195.868430335097</v>
      </c>
    </row>
    <row r="6025" spans="11:13" x14ac:dyDescent="0.25">
      <c r="K6025" s="26" t="s">
        <v>111</v>
      </c>
      <c r="L6025" s="27" t="s">
        <v>118</v>
      </c>
      <c r="M6025" s="10">
        <v>22.045855379188712</v>
      </c>
    </row>
    <row r="6026" spans="11:13" x14ac:dyDescent="0.25">
      <c r="K6026" s="26" t="s">
        <v>111</v>
      </c>
      <c r="L6026" s="27" t="s">
        <v>119</v>
      </c>
      <c r="M6026" s="10">
        <v>37.47795414462081</v>
      </c>
    </row>
    <row r="6027" spans="11:13" x14ac:dyDescent="0.25">
      <c r="K6027" s="26" t="s">
        <v>111</v>
      </c>
      <c r="L6027" s="27" t="s">
        <v>115</v>
      </c>
      <c r="M6027" s="10">
        <v>55.114638447971785</v>
      </c>
    </row>
    <row r="6028" spans="11:13" x14ac:dyDescent="0.25">
      <c r="K6028" s="26" t="s">
        <v>113</v>
      </c>
      <c r="L6028" s="27" t="s">
        <v>116</v>
      </c>
      <c r="M6028" s="10">
        <v>14.329805996472663</v>
      </c>
    </row>
    <row r="6029" spans="11:13" x14ac:dyDescent="0.25">
      <c r="K6029" s="26" t="s">
        <v>113</v>
      </c>
      <c r="L6029" s="27" t="s">
        <v>117</v>
      </c>
      <c r="M6029" s="10">
        <v>7.7017868145409736</v>
      </c>
    </row>
    <row r="6030" spans="11:13" x14ac:dyDescent="0.25">
      <c r="K6030" s="26" t="s">
        <v>113</v>
      </c>
      <c r="L6030" s="27" t="s">
        <v>118</v>
      </c>
      <c r="M6030" s="10">
        <v>46.210720887245841</v>
      </c>
    </row>
    <row r="6031" spans="11:13" x14ac:dyDescent="0.25">
      <c r="K6031" s="26" t="s">
        <v>113</v>
      </c>
      <c r="L6031" s="27" t="s">
        <v>119</v>
      </c>
      <c r="M6031" s="10">
        <v>30.807147258163894</v>
      </c>
    </row>
    <row r="6032" spans="11:13" x14ac:dyDescent="0.25">
      <c r="K6032" s="26" t="s">
        <v>113</v>
      </c>
      <c r="L6032" s="27" t="s">
        <v>115</v>
      </c>
      <c r="M6032" s="10">
        <v>123.22858903265558</v>
      </c>
    </row>
    <row r="6033" spans="11:13" x14ac:dyDescent="0.25">
      <c r="K6033" s="26" t="s">
        <v>109</v>
      </c>
      <c r="L6033" s="27" t="s">
        <v>116</v>
      </c>
      <c r="M6033" s="10">
        <v>77.017868145409736</v>
      </c>
    </row>
    <row r="6034" spans="11:13" x14ac:dyDescent="0.25">
      <c r="K6034" s="26" t="s">
        <v>109</v>
      </c>
      <c r="L6034" s="27" t="s">
        <v>117</v>
      </c>
      <c r="M6034" s="10">
        <v>38.508934072704868</v>
      </c>
    </row>
    <row r="6035" spans="11:13" x14ac:dyDescent="0.25">
      <c r="K6035" s="26" t="s">
        <v>110</v>
      </c>
      <c r="L6035" s="27" t="s">
        <v>118</v>
      </c>
      <c r="M6035" s="10">
        <v>42.359419675950441</v>
      </c>
    </row>
    <row r="6036" spans="11:13" x14ac:dyDescent="0.25">
      <c r="K6036" s="26" t="s">
        <v>113</v>
      </c>
      <c r="L6036" s="27" t="s">
        <v>119</v>
      </c>
      <c r="M6036" s="10">
        <v>19.799911731664263</v>
      </c>
    </row>
    <row r="6037" spans="11:13" x14ac:dyDescent="0.25">
      <c r="K6037" s="26" t="s">
        <v>113</v>
      </c>
      <c r="L6037" s="27" t="s">
        <v>115</v>
      </c>
      <c r="M6037" s="10">
        <v>94.841269841269835</v>
      </c>
    </row>
    <row r="6038" spans="11:13" x14ac:dyDescent="0.25">
      <c r="K6038" s="26" t="s">
        <v>111</v>
      </c>
      <c r="L6038" s="27" t="s">
        <v>116</v>
      </c>
      <c r="M6038" s="10">
        <v>51.392083049606214</v>
      </c>
    </row>
    <row r="6039" spans="11:13" x14ac:dyDescent="0.25">
      <c r="K6039" s="26" t="s">
        <v>111</v>
      </c>
      <c r="L6039" s="27" t="s">
        <v>117</v>
      </c>
      <c r="M6039" s="10">
        <v>66.137566137566139</v>
      </c>
    </row>
    <row r="6040" spans="11:13" x14ac:dyDescent="0.25">
      <c r="K6040" s="26" t="s">
        <v>111</v>
      </c>
      <c r="L6040" s="27" t="s">
        <v>118</v>
      </c>
      <c r="M6040" s="10">
        <v>66.137566137566139</v>
      </c>
    </row>
    <row r="6041" spans="11:13" x14ac:dyDescent="0.25">
      <c r="K6041" s="26" t="s">
        <v>112</v>
      </c>
      <c r="L6041" s="27" t="s">
        <v>119</v>
      </c>
      <c r="M6041" s="10">
        <v>172.35436056532231</v>
      </c>
    </row>
    <row r="6042" spans="11:13" x14ac:dyDescent="0.25">
      <c r="K6042" s="26" t="s">
        <v>112</v>
      </c>
      <c r="L6042" s="27" t="s">
        <v>115</v>
      </c>
      <c r="M6042" s="10">
        <v>31.572388831437433</v>
      </c>
    </row>
    <row r="6043" spans="11:13" x14ac:dyDescent="0.25">
      <c r="K6043" s="26" t="s">
        <v>111</v>
      </c>
      <c r="L6043" s="27" t="s">
        <v>116</v>
      </c>
      <c r="M6043" s="10">
        <v>68.941744226128904</v>
      </c>
    </row>
    <row r="6044" spans="11:13" x14ac:dyDescent="0.25">
      <c r="K6044" s="26" t="s">
        <v>111</v>
      </c>
      <c r="L6044" s="27" t="s">
        <v>117</v>
      </c>
      <c r="M6044" s="10">
        <v>172.35436056532231</v>
      </c>
    </row>
    <row r="6045" spans="11:13" x14ac:dyDescent="0.25">
      <c r="K6045" s="26" t="s">
        <v>113</v>
      </c>
      <c r="L6045" s="27" t="s">
        <v>118</v>
      </c>
      <c r="M6045" s="10">
        <v>68.941744226128904</v>
      </c>
    </row>
    <row r="6046" spans="11:13" x14ac:dyDescent="0.25">
      <c r="K6046" s="26" t="s">
        <v>109</v>
      </c>
      <c r="L6046" s="27" t="s">
        <v>119</v>
      </c>
      <c r="M6046" s="10">
        <v>66.137566137566139</v>
      </c>
    </row>
    <row r="6047" spans="11:13" x14ac:dyDescent="0.25">
      <c r="K6047" s="26" t="s">
        <v>113</v>
      </c>
      <c r="L6047" s="27" t="s">
        <v>115</v>
      </c>
      <c r="M6047" s="10">
        <v>66.137566137566139</v>
      </c>
    </row>
    <row r="6048" spans="11:13" x14ac:dyDescent="0.25">
      <c r="K6048" s="26" t="s">
        <v>113</v>
      </c>
      <c r="L6048" s="27" t="s">
        <v>116</v>
      </c>
      <c r="M6048" s="10">
        <v>66.137566137566139</v>
      </c>
    </row>
    <row r="6049" spans="11:13" x14ac:dyDescent="0.25">
      <c r="K6049" s="26" t="s">
        <v>111</v>
      </c>
      <c r="L6049" s="27" t="s">
        <v>117</v>
      </c>
      <c r="M6049" s="10">
        <v>100</v>
      </c>
    </row>
    <row r="6050" spans="11:13" x14ac:dyDescent="0.25">
      <c r="K6050" s="26" t="s">
        <v>111</v>
      </c>
      <c r="L6050" s="27" t="s">
        <v>118</v>
      </c>
      <c r="M6050" s="10">
        <v>88.183421516754848</v>
      </c>
    </row>
    <row r="6051" spans="11:13" x14ac:dyDescent="0.25">
      <c r="K6051" s="26" t="s">
        <v>111</v>
      </c>
      <c r="L6051" s="27" t="s">
        <v>119</v>
      </c>
      <c r="M6051" s="10">
        <v>66.137566137566139</v>
      </c>
    </row>
    <row r="6052" spans="11:13" x14ac:dyDescent="0.25">
      <c r="K6052" s="26" t="s">
        <v>111</v>
      </c>
      <c r="L6052" s="27" t="s">
        <v>115</v>
      </c>
      <c r="M6052" s="10">
        <v>100</v>
      </c>
    </row>
    <row r="6053" spans="11:13" x14ac:dyDescent="0.25">
      <c r="K6053" s="26" t="s">
        <v>111</v>
      </c>
      <c r="L6053" s="27" t="s">
        <v>116</v>
      </c>
      <c r="M6053" s="10">
        <v>529.49274594938049</v>
      </c>
    </row>
    <row r="6054" spans="11:13" x14ac:dyDescent="0.25">
      <c r="K6054" s="26" t="s">
        <v>111</v>
      </c>
      <c r="L6054" s="27" t="s">
        <v>117</v>
      </c>
      <c r="M6054" s="10">
        <v>210</v>
      </c>
    </row>
    <row r="6055" spans="11:13" x14ac:dyDescent="0.25">
      <c r="K6055" s="26" t="s">
        <v>111</v>
      </c>
      <c r="L6055" s="27" t="s">
        <v>118</v>
      </c>
      <c r="M6055" s="10">
        <v>100</v>
      </c>
    </row>
    <row r="6056" spans="11:13" x14ac:dyDescent="0.25">
      <c r="K6056" s="26" t="s">
        <v>110</v>
      </c>
      <c r="L6056" s="27" t="s">
        <v>119</v>
      </c>
      <c r="M6056" s="10">
        <v>22.896498667423781</v>
      </c>
    </row>
    <row r="6057" spans="11:13" x14ac:dyDescent="0.25">
      <c r="K6057" s="26" t="s">
        <v>113</v>
      </c>
      <c r="L6057" s="27" t="s">
        <v>115</v>
      </c>
      <c r="M6057" s="10">
        <v>41.213697601362803</v>
      </c>
    </row>
    <row r="6058" spans="11:13" x14ac:dyDescent="0.25">
      <c r="K6058" s="26" t="s">
        <v>113</v>
      </c>
      <c r="L6058" s="27" t="s">
        <v>116</v>
      </c>
      <c r="M6058" s="10">
        <v>39.3819777079689</v>
      </c>
    </row>
    <row r="6059" spans="11:13" x14ac:dyDescent="0.25">
      <c r="K6059" s="26" t="s">
        <v>112</v>
      </c>
      <c r="L6059" s="27" t="s">
        <v>117</v>
      </c>
      <c r="M6059" s="10">
        <v>263.23236178655804</v>
      </c>
    </row>
    <row r="6060" spans="11:13" x14ac:dyDescent="0.25">
      <c r="K6060" s="26" t="s">
        <v>112</v>
      </c>
      <c r="L6060" s="27" t="s">
        <v>118</v>
      </c>
      <c r="M6060" s="10">
        <v>1102.2927689594355</v>
      </c>
    </row>
    <row r="6061" spans="11:13" x14ac:dyDescent="0.25">
      <c r="K6061" s="26" t="s">
        <v>109</v>
      </c>
      <c r="L6061" s="27" t="s">
        <v>119</v>
      </c>
      <c r="M6061" s="10">
        <v>33.06878306878307</v>
      </c>
    </row>
    <row r="6062" spans="11:13" x14ac:dyDescent="0.25">
      <c r="K6062" s="26" t="s">
        <v>112</v>
      </c>
      <c r="L6062" s="27" t="s">
        <v>115</v>
      </c>
      <c r="M6062" s="10">
        <v>45.792997334847563</v>
      </c>
    </row>
    <row r="6063" spans="11:13" x14ac:dyDescent="0.25">
      <c r="K6063" s="26" t="s">
        <v>112</v>
      </c>
      <c r="L6063" s="27" t="s">
        <v>116</v>
      </c>
      <c r="M6063" s="10">
        <v>26.956253850893408</v>
      </c>
    </row>
    <row r="6064" spans="11:13" x14ac:dyDescent="0.25">
      <c r="K6064" s="26" t="s">
        <v>111</v>
      </c>
      <c r="L6064" s="27" t="s">
        <v>117</v>
      </c>
      <c r="M6064" s="10">
        <v>32.34750462107209</v>
      </c>
    </row>
    <row r="6065" spans="11:13" x14ac:dyDescent="0.25">
      <c r="K6065" s="26" t="s">
        <v>111</v>
      </c>
      <c r="L6065" s="27" t="s">
        <v>118</v>
      </c>
      <c r="M6065" s="10">
        <v>140.17252002464573</v>
      </c>
    </row>
    <row r="6066" spans="11:13" x14ac:dyDescent="0.25">
      <c r="K6066" s="26" t="s">
        <v>111</v>
      </c>
      <c r="L6066" s="27" t="s">
        <v>119</v>
      </c>
      <c r="M6066" s="10">
        <v>140.17252002464573</v>
      </c>
    </row>
    <row r="6067" spans="11:13" x14ac:dyDescent="0.25">
      <c r="K6067" s="26" t="s">
        <v>113</v>
      </c>
      <c r="L6067" s="27" t="s">
        <v>115</v>
      </c>
      <c r="M6067" s="10">
        <v>24.645717806531117</v>
      </c>
    </row>
    <row r="6068" spans="11:13" x14ac:dyDescent="0.25">
      <c r="K6068" s="26" t="s">
        <v>111</v>
      </c>
      <c r="L6068" s="27" t="s">
        <v>116</v>
      </c>
      <c r="M6068" s="10">
        <v>24.645717806531117</v>
      </c>
    </row>
    <row r="6069" spans="11:13" x14ac:dyDescent="0.25">
      <c r="K6069" s="26" t="s">
        <v>111</v>
      </c>
      <c r="L6069" s="27" t="s">
        <v>117</v>
      </c>
      <c r="M6069" s="10">
        <v>24.645717806531117</v>
      </c>
    </row>
    <row r="6070" spans="11:13" x14ac:dyDescent="0.25">
      <c r="K6070" s="26" t="s">
        <v>111</v>
      </c>
      <c r="L6070" s="27" t="s">
        <v>118</v>
      </c>
      <c r="M6070" s="10">
        <v>49.291435613062234</v>
      </c>
    </row>
    <row r="6071" spans="11:13" x14ac:dyDescent="0.25">
      <c r="K6071" s="26" t="s">
        <v>111</v>
      </c>
      <c r="L6071" s="27" t="s">
        <v>119</v>
      </c>
      <c r="M6071" s="10">
        <v>24.645717806531117</v>
      </c>
    </row>
    <row r="6072" spans="11:13" x14ac:dyDescent="0.25">
      <c r="K6072" s="26" t="s">
        <v>111</v>
      </c>
      <c r="L6072" s="27" t="s">
        <v>115</v>
      </c>
      <c r="M6072" s="10">
        <v>24.645717806531117</v>
      </c>
    </row>
    <row r="6073" spans="11:13" x14ac:dyDescent="0.25">
      <c r="K6073" s="26" t="s">
        <v>111</v>
      </c>
      <c r="L6073" s="27" t="s">
        <v>116</v>
      </c>
      <c r="M6073" s="10">
        <v>66.235366605052377</v>
      </c>
    </row>
    <row r="6074" spans="11:13" x14ac:dyDescent="0.25">
      <c r="K6074" s="26" t="s">
        <v>111</v>
      </c>
      <c r="L6074" s="27" t="s">
        <v>117</v>
      </c>
      <c r="M6074" s="10">
        <v>66.235366605052377</v>
      </c>
    </row>
    <row r="6075" spans="11:13" x14ac:dyDescent="0.25">
      <c r="K6075" s="26" t="s">
        <v>111</v>
      </c>
      <c r="L6075" s="27" t="s">
        <v>118</v>
      </c>
      <c r="M6075" s="10">
        <v>46.210720887245841</v>
      </c>
    </row>
    <row r="6076" spans="11:13" x14ac:dyDescent="0.25">
      <c r="K6076" s="26" t="s">
        <v>111</v>
      </c>
      <c r="L6076" s="27" t="s">
        <v>119</v>
      </c>
      <c r="M6076" s="10">
        <v>30.807147258163894</v>
      </c>
    </row>
    <row r="6077" spans="11:13" x14ac:dyDescent="0.25">
      <c r="K6077" s="26" t="s">
        <v>111</v>
      </c>
      <c r="L6077" s="27" t="s">
        <v>115</v>
      </c>
      <c r="M6077" s="10">
        <v>95</v>
      </c>
    </row>
    <row r="6078" spans="11:13" x14ac:dyDescent="0.25">
      <c r="K6078" s="26" t="s">
        <v>111</v>
      </c>
      <c r="L6078" s="27" t="s">
        <v>116</v>
      </c>
      <c r="M6078" s="10">
        <v>66.235366605052377</v>
      </c>
    </row>
    <row r="6079" spans="11:13" x14ac:dyDescent="0.25">
      <c r="K6079" s="26" t="s">
        <v>111</v>
      </c>
      <c r="L6079" s="27" t="s">
        <v>117</v>
      </c>
      <c r="M6079" s="10">
        <v>66.235366605052377</v>
      </c>
    </row>
    <row r="6080" spans="11:13" x14ac:dyDescent="0.25">
      <c r="K6080" s="26" t="s">
        <v>111</v>
      </c>
      <c r="L6080" s="27" t="s">
        <v>118</v>
      </c>
      <c r="M6080" s="10">
        <v>49.291435613062234</v>
      </c>
    </row>
    <row r="6081" spans="11:13" x14ac:dyDescent="0.25">
      <c r="K6081" s="26" t="s">
        <v>111</v>
      </c>
      <c r="L6081" s="27" t="s">
        <v>119</v>
      </c>
      <c r="M6081" s="10">
        <v>66.235366605052377</v>
      </c>
    </row>
    <row r="6082" spans="11:13" x14ac:dyDescent="0.25">
      <c r="K6082" s="26" t="s">
        <v>111</v>
      </c>
      <c r="L6082" s="27" t="s">
        <v>115</v>
      </c>
      <c r="M6082" s="10">
        <v>66.235366605052377</v>
      </c>
    </row>
    <row r="6083" spans="11:13" x14ac:dyDescent="0.25">
      <c r="K6083" s="26" t="s">
        <v>111</v>
      </c>
      <c r="L6083" s="27" t="s">
        <v>116</v>
      </c>
      <c r="M6083" s="10">
        <v>215.65003080714726</v>
      </c>
    </row>
    <row r="6084" spans="11:13" x14ac:dyDescent="0.25">
      <c r="K6084" s="26" t="s">
        <v>114</v>
      </c>
      <c r="L6084" s="27" t="s">
        <v>117</v>
      </c>
      <c r="M6084" s="10">
        <v>66.235366605052377</v>
      </c>
    </row>
    <row r="6085" spans="11:13" x14ac:dyDescent="0.25">
      <c r="K6085" s="26" t="s">
        <v>111</v>
      </c>
      <c r="L6085" s="27" t="s">
        <v>118</v>
      </c>
      <c r="M6085" s="10">
        <v>30.807147258163894</v>
      </c>
    </row>
    <row r="6086" spans="11:13" x14ac:dyDescent="0.25">
      <c r="K6086" s="26" t="s">
        <v>111</v>
      </c>
      <c r="L6086" s="27" t="s">
        <v>119</v>
      </c>
      <c r="M6086" s="10">
        <v>369.68576709796673</v>
      </c>
    </row>
    <row r="6087" spans="11:13" x14ac:dyDescent="0.25">
      <c r="K6087" s="26" t="s">
        <v>111</v>
      </c>
      <c r="L6087" s="27" t="s">
        <v>115</v>
      </c>
      <c r="M6087" s="10">
        <v>24</v>
      </c>
    </row>
    <row r="6088" spans="11:13" x14ac:dyDescent="0.25">
      <c r="K6088" s="26" t="s">
        <v>109</v>
      </c>
      <c r="L6088" s="27" t="s">
        <v>116</v>
      </c>
      <c r="M6088" s="10">
        <v>231.41333774250441</v>
      </c>
    </row>
    <row r="6089" spans="11:13" x14ac:dyDescent="0.25">
      <c r="K6089" s="26" t="s">
        <v>112</v>
      </c>
      <c r="L6089" s="27" t="s">
        <v>117</v>
      </c>
      <c r="M6089" s="10">
        <v>110.22927689594357</v>
      </c>
    </row>
    <row r="6090" spans="11:13" x14ac:dyDescent="0.25">
      <c r="K6090" s="26" t="s">
        <v>112</v>
      </c>
      <c r="L6090" s="27" t="s">
        <v>118</v>
      </c>
      <c r="M6090" s="10">
        <v>88.183421516754848</v>
      </c>
    </row>
    <row r="6091" spans="11:13" x14ac:dyDescent="0.25">
      <c r="K6091" s="26" t="s">
        <v>111</v>
      </c>
      <c r="L6091" s="27" t="s">
        <v>119</v>
      </c>
      <c r="M6091" s="10">
        <v>16.534391534391535</v>
      </c>
    </row>
    <row r="6092" spans="11:13" x14ac:dyDescent="0.25">
      <c r="K6092" s="26" t="s">
        <v>111</v>
      </c>
      <c r="L6092" s="27" t="s">
        <v>115</v>
      </c>
      <c r="M6092" s="10">
        <v>66.137566137566139</v>
      </c>
    </row>
    <row r="6093" spans="11:13" x14ac:dyDescent="0.25">
      <c r="K6093" s="26" t="s">
        <v>111</v>
      </c>
      <c r="L6093" s="27" t="s">
        <v>116</v>
      </c>
      <c r="M6093" s="10">
        <v>10.341261633919338</v>
      </c>
    </row>
    <row r="6094" spans="11:13" x14ac:dyDescent="0.25">
      <c r="K6094" s="26" t="s">
        <v>111</v>
      </c>
      <c r="L6094" s="27" t="s">
        <v>117</v>
      </c>
      <c r="M6094" s="10">
        <v>15.888300433317285</v>
      </c>
    </row>
    <row r="6095" spans="11:13" x14ac:dyDescent="0.25">
      <c r="K6095" s="26" t="s">
        <v>109</v>
      </c>
      <c r="L6095" s="27" t="s">
        <v>118</v>
      </c>
      <c r="M6095" s="10">
        <v>31.776600866634571</v>
      </c>
    </row>
    <row r="6096" spans="11:13" x14ac:dyDescent="0.25">
      <c r="K6096" s="26" t="s">
        <v>109</v>
      </c>
      <c r="L6096" s="27" t="s">
        <v>119</v>
      </c>
      <c r="M6096" s="10">
        <v>462.10720887245844</v>
      </c>
    </row>
    <row r="6097" spans="11:13" x14ac:dyDescent="0.25">
      <c r="K6097" s="26" t="s">
        <v>109</v>
      </c>
      <c r="L6097" s="27" t="s">
        <v>115</v>
      </c>
      <c r="M6097" s="10">
        <v>69.316081330868769</v>
      </c>
    </row>
    <row r="6098" spans="11:13" x14ac:dyDescent="0.25">
      <c r="K6098" s="26" t="s">
        <v>111</v>
      </c>
      <c r="L6098" s="27" t="s">
        <v>116</v>
      </c>
      <c r="M6098" s="10">
        <v>24.645717806531117</v>
      </c>
    </row>
    <row r="6099" spans="11:13" x14ac:dyDescent="0.25">
      <c r="K6099" s="26" t="s">
        <v>111</v>
      </c>
      <c r="L6099" s="27" t="s">
        <v>117</v>
      </c>
      <c r="M6099" s="10">
        <v>431.30006161429452</v>
      </c>
    </row>
    <row r="6100" spans="11:13" x14ac:dyDescent="0.25">
      <c r="K6100" s="26" t="s">
        <v>111</v>
      </c>
      <c r="L6100" s="27" t="s">
        <v>118</v>
      </c>
      <c r="M6100" s="10">
        <v>154.03573629081947</v>
      </c>
    </row>
    <row r="6101" spans="11:13" x14ac:dyDescent="0.25">
      <c r="K6101" s="26" t="s">
        <v>109</v>
      </c>
      <c r="L6101" s="27" t="s">
        <v>119</v>
      </c>
      <c r="M6101" s="10">
        <v>50.83179297597043</v>
      </c>
    </row>
    <row r="6102" spans="11:13" x14ac:dyDescent="0.25">
      <c r="K6102" s="26" t="s">
        <v>109</v>
      </c>
      <c r="L6102" s="27" t="s">
        <v>115</v>
      </c>
      <c r="M6102" s="10">
        <v>66.137566137566139</v>
      </c>
    </row>
    <row r="6103" spans="11:13" x14ac:dyDescent="0.25">
      <c r="K6103" s="26" t="s">
        <v>112</v>
      </c>
      <c r="L6103" s="27" t="s">
        <v>116</v>
      </c>
      <c r="M6103" s="10">
        <v>66.137566137566139</v>
      </c>
    </row>
    <row r="6104" spans="11:13" x14ac:dyDescent="0.25">
      <c r="K6104" s="26" t="s">
        <v>110</v>
      </c>
      <c r="L6104" s="27" t="s">
        <v>117</v>
      </c>
      <c r="M6104" s="10">
        <v>66.137566137566139</v>
      </c>
    </row>
    <row r="6105" spans="11:13" x14ac:dyDescent="0.25">
      <c r="K6105" s="26" t="s">
        <v>109</v>
      </c>
      <c r="L6105" s="27" t="s">
        <v>118</v>
      </c>
      <c r="M6105" s="10">
        <v>172.35436056532231</v>
      </c>
    </row>
    <row r="6106" spans="11:13" x14ac:dyDescent="0.25">
      <c r="K6106" s="26" t="s">
        <v>109</v>
      </c>
      <c r="L6106" s="27" t="s">
        <v>119</v>
      </c>
      <c r="M6106" s="10">
        <v>50.061614294516332</v>
      </c>
    </row>
    <row r="6107" spans="11:13" x14ac:dyDescent="0.25">
      <c r="K6107" s="26" t="s">
        <v>111</v>
      </c>
      <c r="L6107" s="27" t="s">
        <v>115</v>
      </c>
      <c r="M6107" s="10">
        <v>44.091710758377424</v>
      </c>
    </row>
    <row r="6108" spans="11:13" x14ac:dyDescent="0.25">
      <c r="K6108" s="26" t="s">
        <v>111</v>
      </c>
      <c r="L6108" s="27" t="s">
        <v>116</v>
      </c>
      <c r="M6108" s="10">
        <v>14.329805996472663</v>
      </c>
    </row>
    <row r="6109" spans="11:13" x14ac:dyDescent="0.25">
      <c r="K6109" s="26" t="s">
        <v>111</v>
      </c>
      <c r="L6109" s="27" t="s">
        <v>117</v>
      </c>
      <c r="M6109" s="10">
        <v>22.045855379188712</v>
      </c>
    </row>
    <row r="6110" spans="11:13" x14ac:dyDescent="0.25">
      <c r="K6110" s="26" t="s">
        <v>110</v>
      </c>
      <c r="L6110" s="27" t="s">
        <v>118</v>
      </c>
      <c r="M6110" s="10">
        <v>66.137566137566139</v>
      </c>
    </row>
    <row r="6111" spans="11:13" x14ac:dyDescent="0.25">
      <c r="K6111" s="26" t="s">
        <v>110</v>
      </c>
      <c r="L6111" s="27" t="s">
        <v>119</v>
      </c>
      <c r="M6111" s="10">
        <v>66.137566137566139</v>
      </c>
    </row>
    <row r="6112" spans="11:13" x14ac:dyDescent="0.25">
      <c r="K6112" s="26" t="s">
        <v>110</v>
      </c>
      <c r="L6112" s="27" t="s">
        <v>115</v>
      </c>
      <c r="M6112" s="10">
        <v>110.22927689594357</v>
      </c>
    </row>
    <row r="6113" spans="11:13" x14ac:dyDescent="0.25">
      <c r="K6113" s="26" t="s">
        <v>110</v>
      </c>
      <c r="L6113" s="27" t="s">
        <v>116</v>
      </c>
      <c r="M6113" s="10">
        <v>250</v>
      </c>
    </row>
    <row r="6114" spans="11:13" x14ac:dyDescent="0.25">
      <c r="K6114" s="26" t="s">
        <v>111</v>
      </c>
      <c r="L6114" s="27" t="s">
        <v>117</v>
      </c>
      <c r="M6114" s="10">
        <v>37.5</v>
      </c>
    </row>
    <row r="6115" spans="11:13" x14ac:dyDescent="0.25">
      <c r="K6115" s="26" t="s">
        <v>111</v>
      </c>
      <c r="L6115" s="27" t="s">
        <v>118</v>
      </c>
      <c r="M6115" s="10">
        <v>88.183421516754848</v>
      </c>
    </row>
    <row r="6116" spans="11:13" x14ac:dyDescent="0.25">
      <c r="K6116" s="26" t="s">
        <v>112</v>
      </c>
      <c r="L6116" s="27" t="s">
        <v>119</v>
      </c>
      <c r="M6116" s="10">
        <v>66.137566137566139</v>
      </c>
    </row>
    <row r="6117" spans="11:13" x14ac:dyDescent="0.25">
      <c r="K6117" s="26" t="s">
        <v>112</v>
      </c>
      <c r="L6117" s="27" t="s">
        <v>115</v>
      </c>
      <c r="M6117" s="10">
        <v>66.137566137566139</v>
      </c>
    </row>
    <row r="6118" spans="11:13" x14ac:dyDescent="0.25">
      <c r="K6118" s="26" t="s">
        <v>112</v>
      </c>
      <c r="L6118" s="27" t="s">
        <v>116</v>
      </c>
      <c r="M6118" s="10">
        <v>66.137566137566139</v>
      </c>
    </row>
    <row r="6119" spans="11:13" x14ac:dyDescent="0.25">
      <c r="K6119" s="26" t="s">
        <v>110</v>
      </c>
      <c r="L6119" s="27" t="s">
        <v>117</v>
      </c>
      <c r="M6119" s="10">
        <v>66.137566137566139</v>
      </c>
    </row>
    <row r="6120" spans="11:13" x14ac:dyDescent="0.25">
      <c r="K6120" s="26" t="s">
        <v>110</v>
      </c>
      <c r="L6120" s="27" t="s">
        <v>118</v>
      </c>
      <c r="M6120" s="10">
        <v>66.137566137566139</v>
      </c>
    </row>
    <row r="6121" spans="11:13" x14ac:dyDescent="0.25">
      <c r="K6121" s="26" t="s">
        <v>114</v>
      </c>
      <c r="L6121" s="27" t="s">
        <v>119</v>
      </c>
      <c r="M6121" s="10">
        <v>66.137566137566139</v>
      </c>
    </row>
    <row r="6122" spans="11:13" x14ac:dyDescent="0.25">
      <c r="K6122" s="26" t="s">
        <v>113</v>
      </c>
      <c r="L6122" s="27" t="s">
        <v>115</v>
      </c>
      <c r="M6122" s="10">
        <v>66.137566137566139</v>
      </c>
    </row>
    <row r="6123" spans="11:13" x14ac:dyDescent="0.25">
      <c r="K6123" s="26" t="s">
        <v>111</v>
      </c>
      <c r="L6123" s="27" t="s">
        <v>116</v>
      </c>
      <c r="M6123" s="10">
        <v>16.294606485253382</v>
      </c>
    </row>
    <row r="6124" spans="11:13" x14ac:dyDescent="0.25">
      <c r="K6124" s="26" t="s">
        <v>110</v>
      </c>
      <c r="L6124" s="27" t="s">
        <v>117</v>
      </c>
      <c r="M6124" s="10">
        <v>18.92543758901089</v>
      </c>
    </row>
    <row r="6125" spans="11:13" x14ac:dyDescent="0.25">
      <c r="K6125" s="26" t="s">
        <v>110</v>
      </c>
      <c r="L6125" s="27" t="s">
        <v>118</v>
      </c>
      <c r="M6125" s="10">
        <v>102.73808976891625</v>
      </c>
    </row>
    <row r="6126" spans="11:13" x14ac:dyDescent="0.25">
      <c r="K6126" s="26" t="s">
        <v>110</v>
      </c>
      <c r="L6126" s="27" t="s">
        <v>119</v>
      </c>
      <c r="M6126" s="10">
        <v>79.423911892407062</v>
      </c>
    </row>
    <row r="6127" spans="11:13" x14ac:dyDescent="0.25">
      <c r="K6127" s="26" t="s">
        <v>113</v>
      </c>
      <c r="L6127" s="27" t="s">
        <v>115</v>
      </c>
      <c r="M6127" s="10">
        <v>52.949274594938046</v>
      </c>
    </row>
    <row r="6128" spans="11:13" x14ac:dyDescent="0.25">
      <c r="K6128" s="26" t="s">
        <v>110</v>
      </c>
      <c r="L6128" s="27" t="s">
        <v>116</v>
      </c>
      <c r="M6128" s="10">
        <v>52.949274594938046</v>
      </c>
    </row>
    <row r="6129" spans="11:13" x14ac:dyDescent="0.25">
      <c r="K6129" s="26" t="s">
        <v>110</v>
      </c>
      <c r="L6129" s="27" t="s">
        <v>117</v>
      </c>
      <c r="M6129" s="10">
        <v>74.128984432913256</v>
      </c>
    </row>
    <row r="6130" spans="11:13" x14ac:dyDescent="0.25">
      <c r="K6130" s="26" t="s">
        <v>113</v>
      </c>
      <c r="L6130" s="27" t="s">
        <v>118</v>
      </c>
      <c r="M6130" s="10">
        <v>4.0515355319666151</v>
      </c>
    </row>
    <row r="6131" spans="11:13" x14ac:dyDescent="0.25">
      <c r="K6131" s="26" t="s">
        <v>113</v>
      </c>
      <c r="L6131" s="27" t="s">
        <v>119</v>
      </c>
      <c r="M6131" s="10">
        <v>20.060963844351544</v>
      </c>
    </row>
    <row r="6132" spans="11:13" x14ac:dyDescent="0.25">
      <c r="K6132" s="26" t="s">
        <v>110</v>
      </c>
      <c r="L6132" s="27" t="s">
        <v>115</v>
      </c>
      <c r="M6132" s="10">
        <v>325.89212970506765</v>
      </c>
    </row>
    <row r="6133" spans="11:13" x14ac:dyDescent="0.25">
      <c r="K6133" s="26" t="s">
        <v>110</v>
      </c>
      <c r="L6133" s="27" t="s">
        <v>116</v>
      </c>
      <c r="M6133" s="10">
        <v>42.359419675950441</v>
      </c>
    </row>
    <row r="6134" spans="11:13" x14ac:dyDescent="0.25">
      <c r="K6134" s="26" t="s">
        <v>110</v>
      </c>
      <c r="L6134" s="27" t="s">
        <v>117</v>
      </c>
      <c r="M6134" s="10">
        <v>320.5509813439329</v>
      </c>
    </row>
    <row r="6135" spans="11:13" x14ac:dyDescent="0.25">
      <c r="K6135" s="26" t="s">
        <v>110</v>
      </c>
      <c r="L6135" s="27" t="s">
        <v>118</v>
      </c>
      <c r="M6135" s="10">
        <v>41.213697601362803</v>
      </c>
    </row>
    <row r="6136" spans="11:13" x14ac:dyDescent="0.25">
      <c r="K6136" s="26" t="s">
        <v>110</v>
      </c>
      <c r="L6136" s="27" t="s">
        <v>119</v>
      </c>
      <c r="M6136" s="10">
        <v>69.316081330868769</v>
      </c>
    </row>
    <row r="6137" spans="11:13" x14ac:dyDescent="0.25">
      <c r="K6137" s="26" t="s">
        <v>110</v>
      </c>
      <c r="L6137" s="27" t="s">
        <v>115</v>
      </c>
      <c r="M6137" s="10">
        <v>6.8941744226128918</v>
      </c>
    </row>
    <row r="6138" spans="11:13" x14ac:dyDescent="0.25">
      <c r="K6138" s="26" t="s">
        <v>110</v>
      </c>
      <c r="L6138" s="27" t="s">
        <v>116</v>
      </c>
      <c r="M6138" s="10">
        <v>164.81823783117684</v>
      </c>
    </row>
    <row r="6139" spans="11:13" x14ac:dyDescent="0.25">
      <c r="K6139" s="26" t="s">
        <v>113</v>
      </c>
      <c r="L6139" s="27" t="s">
        <v>117</v>
      </c>
      <c r="M6139" s="10">
        <v>17.235436056532226</v>
      </c>
    </row>
    <row r="6140" spans="11:13" x14ac:dyDescent="0.25">
      <c r="K6140" s="26" t="s">
        <v>113</v>
      </c>
      <c r="L6140" s="27" t="s">
        <v>118</v>
      </c>
      <c r="M6140" s="10">
        <v>41.365046535677351</v>
      </c>
    </row>
    <row r="6141" spans="11:13" x14ac:dyDescent="0.25">
      <c r="K6141" s="26" t="s">
        <v>112</v>
      </c>
      <c r="L6141" s="27" t="s">
        <v>119</v>
      </c>
      <c r="M6141" s="10">
        <v>147.38710789382969</v>
      </c>
    </row>
    <row r="6142" spans="11:13" x14ac:dyDescent="0.25">
      <c r="K6142" s="26" t="s">
        <v>110</v>
      </c>
      <c r="L6142" s="27" t="s">
        <v>115</v>
      </c>
      <c r="M6142" s="10">
        <v>82.427395202725606</v>
      </c>
    </row>
    <row r="6143" spans="11:13" x14ac:dyDescent="0.25">
      <c r="K6143" s="26" t="s">
        <v>113</v>
      </c>
      <c r="L6143" s="27" t="s">
        <v>116</v>
      </c>
      <c r="M6143" s="10">
        <v>137.37899200454268</v>
      </c>
    </row>
    <row r="6144" spans="11:13" x14ac:dyDescent="0.25">
      <c r="K6144" s="26" t="s">
        <v>113</v>
      </c>
      <c r="L6144" s="27" t="s">
        <v>117</v>
      </c>
      <c r="M6144" s="10">
        <v>22.896498667423781</v>
      </c>
    </row>
    <row r="6145" spans="11:13" x14ac:dyDescent="0.25">
      <c r="K6145" s="26" t="s">
        <v>110</v>
      </c>
      <c r="L6145" s="27" t="s">
        <v>118</v>
      </c>
      <c r="M6145" s="10">
        <v>6.4110196268786588</v>
      </c>
    </row>
    <row r="6146" spans="11:13" x14ac:dyDescent="0.25">
      <c r="K6146" s="26" t="s">
        <v>111</v>
      </c>
      <c r="L6146" s="27" t="s">
        <v>119</v>
      </c>
      <c r="M6146" s="10">
        <v>48.540577174938413</v>
      </c>
    </row>
    <row r="6147" spans="11:13" x14ac:dyDescent="0.25">
      <c r="K6147" s="26" t="s">
        <v>111</v>
      </c>
      <c r="L6147" s="27" t="s">
        <v>115</v>
      </c>
      <c r="M6147" s="10">
        <v>35.273368606701936</v>
      </c>
    </row>
    <row r="6148" spans="11:13" x14ac:dyDescent="0.25">
      <c r="K6148" s="26" t="s">
        <v>113</v>
      </c>
      <c r="L6148" s="27" t="s">
        <v>116</v>
      </c>
      <c r="M6148" s="10">
        <v>95.899470899470913</v>
      </c>
    </row>
    <row r="6149" spans="11:13" x14ac:dyDescent="0.25">
      <c r="K6149" s="26" t="s">
        <v>113</v>
      </c>
      <c r="L6149" s="27" t="s">
        <v>117</v>
      </c>
      <c r="M6149" s="10">
        <v>21.031746031746032</v>
      </c>
    </row>
    <row r="6150" spans="11:13" x14ac:dyDescent="0.25">
      <c r="K6150" s="26" t="s">
        <v>113</v>
      </c>
      <c r="L6150" s="27" t="s">
        <v>118</v>
      </c>
      <c r="M6150" s="10">
        <v>33.06878306878307</v>
      </c>
    </row>
    <row r="6151" spans="11:13" x14ac:dyDescent="0.25">
      <c r="K6151" s="26" t="s">
        <v>111</v>
      </c>
      <c r="L6151" s="27" t="s">
        <v>119</v>
      </c>
      <c r="M6151" s="10">
        <v>133.36847442680775</v>
      </c>
    </row>
    <row r="6152" spans="11:13" x14ac:dyDescent="0.25">
      <c r="K6152" s="26" t="s">
        <v>111</v>
      </c>
      <c r="L6152" s="27" t="s">
        <v>115</v>
      </c>
      <c r="M6152" s="10">
        <v>34.470872113064452</v>
      </c>
    </row>
    <row r="6153" spans="11:13" x14ac:dyDescent="0.25">
      <c r="K6153" s="26" t="s">
        <v>111</v>
      </c>
      <c r="L6153" s="27" t="s">
        <v>116</v>
      </c>
      <c r="M6153" s="10">
        <v>127.0782590278513</v>
      </c>
    </row>
    <row r="6154" spans="11:13" x14ac:dyDescent="0.25">
      <c r="K6154" s="26" t="s">
        <v>111</v>
      </c>
      <c r="L6154" s="27" t="s">
        <v>117</v>
      </c>
      <c r="M6154" s="10">
        <v>215.87685990115625</v>
      </c>
    </row>
    <row r="6155" spans="11:13" x14ac:dyDescent="0.25">
      <c r="K6155" s="26" t="s">
        <v>113</v>
      </c>
      <c r="L6155" s="27" t="s">
        <v>118</v>
      </c>
      <c r="M6155" s="10">
        <v>51.392083049606214</v>
      </c>
    </row>
    <row r="6156" spans="11:13" x14ac:dyDescent="0.25">
      <c r="K6156" s="26" t="s">
        <v>113</v>
      </c>
      <c r="L6156" s="27" t="s">
        <v>119</v>
      </c>
      <c r="M6156" s="10">
        <v>3.8544062287204657</v>
      </c>
    </row>
    <row r="6157" spans="11:13" x14ac:dyDescent="0.25">
      <c r="K6157" s="26" t="s">
        <v>111</v>
      </c>
      <c r="L6157" s="27" t="s">
        <v>115</v>
      </c>
      <c r="M6157" s="10">
        <v>120.77475749559083</v>
      </c>
    </row>
    <row r="6158" spans="11:13" x14ac:dyDescent="0.25">
      <c r="K6158" s="26" t="s">
        <v>112</v>
      </c>
      <c r="L6158" s="27" t="s">
        <v>116</v>
      </c>
      <c r="M6158" s="10">
        <v>60.362173038229372</v>
      </c>
    </row>
    <row r="6159" spans="11:13" x14ac:dyDescent="0.25">
      <c r="K6159" s="26" t="s">
        <v>111</v>
      </c>
      <c r="L6159" s="27" t="s">
        <v>117</v>
      </c>
      <c r="M6159" s="10">
        <v>18.92543758901089</v>
      </c>
    </row>
    <row r="6160" spans="11:13" x14ac:dyDescent="0.25">
      <c r="K6160" s="26" t="s">
        <v>113</v>
      </c>
      <c r="L6160" s="27" t="s">
        <v>118</v>
      </c>
      <c r="M6160" s="10">
        <v>513.69044884458128</v>
      </c>
    </row>
    <row r="6161" spans="11:13" x14ac:dyDescent="0.25">
      <c r="K6161" s="26" t="s">
        <v>113</v>
      </c>
      <c r="L6161" s="27" t="s">
        <v>119</v>
      </c>
      <c r="M6161" s="10">
        <v>65.808090446639511</v>
      </c>
    </row>
    <row r="6162" spans="11:13" x14ac:dyDescent="0.25">
      <c r="K6162" s="26" t="s">
        <v>113</v>
      </c>
      <c r="L6162" s="27" t="s">
        <v>115</v>
      </c>
      <c r="M6162" s="10">
        <v>30.807147258163894</v>
      </c>
    </row>
    <row r="6163" spans="11:13" x14ac:dyDescent="0.25">
      <c r="K6163" s="26" t="s">
        <v>109</v>
      </c>
      <c r="L6163" s="27" t="s">
        <v>116</v>
      </c>
      <c r="M6163" s="10">
        <v>44.091710758377424</v>
      </c>
    </row>
    <row r="6164" spans="11:13" x14ac:dyDescent="0.25">
      <c r="K6164" s="26" t="s">
        <v>110</v>
      </c>
      <c r="L6164" s="27" t="s">
        <v>117</v>
      </c>
      <c r="M6164" s="10">
        <v>70.946488512302423</v>
      </c>
    </row>
    <row r="6165" spans="11:13" x14ac:dyDescent="0.25">
      <c r="K6165" s="26" t="s">
        <v>110</v>
      </c>
      <c r="L6165" s="27" t="s">
        <v>118</v>
      </c>
      <c r="M6165" s="10">
        <v>551.14638447971777</v>
      </c>
    </row>
    <row r="6166" spans="11:13" x14ac:dyDescent="0.25">
      <c r="K6166" s="26" t="s">
        <v>110</v>
      </c>
      <c r="L6166" s="27" t="s">
        <v>119</v>
      </c>
      <c r="M6166" s="10">
        <v>163.13932980599648</v>
      </c>
    </row>
    <row r="6167" spans="11:13" x14ac:dyDescent="0.25">
      <c r="K6167" s="26" t="s">
        <v>111</v>
      </c>
      <c r="L6167" s="27" t="s">
        <v>115</v>
      </c>
      <c r="M6167" s="10">
        <v>19</v>
      </c>
    </row>
    <row r="6168" spans="11:13" x14ac:dyDescent="0.25">
      <c r="K6168" s="26" t="s">
        <v>111</v>
      </c>
      <c r="L6168" s="27" t="s">
        <v>116</v>
      </c>
      <c r="M6168" s="10">
        <v>162.94606485253382</v>
      </c>
    </row>
    <row r="6169" spans="11:13" x14ac:dyDescent="0.25">
      <c r="K6169" s="26" t="s">
        <v>110</v>
      </c>
      <c r="L6169" s="27" t="s">
        <v>117</v>
      </c>
      <c r="M6169" s="10">
        <v>175.19547939541508</v>
      </c>
    </row>
    <row r="6170" spans="11:13" x14ac:dyDescent="0.25">
      <c r="K6170" s="26" t="s">
        <v>109</v>
      </c>
      <c r="L6170" s="27" t="s">
        <v>118</v>
      </c>
      <c r="M6170" s="10">
        <v>110.22927689594357</v>
      </c>
    </row>
    <row r="6171" spans="11:13" x14ac:dyDescent="0.25">
      <c r="K6171" s="26" t="s">
        <v>109</v>
      </c>
      <c r="L6171" s="27" t="s">
        <v>119</v>
      </c>
      <c r="M6171" s="10">
        <v>119.47982804232804</v>
      </c>
    </row>
    <row r="6172" spans="11:13" x14ac:dyDescent="0.25">
      <c r="K6172" s="26" t="s">
        <v>110</v>
      </c>
      <c r="L6172" s="27" t="s">
        <v>115</v>
      </c>
      <c r="M6172" s="10">
        <v>50.372297068332315</v>
      </c>
    </row>
    <row r="6173" spans="11:13" x14ac:dyDescent="0.25">
      <c r="K6173" s="26" t="s">
        <v>110</v>
      </c>
      <c r="L6173" s="27" t="s">
        <v>116</v>
      </c>
      <c r="M6173" s="10">
        <v>46.210720887245841</v>
      </c>
    </row>
    <row r="6174" spans="11:13" x14ac:dyDescent="0.25">
      <c r="K6174" s="26" t="s">
        <v>110</v>
      </c>
      <c r="L6174" s="27" t="s">
        <v>117</v>
      </c>
      <c r="M6174" s="10">
        <v>440.91710758377428</v>
      </c>
    </row>
    <row r="6175" spans="11:13" x14ac:dyDescent="0.25">
      <c r="K6175" s="26" t="s">
        <v>110</v>
      </c>
      <c r="L6175" s="27" t="s">
        <v>118</v>
      </c>
      <c r="M6175" s="10">
        <v>61.614294516327789</v>
      </c>
    </row>
    <row r="6176" spans="11:13" x14ac:dyDescent="0.25">
      <c r="K6176" s="26" t="s">
        <v>109</v>
      </c>
      <c r="L6176" s="27" t="s">
        <v>119</v>
      </c>
      <c r="M6176" s="10">
        <v>128.48020762401552</v>
      </c>
    </row>
    <row r="6177" spans="11:13" x14ac:dyDescent="0.25">
      <c r="K6177" s="26" t="s">
        <v>109</v>
      </c>
      <c r="L6177" s="27" t="s">
        <v>115</v>
      </c>
      <c r="M6177" s="10">
        <v>131.93733633481878</v>
      </c>
    </row>
    <row r="6178" spans="11:13" x14ac:dyDescent="0.25">
      <c r="K6178" s="26" t="s">
        <v>110</v>
      </c>
      <c r="L6178" s="27" t="s">
        <v>116</v>
      </c>
      <c r="M6178" s="10">
        <v>154.03573629081947</v>
      </c>
    </row>
    <row r="6179" spans="11:13" x14ac:dyDescent="0.25">
      <c r="K6179" s="26" t="s">
        <v>110</v>
      </c>
      <c r="L6179" s="27" t="s">
        <v>117</v>
      </c>
      <c r="M6179" s="10">
        <v>50</v>
      </c>
    </row>
    <row r="6180" spans="11:13" x14ac:dyDescent="0.25">
      <c r="K6180" s="26" t="s">
        <v>109</v>
      </c>
      <c r="L6180" s="27" t="s">
        <v>118</v>
      </c>
      <c r="M6180" s="10">
        <v>60</v>
      </c>
    </row>
    <row r="6181" spans="11:13" x14ac:dyDescent="0.25">
      <c r="K6181" s="26" t="s">
        <v>109</v>
      </c>
      <c r="L6181" s="27" t="s">
        <v>119</v>
      </c>
      <c r="M6181" s="10">
        <v>600</v>
      </c>
    </row>
    <row r="6182" spans="11:13" x14ac:dyDescent="0.25">
      <c r="K6182" s="26" t="s">
        <v>109</v>
      </c>
      <c r="L6182" s="27" t="s">
        <v>115</v>
      </c>
      <c r="M6182" s="10">
        <v>81.569664902998241</v>
      </c>
    </row>
    <row r="6183" spans="11:13" x14ac:dyDescent="0.25">
      <c r="K6183" s="26" t="s">
        <v>110</v>
      </c>
      <c r="L6183" s="27" t="s">
        <v>116</v>
      </c>
      <c r="M6183" s="10">
        <v>127.0782590278513</v>
      </c>
    </row>
    <row r="6184" spans="11:13" x14ac:dyDescent="0.25">
      <c r="K6184" s="26" t="s">
        <v>109</v>
      </c>
      <c r="L6184" s="27" t="s">
        <v>117</v>
      </c>
      <c r="M6184" s="10">
        <v>389.32328754536684</v>
      </c>
    </row>
    <row r="6185" spans="11:13" x14ac:dyDescent="0.25">
      <c r="K6185" s="26" t="s">
        <v>109</v>
      </c>
      <c r="L6185" s="27" t="s">
        <v>118</v>
      </c>
      <c r="M6185" s="10">
        <v>50</v>
      </c>
    </row>
    <row r="6186" spans="11:13" x14ac:dyDescent="0.25">
      <c r="K6186" s="26" t="s">
        <v>109</v>
      </c>
      <c r="L6186" s="27" t="s">
        <v>119</v>
      </c>
      <c r="M6186" s="10">
        <v>25</v>
      </c>
    </row>
    <row r="6187" spans="11:13" x14ac:dyDescent="0.25">
      <c r="K6187" s="26" t="s">
        <v>110</v>
      </c>
      <c r="L6187" s="27" t="s">
        <v>115</v>
      </c>
      <c r="M6187" s="10">
        <v>128.48020762401552</v>
      </c>
    </row>
    <row r="6188" spans="11:13" x14ac:dyDescent="0.25">
      <c r="K6188" s="26" t="s">
        <v>111</v>
      </c>
      <c r="L6188" s="27" t="s">
        <v>116</v>
      </c>
      <c r="M6188" s="10">
        <v>20</v>
      </c>
    </row>
    <row r="6189" spans="11:13" x14ac:dyDescent="0.25">
      <c r="K6189" s="26" t="s">
        <v>110</v>
      </c>
      <c r="L6189" s="27" t="s">
        <v>117</v>
      </c>
      <c r="M6189" s="10">
        <v>250</v>
      </c>
    </row>
    <row r="6190" spans="11:13" x14ac:dyDescent="0.25">
      <c r="K6190" s="26" t="s">
        <v>110</v>
      </c>
      <c r="L6190" s="27" t="s">
        <v>118</v>
      </c>
      <c r="M6190" s="10">
        <v>102.73808976891625</v>
      </c>
    </row>
    <row r="6191" spans="11:13" x14ac:dyDescent="0.25">
      <c r="K6191" s="26" t="s">
        <v>111</v>
      </c>
      <c r="L6191" s="27" t="s">
        <v>119</v>
      </c>
      <c r="M6191" s="10">
        <v>462.10720887245844</v>
      </c>
    </row>
    <row r="6192" spans="11:13" x14ac:dyDescent="0.25">
      <c r="K6192" s="26" t="s">
        <v>110</v>
      </c>
      <c r="L6192" s="27" t="s">
        <v>115</v>
      </c>
      <c r="M6192" s="10">
        <v>27.726432532347506</v>
      </c>
    </row>
    <row r="6193" spans="11:13" x14ac:dyDescent="0.25">
      <c r="K6193" s="26" t="s">
        <v>109</v>
      </c>
      <c r="L6193" s="27" t="s">
        <v>116</v>
      </c>
      <c r="M6193" s="10">
        <v>109.90319360363415</v>
      </c>
    </row>
    <row r="6194" spans="11:13" x14ac:dyDescent="0.25">
      <c r="K6194" s="26" t="s">
        <v>109</v>
      </c>
      <c r="L6194" s="27" t="s">
        <v>117</v>
      </c>
      <c r="M6194" s="10">
        <v>77.84809546924086</v>
      </c>
    </row>
    <row r="6195" spans="11:13" x14ac:dyDescent="0.25">
      <c r="K6195" s="26" t="s">
        <v>110</v>
      </c>
      <c r="L6195" s="27" t="s">
        <v>118</v>
      </c>
      <c r="M6195" s="10">
        <v>1686.5079365079366</v>
      </c>
    </row>
    <row r="6196" spans="11:13" x14ac:dyDescent="0.25">
      <c r="K6196" s="26" t="s">
        <v>109</v>
      </c>
      <c r="L6196" s="27" t="s">
        <v>119</v>
      </c>
      <c r="M6196" s="10">
        <v>60</v>
      </c>
    </row>
    <row r="6197" spans="11:13" x14ac:dyDescent="0.25">
      <c r="K6197" s="26" t="s">
        <v>109</v>
      </c>
      <c r="L6197" s="27" t="s">
        <v>115</v>
      </c>
      <c r="M6197" s="10">
        <v>29.7</v>
      </c>
    </row>
    <row r="6198" spans="11:13" x14ac:dyDescent="0.25">
      <c r="K6198" s="26" t="s">
        <v>111</v>
      </c>
      <c r="L6198" s="27" t="s">
        <v>116</v>
      </c>
      <c r="M6198" s="10">
        <v>100</v>
      </c>
    </row>
    <row r="6199" spans="11:13" x14ac:dyDescent="0.25">
      <c r="K6199" s="26" t="s">
        <v>111</v>
      </c>
      <c r="L6199" s="27" t="s">
        <v>117</v>
      </c>
      <c r="M6199" s="10">
        <v>462.10720887245844</v>
      </c>
    </row>
    <row r="6200" spans="11:13" x14ac:dyDescent="0.25">
      <c r="K6200" s="26" t="s">
        <v>110</v>
      </c>
      <c r="L6200" s="27" t="s">
        <v>118</v>
      </c>
      <c r="M6200" s="10">
        <v>117.32116669382435</v>
      </c>
    </row>
    <row r="6201" spans="11:13" x14ac:dyDescent="0.25">
      <c r="K6201" s="26" t="s">
        <v>110</v>
      </c>
      <c r="L6201" s="27" t="s">
        <v>119</v>
      </c>
      <c r="M6201" s="10">
        <v>25.696041524803107</v>
      </c>
    </row>
    <row r="6202" spans="11:13" x14ac:dyDescent="0.25">
      <c r="K6202" s="26" t="s">
        <v>111</v>
      </c>
      <c r="L6202" s="27" t="s">
        <v>115</v>
      </c>
      <c r="M6202" s="10">
        <v>25.696041524803107</v>
      </c>
    </row>
    <row r="6203" spans="11:13" x14ac:dyDescent="0.25">
      <c r="K6203" s="26" t="s">
        <v>111</v>
      </c>
      <c r="L6203" s="27" t="s">
        <v>116</v>
      </c>
      <c r="M6203" s="10">
        <v>30.807147258163894</v>
      </c>
    </row>
    <row r="6204" spans="11:13" x14ac:dyDescent="0.25">
      <c r="K6204" s="26" t="s">
        <v>109</v>
      </c>
      <c r="L6204" s="27" t="s">
        <v>117</v>
      </c>
      <c r="M6204" s="10">
        <v>46.210720887245841</v>
      </c>
    </row>
    <row r="6205" spans="11:13" x14ac:dyDescent="0.25">
      <c r="K6205" s="26" t="s">
        <v>110</v>
      </c>
      <c r="L6205" s="27" t="s">
        <v>118</v>
      </c>
      <c r="M6205" s="10">
        <v>123.22858903265558</v>
      </c>
    </row>
    <row r="6206" spans="11:13" x14ac:dyDescent="0.25">
      <c r="K6206" s="26" t="s">
        <v>109</v>
      </c>
      <c r="L6206" s="27" t="s">
        <v>119</v>
      </c>
      <c r="M6206" s="10">
        <v>46.210720887245841</v>
      </c>
    </row>
    <row r="6207" spans="11:13" x14ac:dyDescent="0.25">
      <c r="K6207" s="26" t="s">
        <v>109</v>
      </c>
      <c r="L6207" s="27" t="s">
        <v>115</v>
      </c>
      <c r="M6207" s="10">
        <v>308.07147258163894</v>
      </c>
    </row>
    <row r="6208" spans="11:13" x14ac:dyDescent="0.25">
      <c r="K6208" s="26" t="s">
        <v>110</v>
      </c>
      <c r="L6208" s="27" t="s">
        <v>116</v>
      </c>
      <c r="M6208" s="10">
        <v>25.696041524803107</v>
      </c>
    </row>
    <row r="6209" spans="11:13" x14ac:dyDescent="0.25">
      <c r="K6209" s="26" t="s">
        <v>110</v>
      </c>
      <c r="L6209" s="27" t="s">
        <v>117</v>
      </c>
      <c r="M6209" s="10">
        <v>25.696041524803107</v>
      </c>
    </row>
    <row r="6210" spans="11:13" x14ac:dyDescent="0.25">
      <c r="K6210" s="26" t="s">
        <v>109</v>
      </c>
      <c r="L6210" s="27" t="s">
        <v>118</v>
      </c>
      <c r="M6210" s="10">
        <v>25.696041524803107</v>
      </c>
    </row>
    <row r="6211" spans="11:13" x14ac:dyDescent="0.25">
      <c r="K6211" s="26" t="s">
        <v>111</v>
      </c>
      <c r="L6211" s="27" t="s">
        <v>119</v>
      </c>
      <c r="M6211" s="10">
        <v>51.392083049606214</v>
      </c>
    </row>
    <row r="6212" spans="11:13" x14ac:dyDescent="0.25">
      <c r="K6212" s="26" t="s">
        <v>111</v>
      </c>
      <c r="L6212" s="27" t="s">
        <v>115</v>
      </c>
      <c r="M6212" s="10">
        <v>51.392083049606214</v>
      </c>
    </row>
    <row r="6213" spans="11:13" x14ac:dyDescent="0.25">
      <c r="K6213" s="26" t="s">
        <v>113</v>
      </c>
      <c r="L6213" s="27" t="s">
        <v>116</v>
      </c>
      <c r="M6213" s="10">
        <v>51.392083049606214</v>
      </c>
    </row>
    <row r="6214" spans="11:13" x14ac:dyDescent="0.25">
      <c r="K6214" s="26" t="s">
        <v>113</v>
      </c>
      <c r="L6214" s="27" t="s">
        <v>117</v>
      </c>
      <c r="M6214" s="10">
        <v>51.392083049606214</v>
      </c>
    </row>
    <row r="6215" spans="11:13" x14ac:dyDescent="0.25">
      <c r="K6215" s="26" t="s">
        <v>111</v>
      </c>
      <c r="L6215" s="27" t="s">
        <v>118</v>
      </c>
      <c r="M6215" s="10">
        <v>470.53670634920633</v>
      </c>
    </row>
    <row r="6216" spans="11:13" x14ac:dyDescent="0.25">
      <c r="K6216" s="26" t="s">
        <v>111</v>
      </c>
      <c r="L6216" s="27" t="s">
        <v>119</v>
      </c>
      <c r="M6216" s="10">
        <v>22.045855379188712</v>
      </c>
    </row>
    <row r="6217" spans="11:13" x14ac:dyDescent="0.25">
      <c r="K6217" s="26" t="s">
        <v>109</v>
      </c>
      <c r="L6217" s="27" t="s">
        <v>115</v>
      </c>
      <c r="M6217" s="10">
        <v>154.03573629081947</v>
      </c>
    </row>
    <row r="6218" spans="11:13" x14ac:dyDescent="0.25">
      <c r="K6218" s="26" t="s">
        <v>109</v>
      </c>
      <c r="L6218" s="27" t="s">
        <v>116</v>
      </c>
      <c r="M6218" s="10">
        <v>211.79709837975219</v>
      </c>
    </row>
    <row r="6219" spans="11:13" x14ac:dyDescent="0.25">
      <c r="K6219" s="26" t="s">
        <v>111</v>
      </c>
      <c r="L6219" s="27" t="s">
        <v>117</v>
      </c>
      <c r="M6219" s="10">
        <v>32.589212970506765</v>
      </c>
    </row>
    <row r="6220" spans="11:13" x14ac:dyDescent="0.25">
      <c r="K6220" s="26" t="s">
        <v>109</v>
      </c>
      <c r="L6220" s="27" t="s">
        <v>118</v>
      </c>
      <c r="M6220" s="10">
        <v>32.200000000000003</v>
      </c>
    </row>
    <row r="6221" spans="11:13" x14ac:dyDescent="0.25">
      <c r="K6221" s="26" t="s">
        <v>109</v>
      </c>
      <c r="L6221" s="27" t="s">
        <v>119</v>
      </c>
      <c r="M6221" s="10">
        <v>89.16657841787567</v>
      </c>
    </row>
    <row r="6222" spans="11:13" x14ac:dyDescent="0.25">
      <c r="K6222" s="26" t="s">
        <v>109</v>
      </c>
      <c r="L6222" s="27" t="s">
        <v>115</v>
      </c>
      <c r="M6222" s="10">
        <v>53.912507701786815</v>
      </c>
    </row>
    <row r="6223" spans="11:13" x14ac:dyDescent="0.25">
      <c r="K6223" s="26" t="s">
        <v>109</v>
      </c>
      <c r="L6223" s="27" t="s">
        <v>116</v>
      </c>
      <c r="M6223" s="10">
        <v>82.260113058299382</v>
      </c>
    </row>
    <row r="6224" spans="11:13" x14ac:dyDescent="0.25">
      <c r="K6224" s="26" t="s">
        <v>111</v>
      </c>
      <c r="L6224" s="27" t="s">
        <v>117</v>
      </c>
      <c r="M6224" s="10">
        <v>74.128984432913256</v>
      </c>
    </row>
    <row r="6225" spans="11:13" x14ac:dyDescent="0.25">
      <c r="K6225" s="26" t="s">
        <v>111</v>
      </c>
      <c r="L6225" s="27" t="s">
        <v>118</v>
      </c>
      <c r="M6225" s="10">
        <v>51.369044884458127</v>
      </c>
    </row>
    <row r="6226" spans="11:13" x14ac:dyDescent="0.25">
      <c r="K6226" s="26" t="s">
        <v>109</v>
      </c>
      <c r="L6226" s="27" t="s">
        <v>119</v>
      </c>
      <c r="M6226" s="10">
        <v>15.417624914881863</v>
      </c>
    </row>
    <row r="6227" spans="11:13" x14ac:dyDescent="0.25">
      <c r="K6227" s="26" t="s">
        <v>111</v>
      </c>
      <c r="L6227" s="27" t="s">
        <v>115</v>
      </c>
      <c r="M6227" s="10">
        <v>158.84782378481412</v>
      </c>
    </row>
    <row r="6228" spans="11:13" x14ac:dyDescent="0.25">
      <c r="K6228" s="26" t="s">
        <v>111</v>
      </c>
      <c r="L6228" s="27" t="s">
        <v>116</v>
      </c>
      <c r="M6228" s="10">
        <v>300</v>
      </c>
    </row>
    <row r="6229" spans="11:13" x14ac:dyDescent="0.25">
      <c r="K6229" s="26" t="s">
        <v>111</v>
      </c>
      <c r="L6229" s="27" t="s">
        <v>117</v>
      </c>
      <c r="M6229" s="10">
        <v>6.8046276682418121</v>
      </c>
    </row>
    <row r="6230" spans="11:13" x14ac:dyDescent="0.25">
      <c r="K6230" s="26" t="s">
        <v>111</v>
      </c>
      <c r="L6230" s="27" t="s">
        <v>118</v>
      </c>
      <c r="M6230" s="10">
        <v>7.1956982238878933</v>
      </c>
    </row>
    <row r="6231" spans="11:13" x14ac:dyDescent="0.25">
      <c r="K6231" s="26" t="s">
        <v>111</v>
      </c>
      <c r="L6231" s="27" t="s">
        <v>119</v>
      </c>
      <c r="M6231" s="10">
        <v>8.5057845853022656</v>
      </c>
    </row>
    <row r="6232" spans="11:13" x14ac:dyDescent="0.25">
      <c r="K6232" s="26" t="s">
        <v>111</v>
      </c>
      <c r="L6232" s="27" t="s">
        <v>115</v>
      </c>
      <c r="M6232" s="10">
        <v>32.05509813439329</v>
      </c>
    </row>
    <row r="6233" spans="11:13" x14ac:dyDescent="0.25">
      <c r="K6233" s="26" t="s">
        <v>110</v>
      </c>
      <c r="L6233" s="27" t="s">
        <v>116</v>
      </c>
      <c r="M6233" s="10">
        <v>8.994622779859867</v>
      </c>
    </row>
    <row r="6234" spans="11:13" x14ac:dyDescent="0.25">
      <c r="K6234" s="26" t="s">
        <v>110</v>
      </c>
      <c r="L6234" s="27" t="s">
        <v>117</v>
      </c>
      <c r="M6234" s="10">
        <v>60</v>
      </c>
    </row>
    <row r="6235" spans="11:13" x14ac:dyDescent="0.25">
      <c r="K6235" s="26" t="s">
        <v>110</v>
      </c>
      <c r="L6235" s="27" t="s">
        <v>118</v>
      </c>
      <c r="M6235" s="10">
        <v>59.100895507047142</v>
      </c>
    </row>
    <row r="6236" spans="11:13" x14ac:dyDescent="0.25">
      <c r="K6236" s="26" t="s">
        <v>110</v>
      </c>
      <c r="L6236" s="27" t="s">
        <v>119</v>
      </c>
      <c r="M6236" s="10">
        <v>5.1034707511813595</v>
      </c>
    </row>
    <row r="6237" spans="11:13" x14ac:dyDescent="0.25">
      <c r="K6237" s="26" t="s">
        <v>109</v>
      </c>
      <c r="L6237" s="27" t="s">
        <v>115</v>
      </c>
      <c r="M6237" s="10">
        <v>3.402313834120906</v>
      </c>
    </row>
    <row r="6238" spans="11:13" x14ac:dyDescent="0.25">
      <c r="K6238" s="26" t="s">
        <v>109</v>
      </c>
      <c r="L6238" s="27" t="s">
        <v>116</v>
      </c>
      <c r="M6238" s="10">
        <v>802.43941582410525</v>
      </c>
    </row>
    <row r="6239" spans="11:13" x14ac:dyDescent="0.25">
      <c r="K6239" s="26" t="s">
        <v>109</v>
      </c>
      <c r="L6239" s="27" t="s">
        <v>117</v>
      </c>
      <c r="M6239" s="10">
        <v>5.1034707511813595</v>
      </c>
    </row>
    <row r="6240" spans="11:13" x14ac:dyDescent="0.25">
      <c r="K6240" s="26" t="s">
        <v>110</v>
      </c>
      <c r="L6240" s="27" t="s">
        <v>118</v>
      </c>
      <c r="M6240" s="10">
        <v>3.402313834120906</v>
      </c>
    </row>
    <row r="6241" spans="11:13" x14ac:dyDescent="0.25">
      <c r="K6241" s="26" t="s">
        <v>112</v>
      </c>
      <c r="L6241" s="27" t="s">
        <v>119</v>
      </c>
      <c r="M6241" s="10">
        <v>5.9540492097115854</v>
      </c>
    </row>
    <row r="6242" spans="11:13" x14ac:dyDescent="0.25">
      <c r="K6242" s="26" t="s">
        <v>112</v>
      </c>
      <c r="L6242" s="27" t="s">
        <v>115</v>
      </c>
      <c r="M6242" s="10">
        <v>6.8046276682418121</v>
      </c>
    </row>
    <row r="6243" spans="11:13" x14ac:dyDescent="0.25">
      <c r="K6243" s="26" t="s">
        <v>110</v>
      </c>
      <c r="L6243" s="27" t="s">
        <v>116</v>
      </c>
      <c r="M6243" s="10">
        <v>8.5057845853022656</v>
      </c>
    </row>
    <row r="6244" spans="11:13" x14ac:dyDescent="0.25">
      <c r="K6244" s="26" t="s">
        <v>110</v>
      </c>
      <c r="L6244" s="27" t="s">
        <v>117</v>
      </c>
      <c r="M6244" s="10">
        <v>102.73808976891625</v>
      </c>
    </row>
    <row r="6245" spans="11:13" x14ac:dyDescent="0.25">
      <c r="K6245" s="26" t="s">
        <v>110</v>
      </c>
      <c r="L6245" s="27" t="s">
        <v>118</v>
      </c>
      <c r="M6245" s="10">
        <v>23.105360443622921</v>
      </c>
    </row>
    <row r="6246" spans="11:13" x14ac:dyDescent="0.25">
      <c r="K6246" s="26" t="s">
        <v>110</v>
      </c>
      <c r="L6246" s="27" t="s">
        <v>119</v>
      </c>
      <c r="M6246" s="10">
        <v>30.807147258163894</v>
      </c>
    </row>
    <row r="6247" spans="11:13" x14ac:dyDescent="0.25">
      <c r="K6247" s="26" t="s">
        <v>110</v>
      </c>
      <c r="L6247" s="27" t="s">
        <v>115</v>
      </c>
      <c r="M6247" s="10">
        <v>30.807147258163894</v>
      </c>
    </row>
    <row r="6248" spans="11:13" x14ac:dyDescent="0.25">
      <c r="K6248" s="26" t="s">
        <v>110</v>
      </c>
      <c r="L6248" s="27" t="s">
        <v>116</v>
      </c>
      <c r="M6248" s="10">
        <v>23.105360443622921</v>
      </c>
    </row>
    <row r="6249" spans="11:13" x14ac:dyDescent="0.25">
      <c r="K6249" s="26" t="s">
        <v>111</v>
      </c>
      <c r="L6249" s="27" t="s">
        <v>117</v>
      </c>
      <c r="M6249" s="10">
        <v>23.105360443622921</v>
      </c>
    </row>
    <row r="6250" spans="11:13" x14ac:dyDescent="0.25">
      <c r="K6250" s="26" t="s">
        <v>109</v>
      </c>
      <c r="L6250" s="27" t="s">
        <v>118</v>
      </c>
      <c r="M6250" s="10">
        <v>30.807147258163894</v>
      </c>
    </row>
    <row r="6251" spans="11:13" x14ac:dyDescent="0.25">
      <c r="K6251" s="26" t="s">
        <v>109</v>
      </c>
      <c r="L6251" s="27" t="s">
        <v>119</v>
      </c>
      <c r="M6251" s="10">
        <v>8.0430177611210691</v>
      </c>
    </row>
    <row r="6252" spans="11:13" x14ac:dyDescent="0.25">
      <c r="K6252" s="26" t="s">
        <v>109</v>
      </c>
      <c r="L6252" s="27" t="s">
        <v>115</v>
      </c>
      <c r="M6252" s="10">
        <v>176.3668430335097</v>
      </c>
    </row>
    <row r="6253" spans="11:13" x14ac:dyDescent="0.25">
      <c r="K6253" s="26" t="s">
        <v>112</v>
      </c>
      <c r="L6253" s="27" t="s">
        <v>116</v>
      </c>
      <c r="M6253" s="10">
        <v>100</v>
      </c>
    </row>
    <row r="6254" spans="11:13" x14ac:dyDescent="0.25">
      <c r="K6254" s="26" t="s">
        <v>112</v>
      </c>
      <c r="L6254" s="27" t="s">
        <v>117</v>
      </c>
      <c r="M6254" s="10">
        <v>88.183421516754848</v>
      </c>
    </row>
    <row r="6255" spans="11:13" x14ac:dyDescent="0.25">
      <c r="K6255" s="26" t="s">
        <v>112</v>
      </c>
      <c r="L6255" s="27" t="s">
        <v>118</v>
      </c>
      <c r="M6255" s="10">
        <v>13.227513227513228</v>
      </c>
    </row>
    <row r="6256" spans="11:13" x14ac:dyDescent="0.25">
      <c r="K6256" s="26" t="s">
        <v>112</v>
      </c>
      <c r="L6256" s="27" t="s">
        <v>119</v>
      </c>
      <c r="M6256" s="10">
        <v>84.719654959950716</v>
      </c>
    </row>
    <row r="6257" spans="11:13" x14ac:dyDescent="0.25">
      <c r="K6257" s="26" t="s">
        <v>112</v>
      </c>
      <c r="L6257" s="27" t="s">
        <v>115</v>
      </c>
      <c r="M6257" s="10">
        <v>3.0807147258163896</v>
      </c>
    </row>
    <row r="6258" spans="11:13" x14ac:dyDescent="0.25">
      <c r="K6258" s="26" t="s">
        <v>112</v>
      </c>
      <c r="L6258" s="27" t="s">
        <v>116</v>
      </c>
      <c r="M6258" s="10">
        <v>5.0831792975970433</v>
      </c>
    </row>
    <row r="6259" spans="11:13" x14ac:dyDescent="0.25">
      <c r="K6259" s="26" t="s">
        <v>112</v>
      </c>
      <c r="L6259" s="27" t="s">
        <v>117</v>
      </c>
      <c r="M6259" s="10">
        <v>77.017868145409736</v>
      </c>
    </row>
    <row r="6260" spans="11:13" x14ac:dyDescent="0.25">
      <c r="K6260" s="26" t="s">
        <v>112</v>
      </c>
      <c r="L6260" s="27" t="s">
        <v>118</v>
      </c>
      <c r="M6260" s="10">
        <v>15.403573629081947</v>
      </c>
    </row>
    <row r="6261" spans="11:13" x14ac:dyDescent="0.25">
      <c r="K6261" s="26" t="s">
        <v>112</v>
      </c>
      <c r="L6261" s="27" t="s">
        <v>119</v>
      </c>
      <c r="M6261" s="10">
        <v>10.990319360363413</v>
      </c>
    </row>
    <row r="6262" spans="11:13" x14ac:dyDescent="0.25">
      <c r="K6262" s="26" t="s">
        <v>112</v>
      </c>
      <c r="L6262" s="27" t="s">
        <v>115</v>
      </c>
      <c r="M6262" s="10">
        <v>6.4110196268786588</v>
      </c>
    </row>
    <row r="6263" spans="11:13" x14ac:dyDescent="0.25">
      <c r="K6263" s="26" t="s">
        <v>109</v>
      </c>
      <c r="L6263" s="27" t="s">
        <v>116</v>
      </c>
      <c r="M6263" s="10">
        <v>116.14867729626251</v>
      </c>
    </row>
    <row r="6264" spans="11:13" x14ac:dyDescent="0.25">
      <c r="K6264" s="26" t="s">
        <v>109</v>
      </c>
      <c r="L6264" s="27" t="s">
        <v>117</v>
      </c>
      <c r="M6264" s="10">
        <v>45.941103505306202</v>
      </c>
    </row>
    <row r="6265" spans="11:13" x14ac:dyDescent="0.25">
      <c r="K6265" s="26" t="s">
        <v>111</v>
      </c>
      <c r="L6265" s="27" t="s">
        <v>118</v>
      </c>
      <c r="M6265" s="10">
        <v>211.79709837975219</v>
      </c>
    </row>
    <row r="6266" spans="11:13" x14ac:dyDescent="0.25">
      <c r="K6266" s="26" t="s">
        <v>111</v>
      </c>
      <c r="L6266" s="27" t="s">
        <v>119</v>
      </c>
      <c r="M6266" s="10">
        <v>119</v>
      </c>
    </row>
    <row r="6267" spans="11:13" x14ac:dyDescent="0.25">
      <c r="K6267" s="26" t="s">
        <v>109</v>
      </c>
      <c r="L6267" s="27" t="s">
        <v>115</v>
      </c>
      <c r="M6267" s="10">
        <v>61.614294516327789</v>
      </c>
    </row>
    <row r="6268" spans="11:13" x14ac:dyDescent="0.25">
      <c r="K6268" s="26" t="s">
        <v>114</v>
      </c>
      <c r="L6268" s="27" t="s">
        <v>116</v>
      </c>
      <c r="M6268" s="10">
        <v>24.645717806531117</v>
      </c>
    </row>
    <row r="6269" spans="11:13" x14ac:dyDescent="0.25">
      <c r="K6269" s="26" t="s">
        <v>111</v>
      </c>
      <c r="L6269" s="27" t="s">
        <v>117</v>
      </c>
      <c r="M6269" s="10">
        <v>154.03573629081947</v>
      </c>
    </row>
    <row r="6270" spans="11:13" x14ac:dyDescent="0.25">
      <c r="K6270" s="26" t="s">
        <v>112</v>
      </c>
      <c r="L6270" s="27" t="s">
        <v>118</v>
      </c>
      <c r="M6270" s="10">
        <v>58.533579790511403</v>
      </c>
    </row>
    <row r="6271" spans="11:13" x14ac:dyDescent="0.25">
      <c r="K6271" s="26" t="s">
        <v>112</v>
      </c>
      <c r="L6271" s="27" t="s">
        <v>119</v>
      </c>
      <c r="M6271" s="10">
        <v>26.186075169439309</v>
      </c>
    </row>
    <row r="6272" spans="11:13" x14ac:dyDescent="0.25">
      <c r="K6272" s="26" t="s">
        <v>112</v>
      </c>
      <c r="L6272" s="27" t="s">
        <v>115</v>
      </c>
      <c r="M6272" s="10">
        <v>46.210720887245841</v>
      </c>
    </row>
    <row r="6273" spans="11:13" x14ac:dyDescent="0.25">
      <c r="K6273" s="26" t="s">
        <v>112</v>
      </c>
      <c r="L6273" s="27" t="s">
        <v>116</v>
      </c>
      <c r="M6273" s="10">
        <v>154.03573629081947</v>
      </c>
    </row>
    <row r="6274" spans="11:13" x14ac:dyDescent="0.25">
      <c r="K6274" s="26" t="s">
        <v>112</v>
      </c>
      <c r="L6274" s="27" t="s">
        <v>117</v>
      </c>
      <c r="M6274" s="10">
        <v>154.03573629081947</v>
      </c>
    </row>
    <row r="6275" spans="11:13" x14ac:dyDescent="0.25">
      <c r="K6275" s="26" t="s">
        <v>110</v>
      </c>
      <c r="L6275" s="27" t="s">
        <v>118</v>
      </c>
      <c r="M6275" s="10">
        <v>79.423911892407062</v>
      </c>
    </row>
    <row r="6276" spans="11:13" x14ac:dyDescent="0.25">
      <c r="K6276" s="26" t="s">
        <v>112</v>
      </c>
      <c r="L6276" s="27" t="s">
        <v>119</v>
      </c>
      <c r="M6276" s="10">
        <v>77.017868145409736</v>
      </c>
    </row>
    <row r="6277" spans="11:13" x14ac:dyDescent="0.25">
      <c r="K6277" s="26" t="s">
        <v>112</v>
      </c>
      <c r="L6277" s="27" t="s">
        <v>115</v>
      </c>
      <c r="M6277" s="10">
        <v>308.07147258163894</v>
      </c>
    </row>
    <row r="6278" spans="11:13" x14ac:dyDescent="0.25">
      <c r="K6278" s="26" t="s">
        <v>112</v>
      </c>
      <c r="L6278" s="27" t="s">
        <v>116</v>
      </c>
      <c r="M6278" s="10">
        <v>123.22858903265558</v>
      </c>
    </row>
    <row r="6279" spans="11:13" x14ac:dyDescent="0.25">
      <c r="K6279" s="26" t="s">
        <v>110</v>
      </c>
      <c r="L6279" s="27" t="s">
        <v>117</v>
      </c>
      <c r="M6279" s="10">
        <v>77.088124574409321</v>
      </c>
    </row>
    <row r="6280" spans="11:13" x14ac:dyDescent="0.25">
      <c r="K6280" s="26" t="s">
        <v>112</v>
      </c>
      <c r="L6280" s="27" t="s">
        <v>118</v>
      </c>
      <c r="M6280" s="10">
        <v>51.392083049606214</v>
      </c>
    </row>
    <row r="6281" spans="11:13" x14ac:dyDescent="0.25">
      <c r="K6281" s="26" t="s">
        <v>112</v>
      </c>
      <c r="L6281" s="27" t="s">
        <v>119</v>
      </c>
      <c r="M6281" s="10">
        <v>0.66137566137566139</v>
      </c>
    </row>
    <row r="6282" spans="11:13" x14ac:dyDescent="0.25">
      <c r="K6282" s="26" t="s">
        <v>112</v>
      </c>
      <c r="L6282" s="27" t="s">
        <v>115</v>
      </c>
      <c r="M6282" s="10">
        <v>66.137566137566139</v>
      </c>
    </row>
    <row r="6283" spans="11:13" x14ac:dyDescent="0.25">
      <c r="K6283" s="26" t="s">
        <v>110</v>
      </c>
      <c r="L6283" s="27" t="s">
        <v>116</v>
      </c>
      <c r="M6283" s="10">
        <v>1140</v>
      </c>
    </row>
    <row r="6284" spans="11:13" x14ac:dyDescent="0.25">
      <c r="K6284" s="26" t="s">
        <v>110</v>
      </c>
      <c r="L6284" s="27" t="s">
        <v>117</v>
      </c>
      <c r="M6284" s="10">
        <v>300</v>
      </c>
    </row>
    <row r="6285" spans="11:13" x14ac:dyDescent="0.25">
      <c r="K6285" s="26" t="s">
        <v>110</v>
      </c>
      <c r="L6285" s="27" t="s">
        <v>118</v>
      </c>
      <c r="M6285" s="10">
        <v>77.017868145409736</v>
      </c>
    </row>
    <row r="6286" spans="11:13" x14ac:dyDescent="0.25">
      <c r="K6286" s="26" t="s">
        <v>111</v>
      </c>
      <c r="L6286" s="27" t="s">
        <v>119</v>
      </c>
      <c r="M6286" s="10">
        <v>11.326172703095088</v>
      </c>
    </row>
    <row r="6287" spans="11:13" x14ac:dyDescent="0.25">
      <c r="K6287" s="26" t="s">
        <v>111</v>
      </c>
      <c r="L6287" s="27" t="s">
        <v>115</v>
      </c>
      <c r="M6287" s="10">
        <v>2.5888761836239129</v>
      </c>
    </row>
    <row r="6288" spans="11:13" x14ac:dyDescent="0.25">
      <c r="K6288" s="26" t="s">
        <v>109</v>
      </c>
      <c r="L6288" s="27" t="s">
        <v>116</v>
      </c>
      <c r="M6288" s="10">
        <v>1.5950396825396826</v>
      </c>
    </row>
    <row r="6289" spans="11:13" x14ac:dyDescent="0.25">
      <c r="K6289" s="26" t="s">
        <v>109</v>
      </c>
      <c r="L6289" s="27" t="s">
        <v>117</v>
      </c>
      <c r="M6289" s="10">
        <v>130</v>
      </c>
    </row>
    <row r="6290" spans="11:13" x14ac:dyDescent="0.25">
      <c r="K6290" s="26" t="s">
        <v>110</v>
      </c>
      <c r="L6290" s="27" t="s">
        <v>118</v>
      </c>
      <c r="M6290" s="10">
        <v>44.091710758377424</v>
      </c>
    </row>
    <row r="6291" spans="11:13" x14ac:dyDescent="0.25">
      <c r="K6291" s="26" t="s">
        <v>110</v>
      </c>
      <c r="L6291" s="27" t="s">
        <v>119</v>
      </c>
      <c r="M6291" s="10">
        <v>77.017868145409736</v>
      </c>
    </row>
    <row r="6292" spans="11:13" x14ac:dyDescent="0.25">
      <c r="K6292" s="26" t="s">
        <v>110</v>
      </c>
      <c r="L6292" s="27" t="s">
        <v>115</v>
      </c>
      <c r="M6292" s="10">
        <v>183.17198933939025</v>
      </c>
    </row>
    <row r="6293" spans="11:13" x14ac:dyDescent="0.25">
      <c r="K6293" s="26" t="s">
        <v>110</v>
      </c>
      <c r="L6293" s="27" t="s">
        <v>116</v>
      </c>
      <c r="M6293" s="10">
        <v>64.24010381200776</v>
      </c>
    </row>
    <row r="6294" spans="11:13" x14ac:dyDescent="0.25">
      <c r="K6294" s="26" t="s">
        <v>109</v>
      </c>
      <c r="L6294" s="27" t="s">
        <v>117</v>
      </c>
      <c r="M6294" s="10">
        <v>122.96994847943675</v>
      </c>
    </row>
    <row r="6295" spans="11:13" x14ac:dyDescent="0.25">
      <c r="K6295" s="26" t="s">
        <v>110</v>
      </c>
      <c r="L6295" s="27" t="s">
        <v>118</v>
      </c>
      <c r="M6295" s="10">
        <v>10.58985491898761</v>
      </c>
    </row>
    <row r="6296" spans="11:13" x14ac:dyDescent="0.25">
      <c r="K6296" s="26" t="s">
        <v>110</v>
      </c>
      <c r="L6296" s="27" t="s">
        <v>119</v>
      </c>
      <c r="M6296" s="10">
        <v>211.79709837975219</v>
      </c>
    </row>
    <row r="6297" spans="11:13" x14ac:dyDescent="0.25">
      <c r="K6297" s="26" t="s">
        <v>110</v>
      </c>
      <c r="L6297" s="27" t="s">
        <v>115</v>
      </c>
      <c r="M6297" s="10">
        <v>40.121970791205264</v>
      </c>
    </row>
    <row r="6298" spans="11:13" x14ac:dyDescent="0.25">
      <c r="K6298" s="26" t="s">
        <v>110</v>
      </c>
      <c r="L6298" s="27" t="s">
        <v>116</v>
      </c>
      <c r="M6298" s="10">
        <v>38.54406228720466</v>
      </c>
    </row>
    <row r="6299" spans="11:13" x14ac:dyDescent="0.25">
      <c r="K6299" s="26" t="s">
        <v>111</v>
      </c>
      <c r="L6299" s="27" t="s">
        <v>117</v>
      </c>
      <c r="M6299" s="10">
        <v>64.84797178130512</v>
      </c>
    </row>
    <row r="6300" spans="11:13" x14ac:dyDescent="0.25">
      <c r="K6300" s="26" t="s">
        <v>111</v>
      </c>
      <c r="L6300" s="27" t="s">
        <v>118</v>
      </c>
      <c r="M6300" s="10">
        <v>30</v>
      </c>
    </row>
    <row r="6301" spans="11:13" x14ac:dyDescent="0.25">
      <c r="K6301" s="26" t="s">
        <v>111</v>
      </c>
      <c r="L6301" s="27" t="s">
        <v>119</v>
      </c>
      <c r="M6301" s="10">
        <v>215.65003080714726</v>
      </c>
    </row>
    <row r="6302" spans="11:13" x14ac:dyDescent="0.25">
      <c r="K6302" s="26" t="s">
        <v>111</v>
      </c>
      <c r="L6302" s="27" t="s">
        <v>115</v>
      </c>
      <c r="M6302" s="10">
        <v>277.0083102493075</v>
      </c>
    </row>
    <row r="6303" spans="11:13" x14ac:dyDescent="0.25">
      <c r="K6303" s="26" t="s">
        <v>111</v>
      </c>
      <c r="L6303" s="27" t="s">
        <v>116</v>
      </c>
      <c r="M6303" s="10">
        <v>61.614294516327789</v>
      </c>
    </row>
    <row r="6304" spans="11:13" x14ac:dyDescent="0.25">
      <c r="K6304" s="26" t="s">
        <v>110</v>
      </c>
      <c r="L6304" s="27" t="s">
        <v>117</v>
      </c>
      <c r="M6304" s="10">
        <v>34.470872113064452</v>
      </c>
    </row>
    <row r="6305" spans="11:13" x14ac:dyDescent="0.25">
      <c r="K6305" s="26" t="s">
        <v>109</v>
      </c>
      <c r="L6305" s="27" t="s">
        <v>118</v>
      </c>
      <c r="M6305" s="10">
        <v>42.359419675950441</v>
      </c>
    </row>
    <row r="6306" spans="11:13" x14ac:dyDescent="0.25">
      <c r="K6306" s="26" t="s">
        <v>109</v>
      </c>
      <c r="L6306" s="27" t="s">
        <v>119</v>
      </c>
      <c r="M6306" s="10">
        <v>462.10720887245844</v>
      </c>
    </row>
    <row r="6307" spans="11:13" x14ac:dyDescent="0.25">
      <c r="K6307" s="26" t="s">
        <v>109</v>
      </c>
      <c r="L6307" s="27" t="s">
        <v>115</v>
      </c>
      <c r="M6307" s="10">
        <v>61.614294516327789</v>
      </c>
    </row>
    <row r="6308" spans="11:13" x14ac:dyDescent="0.25">
      <c r="K6308" s="26" t="s">
        <v>110</v>
      </c>
      <c r="L6308" s="27" t="s">
        <v>116</v>
      </c>
      <c r="M6308" s="10">
        <v>61.614294516327789</v>
      </c>
    </row>
    <row r="6309" spans="11:13" x14ac:dyDescent="0.25">
      <c r="K6309" s="26" t="s">
        <v>109</v>
      </c>
      <c r="L6309" s="27" t="s">
        <v>117</v>
      </c>
      <c r="M6309" s="10">
        <v>462.10720887245844</v>
      </c>
    </row>
    <row r="6310" spans="11:13" x14ac:dyDescent="0.25">
      <c r="K6310" s="26" t="s">
        <v>109</v>
      </c>
      <c r="L6310" s="27" t="s">
        <v>118</v>
      </c>
      <c r="M6310" s="10">
        <v>15.403573629081947</v>
      </c>
    </row>
    <row r="6311" spans="11:13" x14ac:dyDescent="0.25">
      <c r="K6311" s="26" t="s">
        <v>110</v>
      </c>
      <c r="L6311" s="27" t="s">
        <v>119</v>
      </c>
      <c r="M6311" s="10">
        <v>23.105360443622921</v>
      </c>
    </row>
    <row r="6312" spans="11:13" x14ac:dyDescent="0.25">
      <c r="K6312" s="26" t="s">
        <v>110</v>
      </c>
      <c r="L6312" s="27" t="s">
        <v>115</v>
      </c>
      <c r="M6312" s="10">
        <v>15.403573629081947</v>
      </c>
    </row>
    <row r="6313" spans="11:13" x14ac:dyDescent="0.25">
      <c r="K6313" s="26" t="s">
        <v>111</v>
      </c>
      <c r="L6313" s="27" t="s">
        <v>116</v>
      </c>
      <c r="M6313" s="10">
        <v>15.403573629081947</v>
      </c>
    </row>
    <row r="6314" spans="11:13" x14ac:dyDescent="0.25">
      <c r="K6314" s="26" t="s">
        <v>110</v>
      </c>
      <c r="L6314" s="27" t="s">
        <v>117</v>
      </c>
      <c r="M6314" s="10">
        <v>15.403573629081947</v>
      </c>
    </row>
    <row r="6315" spans="11:13" x14ac:dyDescent="0.25">
      <c r="K6315" s="26" t="s">
        <v>109</v>
      </c>
      <c r="L6315" s="27" t="s">
        <v>118</v>
      </c>
      <c r="M6315" s="10">
        <v>15.403573629081947</v>
      </c>
    </row>
    <row r="6316" spans="11:13" x14ac:dyDescent="0.25">
      <c r="K6316" s="26" t="s">
        <v>111</v>
      </c>
      <c r="L6316" s="27" t="s">
        <v>119</v>
      </c>
      <c r="M6316" s="10">
        <v>15.403573629081947</v>
      </c>
    </row>
    <row r="6317" spans="11:13" x14ac:dyDescent="0.25">
      <c r="K6317" s="26" t="s">
        <v>111</v>
      </c>
      <c r="L6317" s="27" t="s">
        <v>115</v>
      </c>
      <c r="M6317" s="10">
        <v>15.403573629081947</v>
      </c>
    </row>
    <row r="6318" spans="11:13" x14ac:dyDescent="0.25">
      <c r="K6318" s="26" t="s">
        <v>111</v>
      </c>
      <c r="L6318" s="27" t="s">
        <v>116</v>
      </c>
      <c r="M6318" s="10">
        <v>19.8</v>
      </c>
    </row>
    <row r="6319" spans="11:13" x14ac:dyDescent="0.25">
      <c r="K6319" s="26" t="s">
        <v>111</v>
      </c>
      <c r="L6319" s="27" t="s">
        <v>117</v>
      </c>
      <c r="M6319" s="10">
        <v>330.68783068783068</v>
      </c>
    </row>
    <row r="6320" spans="11:13" x14ac:dyDescent="0.25">
      <c r="K6320" s="26" t="s">
        <v>110</v>
      </c>
      <c r="L6320" s="27" t="s">
        <v>118</v>
      </c>
      <c r="M6320" s="10">
        <v>91.585994669695125</v>
      </c>
    </row>
    <row r="6321" spans="11:13" x14ac:dyDescent="0.25">
      <c r="K6321" s="26" t="s">
        <v>111</v>
      </c>
      <c r="L6321" s="27" t="s">
        <v>119</v>
      </c>
      <c r="M6321" s="10">
        <v>412.13697601362799</v>
      </c>
    </row>
    <row r="6322" spans="11:13" x14ac:dyDescent="0.25">
      <c r="K6322" s="26" t="s">
        <v>110</v>
      </c>
      <c r="L6322" s="27" t="s">
        <v>115</v>
      </c>
      <c r="M6322" s="10">
        <v>91.585994669695125</v>
      </c>
    </row>
    <row r="6323" spans="11:13" x14ac:dyDescent="0.25">
      <c r="K6323" s="26" t="s">
        <v>110</v>
      </c>
      <c r="L6323" s="27" t="s">
        <v>116</v>
      </c>
      <c r="M6323" s="10">
        <v>82.427395202725606</v>
      </c>
    </row>
    <row r="6324" spans="11:13" x14ac:dyDescent="0.25">
      <c r="K6324" s="26" t="s">
        <v>110</v>
      </c>
      <c r="L6324" s="27" t="s">
        <v>117</v>
      </c>
      <c r="M6324" s="10">
        <v>12.822039253757318</v>
      </c>
    </row>
    <row r="6325" spans="11:13" x14ac:dyDescent="0.25">
      <c r="K6325" s="26" t="s">
        <v>110</v>
      </c>
      <c r="L6325" s="27" t="s">
        <v>118</v>
      </c>
      <c r="M6325" s="10">
        <v>82.427395202725606</v>
      </c>
    </row>
    <row r="6326" spans="11:13" x14ac:dyDescent="0.25">
      <c r="K6326" s="26" t="s">
        <v>110</v>
      </c>
      <c r="L6326" s="27" t="s">
        <v>119</v>
      </c>
      <c r="M6326" s="10">
        <v>28.391658347605489</v>
      </c>
    </row>
    <row r="6327" spans="11:13" x14ac:dyDescent="0.25">
      <c r="K6327" s="26" t="s">
        <v>110</v>
      </c>
      <c r="L6327" s="27" t="s">
        <v>115</v>
      </c>
      <c r="M6327" s="10">
        <v>10.990319360363413</v>
      </c>
    </row>
    <row r="6328" spans="11:13" x14ac:dyDescent="0.25">
      <c r="K6328" s="26" t="s">
        <v>110</v>
      </c>
      <c r="L6328" s="27" t="s">
        <v>116</v>
      </c>
      <c r="M6328" s="10">
        <v>327.82186948853615</v>
      </c>
    </row>
    <row r="6329" spans="11:13" x14ac:dyDescent="0.25">
      <c r="K6329" s="26" t="s">
        <v>110</v>
      </c>
      <c r="L6329" s="27" t="s">
        <v>117</v>
      </c>
      <c r="M6329" s="10">
        <v>91.585994669695125</v>
      </c>
    </row>
    <row r="6330" spans="11:13" x14ac:dyDescent="0.25">
      <c r="K6330" s="26" t="s">
        <v>114</v>
      </c>
      <c r="L6330" s="27" t="s">
        <v>118</v>
      </c>
      <c r="M6330" s="10">
        <v>0.2</v>
      </c>
    </row>
    <row r="6331" spans="11:13" x14ac:dyDescent="0.25">
      <c r="K6331" s="26" t="s">
        <v>111</v>
      </c>
      <c r="L6331" s="27" t="s">
        <v>119</v>
      </c>
      <c r="M6331" s="10">
        <v>220.45855379188714</v>
      </c>
    </row>
    <row r="6332" spans="11:13" x14ac:dyDescent="0.25">
      <c r="K6332" s="26" t="s">
        <v>111</v>
      </c>
      <c r="L6332" s="27" t="s">
        <v>115</v>
      </c>
      <c r="M6332" s="10">
        <v>770.17868145409739</v>
      </c>
    </row>
    <row r="6333" spans="11:13" x14ac:dyDescent="0.25">
      <c r="K6333" s="26" t="s">
        <v>111</v>
      </c>
      <c r="L6333" s="27" t="s">
        <v>116</v>
      </c>
      <c r="M6333" s="10">
        <v>92.592592592592595</v>
      </c>
    </row>
    <row r="6334" spans="11:13" x14ac:dyDescent="0.25">
      <c r="K6334" s="26" t="s">
        <v>109</v>
      </c>
      <c r="L6334" s="27" t="s">
        <v>117</v>
      </c>
      <c r="M6334" s="10">
        <v>4.529698199992291</v>
      </c>
    </row>
    <row r="6335" spans="11:13" x14ac:dyDescent="0.25">
      <c r="K6335" s="26" t="s">
        <v>110</v>
      </c>
      <c r="L6335" s="27" t="s">
        <v>118</v>
      </c>
      <c r="M6335" s="10">
        <v>821.90471815133003</v>
      </c>
    </row>
    <row r="6336" spans="11:13" x14ac:dyDescent="0.25">
      <c r="K6336" s="26" t="s">
        <v>110</v>
      </c>
      <c r="L6336" s="27" t="s">
        <v>119</v>
      </c>
      <c r="M6336" s="10">
        <v>75.701750356043561</v>
      </c>
    </row>
    <row r="6337" spans="11:13" x14ac:dyDescent="0.25">
      <c r="K6337" s="26" t="s">
        <v>110</v>
      </c>
      <c r="L6337" s="27" t="s">
        <v>115</v>
      </c>
      <c r="M6337" s="10">
        <v>3.8932328754536685</v>
      </c>
    </row>
    <row r="6338" spans="11:13" x14ac:dyDescent="0.25">
      <c r="K6338" s="26" t="s">
        <v>110</v>
      </c>
      <c r="L6338" s="27" t="s">
        <v>116</v>
      </c>
      <c r="M6338" s="10">
        <v>19.466164377268342</v>
      </c>
    </row>
    <row r="6339" spans="11:13" x14ac:dyDescent="0.25">
      <c r="K6339" s="26" t="s">
        <v>110</v>
      </c>
      <c r="L6339" s="27" t="s">
        <v>117</v>
      </c>
      <c r="M6339" s="10">
        <v>330.68783068783068</v>
      </c>
    </row>
    <row r="6340" spans="11:13" x14ac:dyDescent="0.25">
      <c r="K6340" s="26" t="s">
        <v>110</v>
      </c>
      <c r="L6340" s="27" t="s">
        <v>118</v>
      </c>
      <c r="M6340" s="10">
        <v>19.553527782304059</v>
      </c>
    </row>
    <row r="6341" spans="11:13" x14ac:dyDescent="0.25">
      <c r="K6341" s="26" t="s">
        <v>112</v>
      </c>
      <c r="L6341" s="27" t="s">
        <v>119</v>
      </c>
      <c r="M6341" s="10">
        <v>97.767638911520294</v>
      </c>
    </row>
    <row r="6342" spans="11:13" x14ac:dyDescent="0.25">
      <c r="K6342" s="26" t="s">
        <v>112</v>
      </c>
      <c r="L6342" s="27" t="s">
        <v>115</v>
      </c>
      <c r="M6342" s="10">
        <v>65.808090446639511</v>
      </c>
    </row>
    <row r="6343" spans="11:13" x14ac:dyDescent="0.25">
      <c r="K6343" s="26" t="s">
        <v>109</v>
      </c>
      <c r="L6343" s="27" t="s">
        <v>116</v>
      </c>
      <c r="M6343" s="10">
        <v>19.27203114360233</v>
      </c>
    </row>
    <row r="6344" spans="11:13" x14ac:dyDescent="0.25">
      <c r="K6344" s="26" t="s">
        <v>109</v>
      </c>
      <c r="L6344" s="27" t="s">
        <v>117</v>
      </c>
      <c r="M6344" s="10">
        <v>54.951596801817075</v>
      </c>
    </row>
    <row r="6345" spans="11:13" x14ac:dyDescent="0.25">
      <c r="K6345" s="26" t="s">
        <v>109</v>
      </c>
      <c r="L6345" s="27" t="s">
        <v>118</v>
      </c>
      <c r="M6345" s="10">
        <v>824.27395202725597</v>
      </c>
    </row>
    <row r="6346" spans="11:13" x14ac:dyDescent="0.25">
      <c r="K6346" s="26" t="s">
        <v>109</v>
      </c>
      <c r="L6346" s="27" t="s">
        <v>119</v>
      </c>
      <c r="M6346" s="10">
        <v>61.614294516327789</v>
      </c>
    </row>
    <row r="6347" spans="11:13" x14ac:dyDescent="0.25">
      <c r="K6347" s="26" t="s">
        <v>110</v>
      </c>
      <c r="L6347" s="27" t="s">
        <v>115</v>
      </c>
      <c r="M6347" s="10">
        <v>15.403573629081947</v>
      </c>
    </row>
    <row r="6348" spans="11:13" x14ac:dyDescent="0.25">
      <c r="K6348" s="26" t="s">
        <v>112</v>
      </c>
      <c r="L6348" s="27" t="s">
        <v>116</v>
      </c>
      <c r="M6348" s="10">
        <v>15.403573629081947</v>
      </c>
    </row>
    <row r="6349" spans="11:13" x14ac:dyDescent="0.25">
      <c r="K6349" s="26" t="s">
        <v>109</v>
      </c>
      <c r="L6349" s="27" t="s">
        <v>117</v>
      </c>
      <c r="M6349" s="10">
        <v>15.403573629081947</v>
      </c>
    </row>
    <row r="6350" spans="11:13" x14ac:dyDescent="0.25">
      <c r="K6350" s="26" t="s">
        <v>109</v>
      </c>
      <c r="L6350" s="27" t="s">
        <v>118</v>
      </c>
      <c r="M6350" s="10">
        <v>15.403573629081947</v>
      </c>
    </row>
    <row r="6351" spans="11:13" x14ac:dyDescent="0.25">
      <c r="K6351" s="26" t="s">
        <v>109</v>
      </c>
      <c r="L6351" s="27" t="s">
        <v>119</v>
      </c>
      <c r="M6351" s="10">
        <v>15.403573629081947</v>
      </c>
    </row>
    <row r="6352" spans="11:13" x14ac:dyDescent="0.25">
      <c r="K6352" s="26" t="s">
        <v>109</v>
      </c>
      <c r="L6352" s="27" t="s">
        <v>115</v>
      </c>
      <c r="M6352" s="10">
        <v>15.403573629081947</v>
      </c>
    </row>
    <row r="6353" spans="11:13" x14ac:dyDescent="0.25">
      <c r="K6353" s="26" t="s">
        <v>109</v>
      </c>
      <c r="L6353" s="27" t="s">
        <v>116</v>
      </c>
      <c r="M6353" s="10">
        <v>15.403573629081947</v>
      </c>
    </row>
    <row r="6354" spans="11:13" x14ac:dyDescent="0.25">
      <c r="K6354" s="26" t="s">
        <v>110</v>
      </c>
      <c r="L6354" s="27" t="s">
        <v>117</v>
      </c>
      <c r="M6354" s="10">
        <v>15.403573629081947</v>
      </c>
    </row>
    <row r="6355" spans="11:13" x14ac:dyDescent="0.25">
      <c r="K6355" s="26" t="s">
        <v>110</v>
      </c>
      <c r="L6355" s="27" t="s">
        <v>118</v>
      </c>
      <c r="M6355" s="10">
        <v>86.177180282661155</v>
      </c>
    </row>
    <row r="6356" spans="11:13" x14ac:dyDescent="0.25">
      <c r="K6356" s="26" t="s">
        <v>112</v>
      </c>
      <c r="L6356" s="27" t="s">
        <v>119</v>
      </c>
      <c r="M6356" s="10">
        <v>86.177180282661155</v>
      </c>
    </row>
    <row r="6357" spans="11:13" x14ac:dyDescent="0.25">
      <c r="K6357" s="26" t="s">
        <v>112</v>
      </c>
      <c r="L6357" s="27" t="s">
        <v>115</v>
      </c>
      <c r="M6357" s="10">
        <v>31.023784901758013</v>
      </c>
    </row>
    <row r="6358" spans="11:13" x14ac:dyDescent="0.25">
      <c r="K6358" s="26" t="s">
        <v>112</v>
      </c>
      <c r="L6358" s="27" t="s">
        <v>116</v>
      </c>
      <c r="M6358" s="10">
        <v>15.403573629081947</v>
      </c>
    </row>
    <row r="6359" spans="11:13" x14ac:dyDescent="0.25">
      <c r="K6359" s="26" t="s">
        <v>109</v>
      </c>
      <c r="L6359" s="27" t="s">
        <v>117</v>
      </c>
      <c r="M6359" s="10">
        <v>15.403573629081947</v>
      </c>
    </row>
    <row r="6360" spans="11:13" x14ac:dyDescent="0.25">
      <c r="K6360" s="26" t="s">
        <v>109</v>
      </c>
      <c r="L6360" s="27" t="s">
        <v>118</v>
      </c>
      <c r="M6360" s="10">
        <v>15.403573629081947</v>
      </c>
    </row>
    <row r="6361" spans="11:13" x14ac:dyDescent="0.25">
      <c r="K6361" s="26" t="s">
        <v>111</v>
      </c>
      <c r="L6361" s="27" t="s">
        <v>119</v>
      </c>
      <c r="M6361" s="10">
        <v>15.403573629081947</v>
      </c>
    </row>
    <row r="6362" spans="11:13" x14ac:dyDescent="0.25">
      <c r="K6362" s="26" t="s">
        <v>111</v>
      </c>
      <c r="L6362" s="27" t="s">
        <v>115</v>
      </c>
      <c r="M6362" s="10">
        <v>15.403573629081947</v>
      </c>
    </row>
    <row r="6363" spans="11:13" x14ac:dyDescent="0.25">
      <c r="K6363" s="26" t="s">
        <v>109</v>
      </c>
      <c r="L6363" s="27" t="s">
        <v>116</v>
      </c>
      <c r="M6363" s="10">
        <v>15.403573629081947</v>
      </c>
    </row>
    <row r="6364" spans="11:13" x14ac:dyDescent="0.25">
      <c r="K6364" s="26" t="s">
        <v>110</v>
      </c>
      <c r="L6364" s="27" t="s">
        <v>117</v>
      </c>
      <c r="M6364" s="10">
        <v>15.403573629081947</v>
      </c>
    </row>
    <row r="6365" spans="11:13" x14ac:dyDescent="0.25">
      <c r="K6365" s="26" t="s">
        <v>111</v>
      </c>
      <c r="L6365" s="27" t="s">
        <v>118</v>
      </c>
      <c r="M6365" s="10">
        <v>15.403573629081947</v>
      </c>
    </row>
    <row r="6366" spans="11:13" x14ac:dyDescent="0.25">
      <c r="K6366" s="26" t="s">
        <v>110</v>
      </c>
      <c r="L6366" s="27" t="s">
        <v>119</v>
      </c>
      <c r="M6366" s="10">
        <v>15.403573629081947</v>
      </c>
    </row>
    <row r="6367" spans="11:13" x14ac:dyDescent="0.25">
      <c r="K6367" s="26" t="s">
        <v>110</v>
      </c>
      <c r="L6367" s="27" t="s">
        <v>115</v>
      </c>
      <c r="M6367" s="10">
        <v>15.403573629081947</v>
      </c>
    </row>
    <row r="6368" spans="11:13" x14ac:dyDescent="0.25">
      <c r="K6368" s="26" t="s">
        <v>109</v>
      </c>
      <c r="L6368" s="27" t="s">
        <v>116</v>
      </c>
      <c r="M6368" s="10">
        <v>15.403573629081947</v>
      </c>
    </row>
    <row r="6369" spans="11:13" x14ac:dyDescent="0.25">
      <c r="K6369" s="26" t="s">
        <v>109</v>
      </c>
      <c r="L6369" s="27" t="s">
        <v>117</v>
      </c>
      <c r="M6369" s="10">
        <v>15.403573629081947</v>
      </c>
    </row>
    <row r="6370" spans="11:13" x14ac:dyDescent="0.25">
      <c r="K6370" s="26" t="s">
        <v>110</v>
      </c>
      <c r="L6370" s="27" t="s">
        <v>118</v>
      </c>
      <c r="M6370" s="10">
        <v>15.403573629081947</v>
      </c>
    </row>
    <row r="6371" spans="11:13" x14ac:dyDescent="0.25">
      <c r="K6371" s="26" t="s">
        <v>110</v>
      </c>
      <c r="L6371" s="27" t="s">
        <v>119</v>
      </c>
      <c r="M6371" s="10">
        <v>15.403573629081947</v>
      </c>
    </row>
    <row r="6372" spans="11:13" x14ac:dyDescent="0.25">
      <c r="K6372" s="26" t="s">
        <v>110</v>
      </c>
      <c r="L6372" s="27" t="s">
        <v>115</v>
      </c>
      <c r="M6372" s="10">
        <v>15.403573629081947</v>
      </c>
    </row>
    <row r="6373" spans="11:13" x14ac:dyDescent="0.25">
      <c r="K6373" s="26" t="s">
        <v>110</v>
      </c>
      <c r="L6373" s="27" t="s">
        <v>116</v>
      </c>
      <c r="M6373" s="10">
        <v>15.403573629081947</v>
      </c>
    </row>
    <row r="6374" spans="11:13" x14ac:dyDescent="0.25">
      <c r="K6374" s="26" t="s">
        <v>110</v>
      </c>
      <c r="L6374" s="27" t="s">
        <v>117</v>
      </c>
      <c r="M6374" s="10">
        <v>66.137566137566139</v>
      </c>
    </row>
    <row r="6375" spans="11:13" x14ac:dyDescent="0.25">
      <c r="K6375" s="26" t="s">
        <v>111</v>
      </c>
      <c r="L6375" s="27" t="s">
        <v>118</v>
      </c>
      <c r="M6375" s="10">
        <v>423.59419675950437</v>
      </c>
    </row>
    <row r="6376" spans="11:13" x14ac:dyDescent="0.25">
      <c r="K6376" s="26" t="s">
        <v>110</v>
      </c>
      <c r="L6376" s="27" t="s">
        <v>119</v>
      </c>
      <c r="M6376" s="10">
        <v>50</v>
      </c>
    </row>
    <row r="6377" spans="11:13" x14ac:dyDescent="0.25">
      <c r="K6377" s="26" t="s">
        <v>110</v>
      </c>
      <c r="L6377" s="27" t="s">
        <v>115</v>
      </c>
      <c r="M6377" s="10">
        <v>236</v>
      </c>
    </row>
    <row r="6378" spans="11:13" x14ac:dyDescent="0.25">
      <c r="K6378" s="26" t="s">
        <v>109</v>
      </c>
      <c r="L6378" s="27" t="s">
        <v>116</v>
      </c>
      <c r="M6378" s="10">
        <v>100</v>
      </c>
    </row>
    <row r="6379" spans="11:13" x14ac:dyDescent="0.25">
      <c r="K6379" s="26" t="s">
        <v>109</v>
      </c>
      <c r="L6379" s="27" t="s">
        <v>117</v>
      </c>
      <c r="M6379" s="10">
        <v>183.17198933939025</v>
      </c>
    </row>
    <row r="6380" spans="11:13" x14ac:dyDescent="0.25">
      <c r="K6380" s="26" t="s">
        <v>111</v>
      </c>
      <c r="L6380" s="27" t="s">
        <v>118</v>
      </c>
      <c r="M6380" s="10">
        <v>15.403573629081947</v>
      </c>
    </row>
    <row r="6381" spans="11:13" x14ac:dyDescent="0.25">
      <c r="K6381" s="26" t="s">
        <v>109</v>
      </c>
      <c r="L6381" s="27" t="s">
        <v>119</v>
      </c>
      <c r="M6381" s="10">
        <v>15.403573629081947</v>
      </c>
    </row>
    <row r="6382" spans="11:13" x14ac:dyDescent="0.25">
      <c r="K6382" s="26" t="s">
        <v>110</v>
      </c>
      <c r="L6382" s="27" t="s">
        <v>115</v>
      </c>
      <c r="M6382" s="10">
        <v>15.403573629081947</v>
      </c>
    </row>
    <row r="6383" spans="11:13" x14ac:dyDescent="0.25">
      <c r="K6383" s="26" t="s">
        <v>110</v>
      </c>
      <c r="L6383" s="27" t="s">
        <v>116</v>
      </c>
      <c r="M6383" s="10">
        <v>15.403573629081947</v>
      </c>
    </row>
    <row r="6384" spans="11:13" x14ac:dyDescent="0.25">
      <c r="K6384" s="26" t="s">
        <v>110</v>
      </c>
      <c r="L6384" s="27" t="s">
        <v>117</v>
      </c>
      <c r="M6384" s="10">
        <v>15.403573629081947</v>
      </c>
    </row>
    <row r="6385" spans="11:13" x14ac:dyDescent="0.25">
      <c r="K6385" s="26" t="s">
        <v>110</v>
      </c>
      <c r="L6385" s="27" t="s">
        <v>118</v>
      </c>
      <c r="M6385" s="10">
        <v>15.403573629081947</v>
      </c>
    </row>
    <row r="6386" spans="11:13" x14ac:dyDescent="0.25">
      <c r="K6386" s="26" t="s">
        <v>110</v>
      </c>
      <c r="L6386" s="27" t="s">
        <v>119</v>
      </c>
      <c r="M6386" s="10">
        <v>15.403573629081947</v>
      </c>
    </row>
    <row r="6387" spans="11:13" x14ac:dyDescent="0.25">
      <c r="K6387" s="26" t="s">
        <v>110</v>
      </c>
      <c r="L6387" s="27" t="s">
        <v>115</v>
      </c>
      <c r="M6387" s="10">
        <v>15.403573629081947</v>
      </c>
    </row>
    <row r="6388" spans="11:13" x14ac:dyDescent="0.25">
      <c r="K6388" s="26" t="s">
        <v>111</v>
      </c>
      <c r="L6388" s="27" t="s">
        <v>116</v>
      </c>
      <c r="M6388" s="10">
        <v>15.403573629081947</v>
      </c>
    </row>
    <row r="6389" spans="11:13" x14ac:dyDescent="0.25">
      <c r="K6389" s="26" t="s">
        <v>111</v>
      </c>
      <c r="L6389" s="27" t="s">
        <v>117</v>
      </c>
      <c r="M6389" s="10">
        <v>15.403573629081947</v>
      </c>
    </row>
    <row r="6390" spans="11:13" x14ac:dyDescent="0.25">
      <c r="K6390" s="26" t="s">
        <v>111</v>
      </c>
      <c r="L6390" s="27" t="s">
        <v>118</v>
      </c>
      <c r="M6390" s="10">
        <v>15.403573629081947</v>
      </c>
    </row>
    <row r="6391" spans="11:13" x14ac:dyDescent="0.25">
      <c r="K6391" s="26" t="s">
        <v>109</v>
      </c>
      <c r="L6391" s="27" t="s">
        <v>119</v>
      </c>
      <c r="M6391" s="10">
        <v>15.403573629081947</v>
      </c>
    </row>
    <row r="6392" spans="11:13" x14ac:dyDescent="0.25">
      <c r="K6392" s="26" t="s">
        <v>109</v>
      </c>
      <c r="L6392" s="27" t="s">
        <v>115</v>
      </c>
      <c r="M6392" s="10">
        <v>15.403573629081947</v>
      </c>
    </row>
    <row r="6393" spans="11:13" x14ac:dyDescent="0.25">
      <c r="K6393" s="26" t="s">
        <v>110</v>
      </c>
      <c r="L6393" s="27" t="s">
        <v>116</v>
      </c>
      <c r="M6393" s="10">
        <v>15.403573629081947</v>
      </c>
    </row>
    <row r="6394" spans="11:13" x14ac:dyDescent="0.25">
      <c r="K6394" s="26" t="s">
        <v>110</v>
      </c>
      <c r="L6394" s="27" t="s">
        <v>117</v>
      </c>
      <c r="M6394" s="10">
        <v>15.403573629081947</v>
      </c>
    </row>
    <row r="6395" spans="11:13" x14ac:dyDescent="0.25">
      <c r="K6395" s="26" t="s">
        <v>110</v>
      </c>
      <c r="L6395" s="27" t="s">
        <v>118</v>
      </c>
      <c r="M6395" s="10">
        <v>15.403573629081947</v>
      </c>
    </row>
    <row r="6396" spans="11:13" x14ac:dyDescent="0.25">
      <c r="K6396" s="26" t="s">
        <v>110</v>
      </c>
      <c r="L6396" s="27" t="s">
        <v>119</v>
      </c>
      <c r="M6396" s="10">
        <v>15.403573629081947</v>
      </c>
    </row>
    <row r="6397" spans="11:13" x14ac:dyDescent="0.25">
      <c r="K6397" s="26" t="s">
        <v>110</v>
      </c>
      <c r="L6397" s="27" t="s">
        <v>115</v>
      </c>
      <c r="M6397" s="10">
        <v>15.403573629081947</v>
      </c>
    </row>
    <row r="6398" spans="11:13" x14ac:dyDescent="0.25">
      <c r="K6398" s="26" t="s">
        <v>109</v>
      </c>
      <c r="L6398" s="27" t="s">
        <v>116</v>
      </c>
      <c r="M6398" s="10">
        <v>15.403573629081947</v>
      </c>
    </row>
    <row r="6399" spans="11:13" x14ac:dyDescent="0.25">
      <c r="K6399" s="26" t="s">
        <v>109</v>
      </c>
      <c r="L6399" s="27" t="s">
        <v>117</v>
      </c>
      <c r="M6399" s="10">
        <v>15.403573629081947</v>
      </c>
    </row>
    <row r="6400" spans="11:13" x14ac:dyDescent="0.25">
      <c r="K6400" s="26" t="s">
        <v>110</v>
      </c>
      <c r="L6400" s="27" t="s">
        <v>118</v>
      </c>
      <c r="M6400" s="10">
        <v>15.403573629081947</v>
      </c>
    </row>
    <row r="6401" spans="11:13" x14ac:dyDescent="0.25">
      <c r="K6401" s="26" t="s">
        <v>110</v>
      </c>
      <c r="L6401" s="27" t="s">
        <v>119</v>
      </c>
      <c r="M6401" s="10">
        <v>15.403573629081947</v>
      </c>
    </row>
    <row r="6402" spans="11:13" x14ac:dyDescent="0.25">
      <c r="K6402" s="26" t="s">
        <v>110</v>
      </c>
      <c r="L6402" s="27" t="s">
        <v>115</v>
      </c>
      <c r="M6402" s="10">
        <v>15.403573629081947</v>
      </c>
    </row>
    <row r="6403" spans="11:13" x14ac:dyDescent="0.25">
      <c r="K6403" s="26" t="s">
        <v>109</v>
      </c>
      <c r="L6403" s="27" t="s">
        <v>116</v>
      </c>
      <c r="M6403" s="10">
        <v>15.403573629081947</v>
      </c>
    </row>
    <row r="6404" spans="11:13" x14ac:dyDescent="0.25">
      <c r="K6404" s="26" t="s">
        <v>109</v>
      </c>
      <c r="L6404" s="27" t="s">
        <v>117</v>
      </c>
      <c r="M6404" s="10">
        <v>15.403573629081947</v>
      </c>
    </row>
    <row r="6405" spans="11:13" x14ac:dyDescent="0.25">
      <c r="K6405" s="26" t="s">
        <v>110</v>
      </c>
      <c r="L6405" s="27" t="s">
        <v>118</v>
      </c>
      <c r="M6405" s="10">
        <v>15.403573629081947</v>
      </c>
    </row>
    <row r="6406" spans="11:13" x14ac:dyDescent="0.25">
      <c r="K6406" s="26" t="s">
        <v>109</v>
      </c>
      <c r="L6406" s="27" t="s">
        <v>119</v>
      </c>
      <c r="M6406" s="10">
        <v>15.403573629081947</v>
      </c>
    </row>
    <row r="6407" spans="11:13" x14ac:dyDescent="0.25">
      <c r="K6407" s="26" t="s">
        <v>110</v>
      </c>
      <c r="L6407" s="27" t="s">
        <v>115</v>
      </c>
      <c r="M6407" s="10">
        <v>64.195153265928425</v>
      </c>
    </row>
    <row r="6408" spans="11:13" x14ac:dyDescent="0.25">
      <c r="K6408" s="26" t="s">
        <v>109</v>
      </c>
      <c r="L6408" s="27" t="s">
        <v>116</v>
      </c>
      <c r="M6408" s="10">
        <v>44.804894179894184</v>
      </c>
    </row>
    <row r="6409" spans="11:13" x14ac:dyDescent="0.25">
      <c r="K6409" s="26" t="s">
        <v>110</v>
      </c>
      <c r="L6409" s="27" t="s">
        <v>117</v>
      </c>
      <c r="M6409" s="10">
        <v>7.0000000000000007E-2</v>
      </c>
    </row>
    <row r="6410" spans="11:13" x14ac:dyDescent="0.25">
      <c r="K6410" s="26" t="s">
        <v>109</v>
      </c>
      <c r="L6410" s="27" t="s">
        <v>118</v>
      </c>
      <c r="M6410" s="10">
        <v>0.06</v>
      </c>
    </row>
    <row r="6411" spans="11:13" x14ac:dyDescent="0.25">
      <c r="K6411" s="26" t="s">
        <v>109</v>
      </c>
      <c r="L6411" s="27" t="s">
        <v>119</v>
      </c>
      <c r="M6411" s="10">
        <v>0.7701786814540974</v>
      </c>
    </row>
    <row r="6412" spans="11:13" x14ac:dyDescent="0.25">
      <c r="K6412" s="26" t="s">
        <v>109</v>
      </c>
      <c r="L6412" s="27" t="s">
        <v>115</v>
      </c>
      <c r="M6412" s="10">
        <v>1.5403573629081948</v>
      </c>
    </row>
    <row r="6413" spans="11:13" x14ac:dyDescent="0.25">
      <c r="K6413" s="26" t="s">
        <v>109</v>
      </c>
      <c r="L6413" s="27" t="s">
        <v>116</v>
      </c>
      <c r="M6413" s="10">
        <v>1.5403573629081948</v>
      </c>
    </row>
    <row r="6414" spans="11:13" x14ac:dyDescent="0.25">
      <c r="K6414" s="26" t="s">
        <v>110</v>
      </c>
      <c r="L6414" s="27" t="s">
        <v>117</v>
      </c>
      <c r="M6414" s="10">
        <v>1.2322858903265556E-3</v>
      </c>
    </row>
    <row r="6415" spans="11:13" x14ac:dyDescent="0.25">
      <c r="K6415" s="26" t="s">
        <v>109</v>
      </c>
      <c r="L6415" s="27" t="s">
        <v>118</v>
      </c>
      <c r="M6415" s="10">
        <v>15.403573629081947</v>
      </c>
    </row>
    <row r="6416" spans="11:13" x14ac:dyDescent="0.25">
      <c r="K6416" s="26" t="s">
        <v>110</v>
      </c>
      <c r="L6416" s="27" t="s">
        <v>119</v>
      </c>
      <c r="M6416" s="10">
        <v>15.403573629081947</v>
      </c>
    </row>
    <row r="6417" spans="11:13" x14ac:dyDescent="0.25">
      <c r="K6417" s="26" t="s">
        <v>110</v>
      </c>
      <c r="L6417" s="27" t="s">
        <v>115</v>
      </c>
      <c r="M6417" s="10">
        <v>138.63216266173754</v>
      </c>
    </row>
    <row r="6418" spans="11:13" x14ac:dyDescent="0.25">
      <c r="K6418" s="26" t="s">
        <v>110</v>
      </c>
      <c r="L6418" s="27" t="s">
        <v>116</v>
      </c>
      <c r="M6418" s="10">
        <v>152.49391083342158</v>
      </c>
    </row>
    <row r="6419" spans="11:13" x14ac:dyDescent="0.25">
      <c r="K6419" s="26" t="s">
        <v>109</v>
      </c>
      <c r="L6419" s="27" t="s">
        <v>117</v>
      </c>
      <c r="M6419" s="10">
        <v>201.20724346076457</v>
      </c>
    </row>
    <row r="6420" spans="11:13" x14ac:dyDescent="0.25">
      <c r="K6420" s="26" t="s">
        <v>110</v>
      </c>
      <c r="L6420" s="27" t="s">
        <v>118</v>
      </c>
      <c r="M6420" s="10">
        <v>95</v>
      </c>
    </row>
    <row r="6421" spans="11:13" x14ac:dyDescent="0.25">
      <c r="K6421" s="26" t="s">
        <v>110</v>
      </c>
      <c r="L6421" s="27" t="s">
        <v>119</v>
      </c>
      <c r="M6421" s="10">
        <v>105.89854918987609</v>
      </c>
    </row>
    <row r="6422" spans="11:13" x14ac:dyDescent="0.25">
      <c r="K6422" s="26" t="s">
        <v>109</v>
      </c>
      <c r="L6422" s="27" t="s">
        <v>115</v>
      </c>
      <c r="M6422" s="10">
        <v>15.403573629081947</v>
      </c>
    </row>
    <row r="6423" spans="11:13" x14ac:dyDescent="0.25">
      <c r="K6423" s="26" t="s">
        <v>110</v>
      </c>
      <c r="L6423" s="27" t="s">
        <v>116</v>
      </c>
      <c r="M6423" s="10">
        <v>15.403573629081947</v>
      </c>
    </row>
    <row r="6424" spans="11:13" x14ac:dyDescent="0.25">
      <c r="K6424" s="26" t="s">
        <v>109</v>
      </c>
      <c r="L6424" s="27" t="s">
        <v>117</v>
      </c>
      <c r="M6424" s="10">
        <v>15.403573629081947</v>
      </c>
    </row>
    <row r="6425" spans="11:13" x14ac:dyDescent="0.25">
      <c r="K6425" s="26" t="s">
        <v>110</v>
      </c>
      <c r="L6425" s="27" t="s">
        <v>118</v>
      </c>
      <c r="M6425" s="10">
        <v>100.12322858903266</v>
      </c>
    </row>
    <row r="6426" spans="11:13" x14ac:dyDescent="0.25">
      <c r="K6426" s="26" t="s">
        <v>109</v>
      </c>
      <c r="L6426" s="27" t="s">
        <v>119</v>
      </c>
      <c r="M6426" s="10">
        <v>15.403573629081947</v>
      </c>
    </row>
    <row r="6427" spans="11:13" x14ac:dyDescent="0.25">
      <c r="K6427" s="26" t="s">
        <v>109</v>
      </c>
      <c r="L6427" s="27" t="s">
        <v>115</v>
      </c>
      <c r="M6427" s="10">
        <v>92.421441774491683</v>
      </c>
    </row>
    <row r="6428" spans="11:13" x14ac:dyDescent="0.25">
      <c r="K6428" s="26" t="s">
        <v>110</v>
      </c>
      <c r="L6428" s="27" t="s">
        <v>116</v>
      </c>
      <c r="M6428" s="10">
        <v>15.403573629081947</v>
      </c>
    </row>
    <row r="6429" spans="11:13" x14ac:dyDescent="0.25">
      <c r="K6429" s="26" t="s">
        <v>110</v>
      </c>
      <c r="L6429" s="27" t="s">
        <v>117</v>
      </c>
      <c r="M6429" s="10">
        <v>15.403573629081947</v>
      </c>
    </row>
    <row r="6430" spans="11:13" x14ac:dyDescent="0.25">
      <c r="K6430" s="26" t="s">
        <v>112</v>
      </c>
      <c r="L6430" s="27" t="s">
        <v>118</v>
      </c>
      <c r="M6430" s="10">
        <v>15.403573629081947</v>
      </c>
    </row>
    <row r="6431" spans="11:13" x14ac:dyDescent="0.25">
      <c r="K6431" s="26" t="s">
        <v>110</v>
      </c>
      <c r="L6431" s="27" t="s">
        <v>119</v>
      </c>
      <c r="M6431" s="10">
        <v>77.017868145409736</v>
      </c>
    </row>
    <row r="6432" spans="11:13" x14ac:dyDescent="0.25">
      <c r="K6432" s="26" t="s">
        <v>110</v>
      </c>
      <c r="L6432" s="27" t="s">
        <v>115</v>
      </c>
      <c r="M6432" s="10">
        <v>15.403573629081947</v>
      </c>
    </row>
    <row r="6433" spans="11:13" x14ac:dyDescent="0.25">
      <c r="K6433" s="26" t="s">
        <v>110</v>
      </c>
      <c r="L6433" s="27" t="s">
        <v>116</v>
      </c>
      <c r="M6433" s="10">
        <v>15.403573629081947</v>
      </c>
    </row>
    <row r="6434" spans="11:13" x14ac:dyDescent="0.25">
      <c r="K6434" s="26" t="s">
        <v>110</v>
      </c>
      <c r="L6434" s="27" t="s">
        <v>117</v>
      </c>
      <c r="M6434" s="10">
        <v>15.403573629081947</v>
      </c>
    </row>
    <row r="6435" spans="11:13" x14ac:dyDescent="0.25">
      <c r="K6435" s="26" t="s">
        <v>111</v>
      </c>
      <c r="L6435" s="27" t="s">
        <v>118</v>
      </c>
      <c r="M6435" s="10">
        <v>123.22858903265558</v>
      </c>
    </row>
    <row r="6436" spans="11:13" x14ac:dyDescent="0.25">
      <c r="K6436" s="26" t="s">
        <v>109</v>
      </c>
      <c r="L6436" s="27" t="s">
        <v>119</v>
      </c>
      <c r="M6436" s="10">
        <v>15.403573629081947</v>
      </c>
    </row>
    <row r="6437" spans="11:13" x14ac:dyDescent="0.25">
      <c r="K6437" s="26" t="s">
        <v>109</v>
      </c>
      <c r="L6437" s="27" t="s">
        <v>115</v>
      </c>
      <c r="M6437" s="10">
        <v>28.592608281266543</v>
      </c>
    </row>
    <row r="6438" spans="11:13" x14ac:dyDescent="0.25">
      <c r="K6438" s="26" t="s">
        <v>110</v>
      </c>
      <c r="L6438" s="27" t="s">
        <v>116</v>
      </c>
      <c r="M6438" s="10">
        <v>15.403573629081947</v>
      </c>
    </row>
    <row r="6439" spans="11:13" x14ac:dyDescent="0.25">
      <c r="K6439" s="26" t="s">
        <v>109</v>
      </c>
      <c r="L6439" s="27" t="s">
        <v>117</v>
      </c>
      <c r="M6439" s="10">
        <v>15.403573629081947</v>
      </c>
    </row>
    <row r="6440" spans="11:13" x14ac:dyDescent="0.25">
      <c r="K6440" s="26" t="s">
        <v>109</v>
      </c>
      <c r="L6440" s="27" t="s">
        <v>118</v>
      </c>
      <c r="M6440" s="10">
        <v>15.403573629081947</v>
      </c>
    </row>
    <row r="6441" spans="11:13" x14ac:dyDescent="0.25">
      <c r="K6441" s="26" t="s">
        <v>110</v>
      </c>
      <c r="L6441" s="27" t="s">
        <v>119</v>
      </c>
      <c r="M6441" s="10">
        <v>15.403573629081947</v>
      </c>
    </row>
    <row r="6442" spans="11:13" x14ac:dyDescent="0.25">
      <c r="K6442" s="26" t="s">
        <v>110</v>
      </c>
      <c r="L6442" s="27" t="s">
        <v>115</v>
      </c>
      <c r="M6442" s="10">
        <v>15.403573629081947</v>
      </c>
    </row>
    <row r="6443" spans="11:13" x14ac:dyDescent="0.25">
      <c r="K6443" s="26" t="s">
        <v>111</v>
      </c>
      <c r="L6443" s="27" t="s">
        <v>116</v>
      </c>
      <c r="M6443" s="10">
        <v>15.403573629081947</v>
      </c>
    </row>
    <row r="6444" spans="11:13" x14ac:dyDescent="0.25">
      <c r="K6444" s="26" t="s">
        <v>111</v>
      </c>
      <c r="L6444" s="27" t="s">
        <v>117</v>
      </c>
      <c r="M6444" s="10">
        <v>15.403573629081947</v>
      </c>
    </row>
    <row r="6445" spans="11:13" x14ac:dyDescent="0.25">
      <c r="K6445" s="26" t="s">
        <v>112</v>
      </c>
      <c r="L6445" s="27" t="s">
        <v>118</v>
      </c>
      <c r="M6445" s="10">
        <v>15.403573629081947</v>
      </c>
    </row>
    <row r="6446" spans="11:13" x14ac:dyDescent="0.25">
      <c r="K6446" s="26" t="s">
        <v>112</v>
      </c>
      <c r="L6446" s="27" t="s">
        <v>119</v>
      </c>
      <c r="M6446" s="10">
        <v>15.403573629081947</v>
      </c>
    </row>
    <row r="6447" spans="11:13" x14ac:dyDescent="0.25">
      <c r="K6447" s="26" t="s">
        <v>110</v>
      </c>
      <c r="L6447" s="27" t="s">
        <v>115</v>
      </c>
      <c r="M6447" s="10">
        <v>15.403573629081947</v>
      </c>
    </row>
    <row r="6448" spans="11:13" x14ac:dyDescent="0.25">
      <c r="K6448" s="26" t="s">
        <v>111</v>
      </c>
      <c r="L6448" s="27" t="s">
        <v>116</v>
      </c>
      <c r="M6448" s="10">
        <v>15.403573629081947</v>
      </c>
    </row>
    <row r="6449" spans="11:13" x14ac:dyDescent="0.25">
      <c r="K6449" s="26" t="s">
        <v>109</v>
      </c>
      <c r="L6449" s="27" t="s">
        <v>117</v>
      </c>
      <c r="M6449" s="10">
        <v>15.403573629081947</v>
      </c>
    </row>
    <row r="6450" spans="11:13" x14ac:dyDescent="0.25">
      <c r="K6450" s="26" t="s">
        <v>110</v>
      </c>
      <c r="L6450" s="27" t="s">
        <v>118</v>
      </c>
      <c r="M6450" s="10">
        <v>15.403573629081947</v>
      </c>
    </row>
    <row r="6451" spans="11:13" x14ac:dyDescent="0.25">
      <c r="K6451" s="26" t="s">
        <v>110</v>
      </c>
      <c r="L6451" s="27" t="s">
        <v>119</v>
      </c>
      <c r="M6451" s="10">
        <v>15.403573629081947</v>
      </c>
    </row>
    <row r="6452" spans="11:13" x14ac:dyDescent="0.25">
      <c r="K6452" s="26" t="s">
        <v>110</v>
      </c>
      <c r="L6452" s="27" t="s">
        <v>115</v>
      </c>
      <c r="M6452" s="10">
        <v>15.403573629081947</v>
      </c>
    </row>
    <row r="6453" spans="11:13" x14ac:dyDescent="0.25">
      <c r="K6453" s="26" t="s">
        <v>113</v>
      </c>
      <c r="L6453" s="27" t="s">
        <v>116</v>
      </c>
      <c r="M6453" s="10">
        <v>15.403573629081947</v>
      </c>
    </row>
    <row r="6454" spans="11:13" x14ac:dyDescent="0.25">
      <c r="K6454" s="26" t="s">
        <v>113</v>
      </c>
      <c r="L6454" s="27" t="s">
        <v>117</v>
      </c>
      <c r="M6454" s="10">
        <v>15.403573629081947</v>
      </c>
    </row>
    <row r="6455" spans="11:13" x14ac:dyDescent="0.25">
      <c r="K6455" s="26" t="s">
        <v>110</v>
      </c>
      <c r="L6455" s="27" t="s">
        <v>118</v>
      </c>
      <c r="M6455" s="10">
        <v>15.403573629081947</v>
      </c>
    </row>
    <row r="6456" spans="11:13" x14ac:dyDescent="0.25">
      <c r="K6456" s="26" t="s">
        <v>110</v>
      </c>
      <c r="L6456" s="27" t="s">
        <v>119</v>
      </c>
      <c r="M6456" s="10">
        <v>15.403573629081947</v>
      </c>
    </row>
    <row r="6457" spans="11:13" x14ac:dyDescent="0.25">
      <c r="K6457" s="26" t="s">
        <v>111</v>
      </c>
      <c r="L6457" s="27" t="s">
        <v>115</v>
      </c>
      <c r="M6457" s="10">
        <v>15.403573629081947</v>
      </c>
    </row>
    <row r="6458" spans="11:13" x14ac:dyDescent="0.25">
      <c r="K6458" s="26" t="s">
        <v>111</v>
      </c>
      <c r="L6458" s="27" t="s">
        <v>116</v>
      </c>
      <c r="M6458" s="10">
        <v>15.403573629081947</v>
      </c>
    </row>
    <row r="6459" spans="11:13" x14ac:dyDescent="0.25">
      <c r="K6459" s="26" t="s">
        <v>111</v>
      </c>
      <c r="L6459" s="27" t="s">
        <v>117</v>
      </c>
      <c r="M6459" s="10">
        <v>15.403573629081947</v>
      </c>
    </row>
    <row r="6460" spans="11:13" x14ac:dyDescent="0.25">
      <c r="K6460" s="26" t="s">
        <v>110</v>
      </c>
      <c r="L6460" s="27" t="s">
        <v>118</v>
      </c>
      <c r="M6460" s="10">
        <v>15.403573629081947</v>
      </c>
    </row>
    <row r="6461" spans="11:13" x14ac:dyDescent="0.25">
      <c r="K6461" s="26" t="s">
        <v>110</v>
      </c>
      <c r="L6461" s="27" t="s">
        <v>119</v>
      </c>
      <c r="M6461" s="10">
        <v>15.403573629081947</v>
      </c>
    </row>
    <row r="6462" spans="11:13" x14ac:dyDescent="0.25">
      <c r="K6462" s="26" t="s">
        <v>109</v>
      </c>
      <c r="L6462" s="27" t="s">
        <v>115</v>
      </c>
      <c r="M6462" s="10">
        <v>15.403573629081947</v>
      </c>
    </row>
    <row r="6463" spans="11:13" x14ac:dyDescent="0.25">
      <c r="K6463" s="26" t="s">
        <v>110</v>
      </c>
      <c r="L6463" s="27" t="s">
        <v>116</v>
      </c>
      <c r="M6463" s="10">
        <v>15.403573629081947</v>
      </c>
    </row>
    <row r="6464" spans="11:13" x14ac:dyDescent="0.25">
      <c r="K6464" s="26" t="s">
        <v>110</v>
      </c>
      <c r="L6464" s="27" t="s">
        <v>117</v>
      </c>
      <c r="M6464" s="10">
        <v>500</v>
      </c>
    </row>
    <row r="6465" spans="11:13" x14ac:dyDescent="0.25">
      <c r="K6465" s="26" t="s">
        <v>110</v>
      </c>
      <c r="L6465" s="27" t="s">
        <v>118</v>
      </c>
      <c r="M6465" s="10">
        <v>128.48020762401552</v>
      </c>
    </row>
    <row r="6466" spans="11:13" x14ac:dyDescent="0.25">
      <c r="K6466" s="26" t="s">
        <v>109</v>
      </c>
      <c r="L6466" s="27" t="s">
        <v>119</v>
      </c>
      <c r="M6466" s="10">
        <v>84.718839351900883</v>
      </c>
    </row>
    <row r="6467" spans="11:13" x14ac:dyDescent="0.25">
      <c r="K6467" s="26" t="s">
        <v>109</v>
      </c>
      <c r="L6467" s="27" t="s">
        <v>115</v>
      </c>
      <c r="M6467" s="10">
        <v>2.5696041524803106</v>
      </c>
    </row>
    <row r="6468" spans="11:13" x14ac:dyDescent="0.25">
      <c r="K6468" s="26" t="s">
        <v>110</v>
      </c>
      <c r="L6468" s="27" t="s">
        <v>116</v>
      </c>
      <c r="M6468" s="10">
        <v>46.252874744645588</v>
      </c>
    </row>
    <row r="6469" spans="11:13" x14ac:dyDescent="0.25">
      <c r="K6469" s="26" t="s">
        <v>110</v>
      </c>
      <c r="L6469" s="27" t="s">
        <v>117</v>
      </c>
      <c r="M6469" s="10">
        <v>317.69564756962825</v>
      </c>
    </row>
    <row r="6470" spans="11:13" x14ac:dyDescent="0.25">
      <c r="K6470" s="26" t="s">
        <v>109</v>
      </c>
      <c r="L6470" s="27" t="s">
        <v>118</v>
      </c>
      <c r="M6470" s="10">
        <v>870.57012909450089</v>
      </c>
    </row>
    <row r="6471" spans="11:13" x14ac:dyDescent="0.25">
      <c r="K6471" s="26" t="s">
        <v>110</v>
      </c>
      <c r="L6471" s="27" t="s">
        <v>119</v>
      </c>
      <c r="M6471" s="10">
        <v>4.0215088805605346</v>
      </c>
    </row>
    <row r="6472" spans="11:13" x14ac:dyDescent="0.25">
      <c r="K6472" s="26" t="s">
        <v>114</v>
      </c>
      <c r="L6472" s="27" t="s">
        <v>115</v>
      </c>
      <c r="M6472" s="10">
        <v>248.51785714285717</v>
      </c>
    </row>
    <row r="6473" spans="11:13" x14ac:dyDescent="0.25">
      <c r="K6473" s="26" t="s">
        <v>114</v>
      </c>
      <c r="L6473" s="27" t="s">
        <v>116</v>
      </c>
      <c r="M6473" s="10">
        <v>76.168981481481495</v>
      </c>
    </row>
    <row r="6474" spans="11:13" x14ac:dyDescent="0.25">
      <c r="K6474" s="26" t="s">
        <v>114</v>
      </c>
      <c r="L6474" s="27" t="s">
        <v>117</v>
      </c>
      <c r="M6474" s="10">
        <v>211.79709837975219</v>
      </c>
    </row>
    <row r="6475" spans="11:13" x14ac:dyDescent="0.25">
      <c r="K6475" s="26" t="s">
        <v>112</v>
      </c>
      <c r="L6475" s="27" t="s">
        <v>118</v>
      </c>
      <c r="M6475" s="10">
        <v>61.614294516327789</v>
      </c>
    </row>
    <row r="6476" spans="11:13" x14ac:dyDescent="0.25">
      <c r="K6476" s="26" t="s">
        <v>110</v>
      </c>
      <c r="L6476" s="27" t="s">
        <v>119</v>
      </c>
      <c r="M6476" s="10">
        <v>6.9259259259259265</v>
      </c>
    </row>
    <row r="6477" spans="11:13" x14ac:dyDescent="0.25">
      <c r="K6477" s="26" t="s">
        <v>110</v>
      </c>
      <c r="L6477" s="27" t="s">
        <v>115</v>
      </c>
      <c r="M6477" s="10">
        <v>46.210720887245841</v>
      </c>
    </row>
    <row r="6478" spans="11:13" x14ac:dyDescent="0.25">
      <c r="K6478" s="26" t="s">
        <v>110</v>
      </c>
      <c r="L6478" s="27" t="s">
        <v>116</v>
      </c>
      <c r="M6478" s="10">
        <v>15.403573629081947</v>
      </c>
    </row>
    <row r="6479" spans="11:13" x14ac:dyDescent="0.25">
      <c r="K6479" s="26" t="s">
        <v>110</v>
      </c>
      <c r="L6479" s="27" t="s">
        <v>117</v>
      </c>
      <c r="M6479" s="10">
        <v>15.403573629081947</v>
      </c>
    </row>
    <row r="6480" spans="11:13" x14ac:dyDescent="0.25">
      <c r="K6480" s="26" t="s">
        <v>110</v>
      </c>
      <c r="L6480" s="27" t="s">
        <v>118</v>
      </c>
      <c r="M6480" s="10">
        <v>46.210720887245841</v>
      </c>
    </row>
    <row r="6481" spans="11:13" x14ac:dyDescent="0.25">
      <c r="K6481" s="26" t="s">
        <v>110</v>
      </c>
      <c r="L6481" s="27" t="s">
        <v>119</v>
      </c>
      <c r="M6481" s="10">
        <v>3.2589212970506765E-2</v>
      </c>
    </row>
    <row r="6482" spans="11:13" x14ac:dyDescent="0.25">
      <c r="K6482" s="26" t="s">
        <v>110</v>
      </c>
      <c r="L6482" s="27" t="s">
        <v>115</v>
      </c>
      <c r="M6482" s="10">
        <v>54.573896040410624</v>
      </c>
    </row>
    <row r="6483" spans="11:13" x14ac:dyDescent="0.25">
      <c r="K6483" s="26" t="s">
        <v>110</v>
      </c>
      <c r="L6483" s="27" t="s">
        <v>116</v>
      </c>
      <c r="M6483" s="10">
        <v>14.880952380952381</v>
      </c>
    </row>
    <row r="6484" spans="11:13" x14ac:dyDescent="0.25">
      <c r="K6484" s="26" t="s">
        <v>110</v>
      </c>
      <c r="L6484" s="27" t="s">
        <v>117</v>
      </c>
      <c r="M6484" s="10">
        <v>11.022927689594356</v>
      </c>
    </row>
    <row r="6485" spans="11:13" x14ac:dyDescent="0.25">
      <c r="K6485" s="26" t="s">
        <v>110</v>
      </c>
      <c r="L6485" s="27" t="s">
        <v>118</v>
      </c>
      <c r="M6485" s="10">
        <v>158.84782378481412</v>
      </c>
    </row>
    <row r="6486" spans="11:13" x14ac:dyDescent="0.25">
      <c r="K6486" s="26" t="s">
        <v>110</v>
      </c>
      <c r="L6486" s="27" t="s">
        <v>119</v>
      </c>
      <c r="M6486" s="10">
        <v>293.73126508100648</v>
      </c>
    </row>
    <row r="6487" spans="11:13" x14ac:dyDescent="0.25">
      <c r="K6487" s="26" t="s">
        <v>110</v>
      </c>
      <c r="L6487" s="27" t="s">
        <v>115</v>
      </c>
      <c r="M6487" s="10">
        <v>40.515355319666149</v>
      </c>
    </row>
    <row r="6488" spans="11:13" x14ac:dyDescent="0.25">
      <c r="K6488" s="26" t="s">
        <v>110</v>
      </c>
      <c r="L6488" s="27" t="s">
        <v>116</v>
      </c>
      <c r="M6488" s="10">
        <v>105.89854918987609</v>
      </c>
    </row>
    <row r="6489" spans="11:13" x14ac:dyDescent="0.25">
      <c r="K6489" s="26" t="s">
        <v>110</v>
      </c>
      <c r="L6489" s="27" t="s">
        <v>117</v>
      </c>
      <c r="M6489" s="10">
        <v>61.614294516327789</v>
      </c>
    </row>
    <row r="6490" spans="11:13" x14ac:dyDescent="0.25">
      <c r="K6490" s="26" t="s">
        <v>110</v>
      </c>
      <c r="L6490" s="27" t="s">
        <v>118</v>
      </c>
      <c r="M6490" s="10">
        <v>20.024645717806532</v>
      </c>
    </row>
    <row r="6491" spans="11:13" x14ac:dyDescent="0.25">
      <c r="K6491" s="26" t="s">
        <v>110</v>
      </c>
      <c r="L6491" s="27" t="s">
        <v>119</v>
      </c>
      <c r="M6491" s="10">
        <v>616.14294516327789</v>
      </c>
    </row>
    <row r="6492" spans="11:13" x14ac:dyDescent="0.25">
      <c r="K6492" s="26" t="s">
        <v>110</v>
      </c>
      <c r="L6492" s="27" t="s">
        <v>115</v>
      </c>
      <c r="M6492" s="10">
        <v>34.470872113064452</v>
      </c>
    </row>
    <row r="6493" spans="11:13" x14ac:dyDescent="0.25">
      <c r="K6493" s="26" t="s">
        <v>110</v>
      </c>
      <c r="L6493" s="27" t="s">
        <v>116</v>
      </c>
      <c r="M6493" s="10">
        <v>15.403573629081947</v>
      </c>
    </row>
    <row r="6494" spans="11:13" x14ac:dyDescent="0.25">
      <c r="K6494" s="26" t="s">
        <v>110</v>
      </c>
      <c r="L6494" s="27" t="s">
        <v>117</v>
      </c>
      <c r="M6494" s="10">
        <v>154.03573629081947</v>
      </c>
    </row>
    <row r="6495" spans="11:13" x14ac:dyDescent="0.25">
      <c r="K6495" s="26" t="s">
        <v>110</v>
      </c>
      <c r="L6495" s="27" t="s">
        <v>118</v>
      </c>
      <c r="M6495" s="10">
        <v>92.421441774491683</v>
      </c>
    </row>
    <row r="6496" spans="11:13" x14ac:dyDescent="0.25">
      <c r="K6496" s="26" t="s">
        <v>110</v>
      </c>
      <c r="L6496" s="27" t="s">
        <v>119</v>
      </c>
      <c r="M6496" s="10">
        <v>26.455026455026456</v>
      </c>
    </row>
    <row r="6497" spans="11:13" x14ac:dyDescent="0.25">
      <c r="K6497" s="26" t="s">
        <v>110</v>
      </c>
      <c r="L6497" s="27" t="s">
        <v>115</v>
      </c>
      <c r="M6497" s="10">
        <v>13.782331051591861</v>
      </c>
    </row>
    <row r="6498" spans="11:13" x14ac:dyDescent="0.25">
      <c r="K6498" s="26" t="s">
        <v>110</v>
      </c>
      <c r="L6498" s="27" t="s">
        <v>116</v>
      </c>
      <c r="M6498" s="10">
        <v>100</v>
      </c>
    </row>
    <row r="6499" spans="11:13" x14ac:dyDescent="0.25">
      <c r="K6499" s="26" t="s">
        <v>110</v>
      </c>
      <c r="L6499" s="27" t="s">
        <v>117</v>
      </c>
      <c r="M6499" s="10">
        <v>45.941103505306202</v>
      </c>
    </row>
    <row r="6500" spans="11:13" x14ac:dyDescent="0.25">
      <c r="K6500" s="26" t="s">
        <v>110</v>
      </c>
      <c r="L6500" s="27" t="s">
        <v>118</v>
      </c>
      <c r="M6500" s="10">
        <v>26.474637297469023</v>
      </c>
    </row>
    <row r="6501" spans="11:13" x14ac:dyDescent="0.25">
      <c r="K6501" s="26" t="s">
        <v>110</v>
      </c>
      <c r="L6501" s="27" t="s">
        <v>119</v>
      </c>
      <c r="M6501" s="10">
        <v>79.423911892407062</v>
      </c>
    </row>
    <row r="6502" spans="11:13" x14ac:dyDescent="0.25">
      <c r="K6502" s="26" t="s">
        <v>109</v>
      </c>
      <c r="L6502" s="27" t="s">
        <v>115</v>
      </c>
      <c r="M6502" s="10">
        <v>5.5114638447971785E-5</v>
      </c>
    </row>
    <row r="6503" spans="11:13" x14ac:dyDescent="0.25">
      <c r="K6503" s="26" t="s">
        <v>110</v>
      </c>
      <c r="L6503" s="27" t="s">
        <v>116</v>
      </c>
      <c r="M6503" s="10">
        <v>185.32246108228318</v>
      </c>
    </row>
    <row r="6504" spans="11:13" x14ac:dyDescent="0.25">
      <c r="K6504" s="26" t="s">
        <v>110</v>
      </c>
      <c r="L6504" s="27" t="s">
        <v>117</v>
      </c>
      <c r="M6504" s="10">
        <v>15.403573629081947</v>
      </c>
    </row>
    <row r="6505" spans="11:13" x14ac:dyDescent="0.25">
      <c r="K6505" s="26" t="s">
        <v>110</v>
      </c>
      <c r="L6505" s="27" t="s">
        <v>118</v>
      </c>
      <c r="M6505" s="10">
        <v>154.03573629081947</v>
      </c>
    </row>
    <row r="6506" spans="11:13" x14ac:dyDescent="0.25">
      <c r="K6506" s="26" t="s">
        <v>110</v>
      </c>
      <c r="L6506" s="27" t="s">
        <v>119</v>
      </c>
      <c r="M6506" s="10">
        <v>77.017868145409736</v>
      </c>
    </row>
    <row r="6507" spans="11:13" x14ac:dyDescent="0.25">
      <c r="K6507" s="26" t="s">
        <v>110</v>
      </c>
      <c r="L6507" s="27" t="s">
        <v>115</v>
      </c>
      <c r="M6507" s="10">
        <v>161.22982159426681</v>
      </c>
    </row>
    <row r="6508" spans="11:13" x14ac:dyDescent="0.25">
      <c r="K6508" s="26" t="s">
        <v>109</v>
      </c>
      <c r="L6508" s="27" t="s">
        <v>116</v>
      </c>
      <c r="M6508" s="10">
        <v>70</v>
      </c>
    </row>
    <row r="6509" spans="11:13" x14ac:dyDescent="0.25">
      <c r="K6509" s="26" t="s">
        <v>113</v>
      </c>
      <c r="L6509" s="27" t="s">
        <v>117</v>
      </c>
      <c r="M6509" s="10">
        <v>13.81172839506173</v>
      </c>
    </row>
    <row r="6510" spans="11:13" x14ac:dyDescent="0.25">
      <c r="K6510" s="26" t="s">
        <v>113</v>
      </c>
      <c r="L6510" s="27" t="s">
        <v>118</v>
      </c>
      <c r="M6510" s="10">
        <v>70.371842919993497</v>
      </c>
    </row>
    <row r="6511" spans="11:13" x14ac:dyDescent="0.25">
      <c r="K6511" s="26" t="s">
        <v>113</v>
      </c>
      <c r="L6511" s="27" t="s">
        <v>119</v>
      </c>
      <c r="M6511" s="10">
        <v>84.718839351900883</v>
      </c>
    </row>
    <row r="6512" spans="11:13" x14ac:dyDescent="0.25">
      <c r="K6512" s="26" t="s">
        <v>113</v>
      </c>
      <c r="L6512" s="27" t="s">
        <v>115</v>
      </c>
      <c r="M6512" s="10">
        <v>112.4748490945674</v>
      </c>
    </row>
    <row r="6513" spans="11:13" x14ac:dyDescent="0.25">
      <c r="K6513" s="26" t="s">
        <v>113</v>
      </c>
      <c r="L6513" s="27" t="s">
        <v>116</v>
      </c>
      <c r="M6513" s="10">
        <v>15.983245149911816</v>
      </c>
    </row>
    <row r="6514" spans="11:13" x14ac:dyDescent="0.25">
      <c r="K6514" s="26" t="s">
        <v>113</v>
      </c>
      <c r="L6514" s="27" t="s">
        <v>117</v>
      </c>
      <c r="M6514" s="10">
        <v>274.75798400908536</v>
      </c>
    </row>
    <row r="6515" spans="11:13" x14ac:dyDescent="0.25">
      <c r="K6515" s="26" t="s">
        <v>113</v>
      </c>
      <c r="L6515" s="27" t="s">
        <v>118</v>
      </c>
      <c r="M6515" s="10">
        <v>8.4451686491771234</v>
      </c>
    </row>
    <row r="6516" spans="11:13" x14ac:dyDescent="0.25">
      <c r="K6516" s="26" t="s">
        <v>113</v>
      </c>
      <c r="L6516" s="27" t="s">
        <v>119</v>
      </c>
      <c r="M6516" s="10">
        <v>45.792997334847563</v>
      </c>
    </row>
    <row r="6517" spans="11:13" x14ac:dyDescent="0.25">
      <c r="K6517" s="26" t="s">
        <v>113</v>
      </c>
      <c r="L6517" s="27" t="s">
        <v>115</v>
      </c>
      <c r="M6517" s="10">
        <v>119.04347587166971</v>
      </c>
    </row>
    <row r="6518" spans="11:13" x14ac:dyDescent="0.25">
      <c r="K6518" s="26" t="s">
        <v>109</v>
      </c>
      <c r="L6518" s="27" t="s">
        <v>116</v>
      </c>
      <c r="M6518" s="10">
        <v>64.110196268786581</v>
      </c>
    </row>
    <row r="6519" spans="11:13" x14ac:dyDescent="0.25">
      <c r="K6519" s="26" t="s">
        <v>109</v>
      </c>
      <c r="L6519" s="27" t="s">
        <v>117</v>
      </c>
      <c r="M6519" s="10">
        <v>48.500881834215171</v>
      </c>
    </row>
    <row r="6520" spans="11:13" x14ac:dyDescent="0.25">
      <c r="K6520" s="26" t="s">
        <v>109</v>
      </c>
      <c r="L6520" s="27" t="s">
        <v>118</v>
      </c>
      <c r="M6520" s="10">
        <v>105.89854918987609</v>
      </c>
    </row>
    <row r="6521" spans="11:13" x14ac:dyDescent="0.25">
      <c r="K6521" s="26" t="s">
        <v>109</v>
      </c>
      <c r="L6521" s="27" t="s">
        <v>119</v>
      </c>
      <c r="M6521" s="10">
        <v>188.49941755797943</v>
      </c>
    </row>
    <row r="6522" spans="11:13" x14ac:dyDescent="0.25">
      <c r="K6522" s="26" t="s">
        <v>109</v>
      </c>
      <c r="L6522" s="27" t="s">
        <v>115</v>
      </c>
      <c r="M6522" s="10">
        <v>1.3737899200454268E-4</v>
      </c>
    </row>
    <row r="6523" spans="11:13" x14ac:dyDescent="0.25">
      <c r="K6523" s="26" t="s">
        <v>109</v>
      </c>
      <c r="L6523" s="27" t="s">
        <v>116</v>
      </c>
      <c r="M6523" s="10">
        <v>73.2687957357561</v>
      </c>
    </row>
    <row r="6524" spans="11:13" x14ac:dyDescent="0.25">
      <c r="K6524" s="26" t="s">
        <v>109</v>
      </c>
      <c r="L6524" s="27" t="s">
        <v>117</v>
      </c>
      <c r="M6524" s="10">
        <v>274.75798400908536</v>
      </c>
    </row>
    <row r="6525" spans="11:13" x14ac:dyDescent="0.25">
      <c r="K6525" s="26" t="s">
        <v>109</v>
      </c>
      <c r="L6525" s="27" t="s">
        <v>118</v>
      </c>
      <c r="M6525" s="10">
        <v>274.75798400908536</v>
      </c>
    </row>
    <row r="6526" spans="11:13" x14ac:dyDescent="0.25">
      <c r="K6526" s="26" t="s">
        <v>109</v>
      </c>
      <c r="L6526" s="27" t="s">
        <v>119</v>
      </c>
      <c r="M6526" s="10">
        <v>91.585994669695125</v>
      </c>
    </row>
    <row r="6527" spans="11:13" x14ac:dyDescent="0.25">
      <c r="K6527" s="26" t="s">
        <v>109</v>
      </c>
      <c r="L6527" s="27" t="s">
        <v>115</v>
      </c>
      <c r="M6527" s="10">
        <v>274.75798400908536</v>
      </c>
    </row>
    <row r="6528" spans="11:13" x14ac:dyDescent="0.25">
      <c r="K6528" s="26" t="s">
        <v>109</v>
      </c>
      <c r="L6528" s="27" t="s">
        <v>116</v>
      </c>
      <c r="M6528" s="10">
        <v>66.137566137566139</v>
      </c>
    </row>
    <row r="6529" spans="11:13" x14ac:dyDescent="0.25">
      <c r="K6529" s="26" t="s">
        <v>109</v>
      </c>
      <c r="L6529" s="27" t="s">
        <v>117</v>
      </c>
      <c r="M6529" s="10">
        <v>231.05360443622922</v>
      </c>
    </row>
    <row r="6530" spans="11:13" x14ac:dyDescent="0.25">
      <c r="K6530" s="26" t="s">
        <v>109</v>
      </c>
      <c r="L6530" s="27" t="s">
        <v>118</v>
      </c>
      <c r="M6530" s="10">
        <v>431.30006161429452</v>
      </c>
    </row>
    <row r="6531" spans="11:13" x14ac:dyDescent="0.25">
      <c r="K6531" s="26" t="s">
        <v>109</v>
      </c>
      <c r="L6531" s="27" t="s">
        <v>119</v>
      </c>
      <c r="M6531" s="10">
        <v>616.14294516327789</v>
      </c>
    </row>
    <row r="6532" spans="11:13" x14ac:dyDescent="0.25">
      <c r="K6532" s="26" t="s">
        <v>109</v>
      </c>
      <c r="L6532" s="27" t="s">
        <v>115</v>
      </c>
      <c r="M6532" s="10">
        <v>61.614294516327789</v>
      </c>
    </row>
    <row r="6533" spans="11:13" x14ac:dyDescent="0.25">
      <c r="K6533" s="26" t="s">
        <v>109</v>
      </c>
      <c r="L6533" s="27" t="s">
        <v>116</v>
      </c>
      <c r="M6533" s="10">
        <v>77.017868145409736</v>
      </c>
    </row>
    <row r="6534" spans="11:13" x14ac:dyDescent="0.25">
      <c r="K6534" s="26" t="s">
        <v>109</v>
      </c>
      <c r="L6534" s="27" t="s">
        <v>117</v>
      </c>
      <c r="M6534" s="10">
        <v>46.210720887245841</v>
      </c>
    </row>
    <row r="6535" spans="11:13" x14ac:dyDescent="0.25">
      <c r="K6535" s="26" t="s">
        <v>109</v>
      </c>
      <c r="L6535" s="27" t="s">
        <v>118</v>
      </c>
      <c r="M6535" s="10">
        <v>38.508934072704868</v>
      </c>
    </row>
    <row r="6536" spans="11:13" x14ac:dyDescent="0.25">
      <c r="K6536" s="26" t="s">
        <v>109</v>
      </c>
      <c r="L6536" s="27" t="s">
        <v>119</v>
      </c>
      <c r="M6536" s="10">
        <v>34.470872113064452</v>
      </c>
    </row>
    <row r="6537" spans="11:13" x14ac:dyDescent="0.25">
      <c r="K6537" s="26" t="s">
        <v>109</v>
      </c>
      <c r="L6537" s="27" t="s">
        <v>115</v>
      </c>
      <c r="M6537" s="10">
        <v>391.73686067019401</v>
      </c>
    </row>
    <row r="6538" spans="11:13" x14ac:dyDescent="0.25">
      <c r="K6538" s="26" t="s">
        <v>109</v>
      </c>
      <c r="L6538" s="27" t="s">
        <v>116</v>
      </c>
      <c r="M6538" s="10">
        <v>264.55026455026456</v>
      </c>
    </row>
    <row r="6539" spans="11:13" x14ac:dyDescent="0.25">
      <c r="K6539" s="26" t="s">
        <v>109</v>
      </c>
      <c r="L6539" s="27" t="s">
        <v>117</v>
      </c>
      <c r="M6539" s="10">
        <v>44.091710758377424</v>
      </c>
    </row>
    <row r="6540" spans="11:13" x14ac:dyDescent="0.25">
      <c r="K6540" s="26" t="s">
        <v>109</v>
      </c>
      <c r="L6540" s="27" t="s">
        <v>118</v>
      </c>
      <c r="M6540" s="10">
        <v>100</v>
      </c>
    </row>
    <row r="6541" spans="11:13" x14ac:dyDescent="0.25">
      <c r="K6541" s="26" t="s">
        <v>109</v>
      </c>
      <c r="L6541" s="27" t="s">
        <v>119</v>
      </c>
      <c r="M6541" s="10">
        <v>5.8660583346912167</v>
      </c>
    </row>
    <row r="6542" spans="11:13" x14ac:dyDescent="0.25">
      <c r="K6542" s="26" t="s">
        <v>109</v>
      </c>
      <c r="L6542" s="27" t="s">
        <v>115</v>
      </c>
      <c r="M6542" s="10">
        <v>61.75</v>
      </c>
    </row>
    <row r="6543" spans="11:13" x14ac:dyDescent="0.25">
      <c r="K6543" s="26" t="s">
        <v>109</v>
      </c>
      <c r="L6543" s="27" t="s">
        <v>116</v>
      </c>
      <c r="M6543" s="10">
        <v>13.788348845225784</v>
      </c>
    </row>
    <row r="6544" spans="11:13" x14ac:dyDescent="0.25">
      <c r="K6544" s="26" t="s">
        <v>109</v>
      </c>
      <c r="L6544" s="27" t="s">
        <v>117</v>
      </c>
      <c r="M6544" s="10">
        <v>107.82501540357363</v>
      </c>
    </row>
    <row r="6545" spans="11:13" x14ac:dyDescent="0.25">
      <c r="K6545" s="26" t="s">
        <v>109</v>
      </c>
      <c r="L6545" s="27" t="s">
        <v>118</v>
      </c>
      <c r="M6545" s="10">
        <v>123.22858903265558</v>
      </c>
    </row>
    <row r="6546" spans="11:13" x14ac:dyDescent="0.25">
      <c r="K6546" s="26" t="s">
        <v>109</v>
      </c>
      <c r="L6546" s="27" t="s">
        <v>119</v>
      </c>
      <c r="M6546" s="10">
        <v>43.425668515095502</v>
      </c>
    </row>
    <row r="6547" spans="11:13" x14ac:dyDescent="0.25">
      <c r="K6547" s="26" t="s">
        <v>109</v>
      </c>
      <c r="L6547" s="27" t="s">
        <v>115</v>
      </c>
      <c r="M6547" s="10">
        <v>107.82501540357363</v>
      </c>
    </row>
    <row r="6548" spans="11:13" x14ac:dyDescent="0.25">
      <c r="K6548" s="26" t="s">
        <v>109</v>
      </c>
      <c r="L6548" s="27" t="s">
        <v>116</v>
      </c>
      <c r="M6548" s="10">
        <v>27.576697690451567</v>
      </c>
    </row>
    <row r="6549" spans="11:13" x14ac:dyDescent="0.25">
      <c r="K6549" s="26" t="s">
        <v>109</v>
      </c>
      <c r="L6549" s="27" t="s">
        <v>117</v>
      </c>
      <c r="M6549" s="10">
        <v>20.257677659833075</v>
      </c>
    </row>
    <row r="6550" spans="11:13" x14ac:dyDescent="0.25">
      <c r="K6550" s="26" t="s">
        <v>109</v>
      </c>
      <c r="L6550" s="27" t="s">
        <v>118</v>
      </c>
      <c r="M6550" s="10">
        <v>20.257677659833075</v>
      </c>
    </row>
    <row r="6551" spans="11:13" x14ac:dyDescent="0.25">
      <c r="K6551" s="26" t="s">
        <v>109</v>
      </c>
      <c r="L6551" s="27" t="s">
        <v>119</v>
      </c>
      <c r="M6551" s="10">
        <v>40.515355319666149</v>
      </c>
    </row>
    <row r="6552" spans="11:13" x14ac:dyDescent="0.25">
      <c r="K6552" s="26" t="s">
        <v>109</v>
      </c>
      <c r="L6552" s="27" t="s">
        <v>115</v>
      </c>
      <c r="M6552" s="10">
        <v>94.841534391534395</v>
      </c>
    </row>
    <row r="6553" spans="11:13" x14ac:dyDescent="0.25">
      <c r="K6553" s="26" t="s">
        <v>109</v>
      </c>
      <c r="L6553" s="27" t="s">
        <v>116</v>
      </c>
      <c r="M6553" s="10">
        <v>52.949274594938046</v>
      </c>
    </row>
    <row r="6554" spans="11:13" x14ac:dyDescent="0.25">
      <c r="K6554" s="26" t="s">
        <v>109</v>
      </c>
      <c r="L6554" s="27" t="s">
        <v>117</v>
      </c>
      <c r="M6554" s="10">
        <v>97.934215167548501</v>
      </c>
    </row>
    <row r="6555" spans="11:13" x14ac:dyDescent="0.25">
      <c r="K6555" s="26" t="s">
        <v>109</v>
      </c>
      <c r="L6555" s="27" t="s">
        <v>118</v>
      </c>
      <c r="M6555" s="10">
        <v>95</v>
      </c>
    </row>
    <row r="6556" spans="11:13" x14ac:dyDescent="0.25">
      <c r="K6556" s="26" t="s">
        <v>109</v>
      </c>
      <c r="L6556" s="27" t="s">
        <v>119</v>
      </c>
      <c r="M6556" s="10">
        <v>61.614294516327789</v>
      </c>
    </row>
    <row r="6557" spans="11:13" x14ac:dyDescent="0.25">
      <c r="K6557" s="26" t="s">
        <v>109</v>
      </c>
      <c r="L6557" s="27" t="s">
        <v>115</v>
      </c>
      <c r="M6557" s="10">
        <v>184.84288354898337</v>
      </c>
    </row>
    <row r="6558" spans="11:13" x14ac:dyDescent="0.25">
      <c r="K6558" s="26" t="s">
        <v>109</v>
      </c>
      <c r="L6558" s="27" t="s">
        <v>116</v>
      </c>
      <c r="M6558" s="10">
        <v>66.137566137566139</v>
      </c>
    </row>
    <row r="6559" spans="11:13" x14ac:dyDescent="0.25">
      <c r="K6559" s="26" t="s">
        <v>109</v>
      </c>
      <c r="L6559" s="27" t="s">
        <v>117</v>
      </c>
      <c r="M6559" s="10">
        <v>73.996538800705466</v>
      </c>
    </row>
    <row r="6560" spans="11:13" x14ac:dyDescent="0.25">
      <c r="K6560" s="26" t="s">
        <v>109</v>
      </c>
      <c r="L6560" s="27" t="s">
        <v>118</v>
      </c>
      <c r="M6560" s="10">
        <v>379.36507936507934</v>
      </c>
    </row>
    <row r="6561" spans="11:13" x14ac:dyDescent="0.25">
      <c r="K6561" s="26" t="s">
        <v>109</v>
      </c>
      <c r="L6561" s="27" t="s">
        <v>119</v>
      </c>
      <c r="M6561" s="10">
        <v>77.088124574409321</v>
      </c>
    </row>
    <row r="6562" spans="11:13" x14ac:dyDescent="0.25">
      <c r="K6562" s="26" t="s">
        <v>109</v>
      </c>
      <c r="L6562" s="27" t="s">
        <v>115</v>
      </c>
      <c r="M6562" s="10">
        <v>19.27203114360233</v>
      </c>
    </row>
    <row r="6563" spans="11:13" x14ac:dyDescent="0.25">
      <c r="K6563" s="26" t="s">
        <v>109</v>
      </c>
      <c r="L6563" s="27" t="s">
        <v>116</v>
      </c>
      <c r="M6563" s="10">
        <v>220.45855379188714</v>
      </c>
    </row>
    <row r="6564" spans="11:13" x14ac:dyDescent="0.25">
      <c r="K6564" s="26" t="s">
        <v>109</v>
      </c>
      <c r="L6564" s="27" t="s">
        <v>117</v>
      </c>
      <c r="M6564" s="10">
        <v>15.370408438580037</v>
      </c>
    </row>
    <row r="6565" spans="11:13" x14ac:dyDescent="0.25">
      <c r="K6565" s="26" t="s">
        <v>109</v>
      </c>
      <c r="L6565" s="27" t="s">
        <v>118</v>
      </c>
      <c r="M6565" s="10">
        <v>211.79709837975219</v>
      </c>
    </row>
    <row r="6566" spans="11:13" x14ac:dyDescent="0.25">
      <c r="K6566" s="26" t="s">
        <v>109</v>
      </c>
      <c r="L6566" s="27" t="s">
        <v>119</v>
      </c>
      <c r="M6566" s="10">
        <v>65.178425941013529</v>
      </c>
    </row>
    <row r="6567" spans="11:13" x14ac:dyDescent="0.25">
      <c r="K6567" s="26" t="s">
        <v>109</v>
      </c>
      <c r="L6567" s="27" t="s">
        <v>115</v>
      </c>
      <c r="M6567" s="10">
        <v>45.994</v>
      </c>
    </row>
    <row r="6568" spans="11:13" x14ac:dyDescent="0.25">
      <c r="K6568" s="26" t="s">
        <v>109</v>
      </c>
      <c r="L6568" s="27" t="s">
        <v>116</v>
      </c>
      <c r="M6568" s="10">
        <v>300</v>
      </c>
    </row>
    <row r="6569" spans="11:13" x14ac:dyDescent="0.25">
      <c r="K6569" s="26" t="s">
        <v>109</v>
      </c>
      <c r="L6569" s="27" t="s">
        <v>117</v>
      </c>
      <c r="M6569" s="10">
        <v>50</v>
      </c>
    </row>
    <row r="6570" spans="11:13" x14ac:dyDescent="0.25">
      <c r="K6570" s="26" t="s">
        <v>110</v>
      </c>
      <c r="L6570" s="27" t="s">
        <v>118</v>
      </c>
      <c r="M6570" s="10">
        <v>300</v>
      </c>
    </row>
    <row r="6571" spans="11:13" x14ac:dyDescent="0.25">
      <c r="K6571" s="26" t="s">
        <v>109</v>
      </c>
      <c r="L6571" s="27" t="s">
        <v>119</v>
      </c>
      <c r="M6571" s="10">
        <v>25.696041524803107</v>
      </c>
    </row>
    <row r="6572" spans="11:13" x14ac:dyDescent="0.25">
      <c r="K6572" s="26" t="s">
        <v>109</v>
      </c>
      <c r="L6572" s="27" t="s">
        <v>115</v>
      </c>
      <c r="M6572" s="10">
        <v>192.72031143602331</v>
      </c>
    </row>
    <row r="6573" spans="11:13" x14ac:dyDescent="0.25">
      <c r="K6573" s="26" t="s">
        <v>110</v>
      </c>
      <c r="L6573" s="27" t="s">
        <v>116</v>
      </c>
      <c r="M6573" s="10">
        <v>97.767638911520294</v>
      </c>
    </row>
    <row r="6574" spans="11:13" x14ac:dyDescent="0.25">
      <c r="K6574" s="26" t="s">
        <v>109</v>
      </c>
      <c r="L6574" s="27" t="s">
        <v>117</v>
      </c>
      <c r="M6574" s="10">
        <v>194.00352733686069</v>
      </c>
    </row>
    <row r="6575" spans="11:13" x14ac:dyDescent="0.25">
      <c r="K6575" s="26" t="s">
        <v>109</v>
      </c>
      <c r="L6575" s="27" t="s">
        <v>118</v>
      </c>
      <c r="M6575" s="10">
        <v>500</v>
      </c>
    </row>
    <row r="6576" spans="11:13" x14ac:dyDescent="0.25">
      <c r="K6576" s="26" t="s">
        <v>111</v>
      </c>
      <c r="L6576" s="27" t="s">
        <v>119</v>
      </c>
      <c r="M6576" s="10">
        <v>132.27513227513228</v>
      </c>
    </row>
    <row r="6577" spans="11:13" x14ac:dyDescent="0.25">
      <c r="K6577" s="26" t="s">
        <v>109</v>
      </c>
      <c r="L6577" s="27" t="s">
        <v>115</v>
      </c>
      <c r="M6577" s="10">
        <v>36.198398028342574</v>
      </c>
    </row>
    <row r="6578" spans="11:13" x14ac:dyDescent="0.25">
      <c r="K6578" s="26" t="s">
        <v>109</v>
      </c>
      <c r="L6578" s="27" t="s">
        <v>116</v>
      </c>
      <c r="M6578" s="10">
        <v>64.24010381200776</v>
      </c>
    </row>
    <row r="6579" spans="11:13" x14ac:dyDescent="0.25">
      <c r="K6579" s="26" t="s">
        <v>109</v>
      </c>
      <c r="L6579" s="27" t="s">
        <v>117</v>
      </c>
      <c r="M6579" s="10">
        <v>123.22858903265558</v>
      </c>
    </row>
    <row r="6580" spans="11:13" x14ac:dyDescent="0.25">
      <c r="K6580" s="26" t="s">
        <v>109</v>
      </c>
      <c r="L6580" s="27" t="s">
        <v>118</v>
      </c>
      <c r="M6580" s="10">
        <v>34.689656058484196</v>
      </c>
    </row>
    <row r="6581" spans="11:13" x14ac:dyDescent="0.25">
      <c r="K6581" s="26" t="s">
        <v>109</v>
      </c>
      <c r="L6581" s="27" t="s">
        <v>119</v>
      </c>
      <c r="M6581" s="10">
        <v>1E-3</v>
      </c>
    </row>
    <row r="6582" spans="11:13" x14ac:dyDescent="0.25">
      <c r="K6582" s="26" t="s">
        <v>109</v>
      </c>
      <c r="L6582" s="27" t="s">
        <v>115</v>
      </c>
      <c r="M6582" s="10">
        <v>12.064805239572561</v>
      </c>
    </row>
    <row r="6583" spans="11:13" x14ac:dyDescent="0.25">
      <c r="K6583" s="26" t="s">
        <v>112</v>
      </c>
      <c r="L6583" s="27" t="s">
        <v>116</v>
      </c>
      <c r="M6583" s="10">
        <v>107.70596346087555</v>
      </c>
    </row>
    <row r="6584" spans="11:13" x14ac:dyDescent="0.25">
      <c r="K6584" s="26" t="s">
        <v>109</v>
      </c>
      <c r="L6584" s="27" t="s">
        <v>117</v>
      </c>
      <c r="M6584" s="10">
        <v>91.585994669695125</v>
      </c>
    </row>
    <row r="6585" spans="11:13" x14ac:dyDescent="0.25">
      <c r="K6585" s="26" t="s">
        <v>109</v>
      </c>
      <c r="L6585" s="27" t="s">
        <v>118</v>
      </c>
      <c r="M6585" s="10">
        <v>9.1585994669695125</v>
      </c>
    </row>
    <row r="6586" spans="11:13" x14ac:dyDescent="0.25">
      <c r="K6586" s="26" t="s">
        <v>109</v>
      </c>
      <c r="L6586" s="27" t="s">
        <v>119</v>
      </c>
      <c r="M6586" s="10">
        <v>211.79709837975219</v>
      </c>
    </row>
    <row r="6587" spans="11:13" x14ac:dyDescent="0.25">
      <c r="K6587" s="26" t="s">
        <v>109</v>
      </c>
      <c r="L6587" s="27" t="s">
        <v>115</v>
      </c>
      <c r="M6587" s="10">
        <v>220.45855379188714</v>
      </c>
    </row>
    <row r="6588" spans="11:13" x14ac:dyDescent="0.25">
      <c r="K6588" s="26" t="s">
        <v>109</v>
      </c>
      <c r="L6588" s="27" t="s">
        <v>116</v>
      </c>
      <c r="M6588" s="10">
        <v>128.48020762401552</v>
      </c>
    </row>
    <row r="6589" spans="11:13" x14ac:dyDescent="0.25">
      <c r="K6589" s="26" t="s">
        <v>109</v>
      </c>
      <c r="L6589" s="27" t="s">
        <v>117</v>
      </c>
      <c r="M6589" s="10">
        <v>220.45855379188714</v>
      </c>
    </row>
    <row r="6590" spans="11:13" x14ac:dyDescent="0.25">
      <c r="K6590" s="26" t="s">
        <v>109</v>
      </c>
      <c r="L6590" s="27" t="s">
        <v>118</v>
      </c>
      <c r="M6590" s="10">
        <v>68.941744226128904</v>
      </c>
    </row>
    <row r="6591" spans="11:13" x14ac:dyDescent="0.25">
      <c r="K6591" s="26" t="s">
        <v>109</v>
      </c>
      <c r="L6591" s="27" t="s">
        <v>119</v>
      </c>
      <c r="M6591" s="10">
        <v>103.41261633919338</v>
      </c>
    </row>
    <row r="6592" spans="11:13" x14ac:dyDescent="0.25">
      <c r="K6592" s="26" t="s">
        <v>109</v>
      </c>
      <c r="L6592" s="27" t="s">
        <v>115</v>
      </c>
      <c r="M6592" s="10">
        <v>206.82523267838675</v>
      </c>
    </row>
    <row r="6593" spans="11:13" x14ac:dyDescent="0.25">
      <c r="K6593" s="26" t="s">
        <v>109</v>
      </c>
      <c r="L6593" s="27" t="s">
        <v>116</v>
      </c>
      <c r="M6593" s="10">
        <v>246.45717806531115</v>
      </c>
    </row>
    <row r="6594" spans="11:13" x14ac:dyDescent="0.25">
      <c r="K6594" s="26" t="s">
        <v>109</v>
      </c>
      <c r="L6594" s="27" t="s">
        <v>117</v>
      </c>
      <c r="M6594" s="10">
        <v>308.07147258163894</v>
      </c>
    </row>
    <row r="6595" spans="11:13" x14ac:dyDescent="0.25">
      <c r="K6595" s="26" t="s">
        <v>109</v>
      </c>
      <c r="L6595" s="27" t="s">
        <v>118</v>
      </c>
      <c r="M6595" s="10">
        <v>200</v>
      </c>
    </row>
    <row r="6596" spans="11:13" x14ac:dyDescent="0.25">
      <c r="K6596" s="26" t="s">
        <v>109</v>
      </c>
      <c r="L6596" s="27" t="s">
        <v>119</v>
      </c>
      <c r="M6596" s="10">
        <v>73.2687957357561</v>
      </c>
    </row>
    <row r="6597" spans="11:13" x14ac:dyDescent="0.25">
      <c r="K6597" s="26" t="s">
        <v>109</v>
      </c>
      <c r="L6597" s="27" t="s">
        <v>115</v>
      </c>
      <c r="M6597" s="10">
        <v>137.37899200454268</v>
      </c>
    </row>
    <row r="6598" spans="11:13" x14ac:dyDescent="0.25">
      <c r="K6598" s="26" t="s">
        <v>109</v>
      </c>
      <c r="L6598" s="27" t="s">
        <v>116</v>
      </c>
      <c r="M6598" s="10">
        <v>34.470872113064452</v>
      </c>
    </row>
    <row r="6599" spans="11:13" x14ac:dyDescent="0.25">
      <c r="K6599" s="26" t="s">
        <v>109</v>
      </c>
      <c r="L6599" s="27" t="s">
        <v>117</v>
      </c>
      <c r="M6599" s="10">
        <v>5385.2981730437778</v>
      </c>
    </row>
    <row r="6600" spans="11:13" x14ac:dyDescent="0.25">
      <c r="K6600" s="26" t="s">
        <v>109</v>
      </c>
      <c r="L6600" s="27" t="s">
        <v>118</v>
      </c>
      <c r="M6600" s="10">
        <v>34.470872113064452</v>
      </c>
    </row>
    <row r="6601" spans="11:13" x14ac:dyDescent="0.25">
      <c r="K6601" s="26" t="s">
        <v>109</v>
      </c>
      <c r="L6601" s="27" t="s">
        <v>119</v>
      </c>
      <c r="M6601" s="10">
        <v>32.675999999999995</v>
      </c>
    </row>
    <row r="6602" spans="11:13" x14ac:dyDescent="0.25">
      <c r="K6602" s="26" t="s">
        <v>109</v>
      </c>
      <c r="L6602" s="27" t="s">
        <v>115</v>
      </c>
      <c r="M6602" s="10">
        <v>10</v>
      </c>
    </row>
    <row r="6603" spans="11:13" x14ac:dyDescent="0.25">
      <c r="K6603" s="26" t="s">
        <v>109</v>
      </c>
      <c r="L6603" s="27" t="s">
        <v>116</v>
      </c>
      <c r="M6603" s="10">
        <v>105.89854918987609</v>
      </c>
    </row>
    <row r="6604" spans="11:13" x14ac:dyDescent="0.25">
      <c r="K6604" s="26" t="s">
        <v>109</v>
      </c>
      <c r="L6604" s="27" t="s">
        <v>117</v>
      </c>
      <c r="M6604" s="10">
        <v>537.74560496380548</v>
      </c>
    </row>
    <row r="6605" spans="11:13" x14ac:dyDescent="0.25">
      <c r="K6605" s="26" t="s">
        <v>109</v>
      </c>
      <c r="L6605" s="27" t="s">
        <v>118</v>
      </c>
      <c r="M6605" s="10">
        <v>3.4470872113064459</v>
      </c>
    </row>
    <row r="6606" spans="11:13" x14ac:dyDescent="0.25">
      <c r="K6606" s="26" t="s">
        <v>109</v>
      </c>
      <c r="L6606" s="27" t="s">
        <v>119</v>
      </c>
      <c r="M6606" s="10">
        <v>107.70596346087555</v>
      </c>
    </row>
    <row r="6607" spans="11:13" x14ac:dyDescent="0.25">
      <c r="K6607" s="26" t="s">
        <v>109</v>
      </c>
      <c r="L6607" s="27" t="s">
        <v>115</v>
      </c>
      <c r="M6607" s="10">
        <v>107.70596346087555</v>
      </c>
    </row>
    <row r="6608" spans="11:13" x14ac:dyDescent="0.25">
      <c r="K6608" s="26" t="s">
        <v>109</v>
      </c>
      <c r="L6608" s="27" t="s">
        <v>116</v>
      </c>
      <c r="M6608" s="10">
        <v>53.912507701786815</v>
      </c>
    </row>
    <row r="6609" spans="11:13" x14ac:dyDescent="0.25">
      <c r="K6609" s="26" t="s">
        <v>109</v>
      </c>
      <c r="L6609" s="27" t="s">
        <v>117</v>
      </c>
      <c r="M6609" s="10">
        <v>123.22858903265558</v>
      </c>
    </row>
    <row r="6610" spans="11:13" x14ac:dyDescent="0.25">
      <c r="K6610" s="26" t="s">
        <v>109</v>
      </c>
      <c r="L6610" s="27" t="s">
        <v>118</v>
      </c>
      <c r="M6610" s="10">
        <v>187.38977072310408</v>
      </c>
    </row>
    <row r="6611" spans="11:13" x14ac:dyDescent="0.25">
      <c r="K6611" s="26" t="s">
        <v>109</v>
      </c>
      <c r="L6611" s="27" t="s">
        <v>119</v>
      </c>
      <c r="M6611" s="10">
        <v>26.474637297469023</v>
      </c>
    </row>
    <row r="6612" spans="11:13" x14ac:dyDescent="0.25">
      <c r="K6612" s="26" t="s">
        <v>109</v>
      </c>
      <c r="L6612" s="27" t="s">
        <v>115</v>
      </c>
      <c r="M6612" s="10">
        <v>220.45855379188714</v>
      </c>
    </row>
    <row r="6613" spans="11:13" x14ac:dyDescent="0.25">
      <c r="K6613" s="26" t="s">
        <v>109</v>
      </c>
      <c r="L6613" s="27" t="s">
        <v>116</v>
      </c>
      <c r="M6613" s="10">
        <v>88.45</v>
      </c>
    </row>
    <row r="6614" spans="11:13" x14ac:dyDescent="0.25">
      <c r="K6614" s="26" t="s">
        <v>109</v>
      </c>
      <c r="L6614" s="27" t="s">
        <v>117</v>
      </c>
      <c r="M6614" s="10">
        <v>68.941744226128904</v>
      </c>
    </row>
    <row r="6615" spans="11:13" x14ac:dyDescent="0.25">
      <c r="K6615" s="26" t="s">
        <v>109</v>
      </c>
      <c r="L6615" s="27" t="s">
        <v>118</v>
      </c>
      <c r="M6615" s="10">
        <v>58.60048259220958</v>
      </c>
    </row>
    <row r="6616" spans="11:13" x14ac:dyDescent="0.25">
      <c r="K6616" s="26" t="s">
        <v>109</v>
      </c>
      <c r="L6616" s="27" t="s">
        <v>119</v>
      </c>
      <c r="M6616" s="10">
        <v>19.27203114360233</v>
      </c>
    </row>
    <row r="6617" spans="11:13" x14ac:dyDescent="0.25">
      <c r="K6617" s="26" t="s">
        <v>109</v>
      </c>
      <c r="L6617" s="27" t="s">
        <v>115</v>
      </c>
      <c r="M6617" s="10">
        <v>38.54406228720466</v>
      </c>
    </row>
    <row r="6618" spans="11:13" x14ac:dyDescent="0.25">
      <c r="K6618" s="26" t="s">
        <v>109</v>
      </c>
      <c r="L6618" s="27" t="s">
        <v>116</v>
      </c>
      <c r="M6618" s="10">
        <v>440.91710758377428</v>
      </c>
    </row>
    <row r="6619" spans="11:13" x14ac:dyDescent="0.25">
      <c r="K6619" s="26" t="s">
        <v>109</v>
      </c>
      <c r="L6619" s="27" t="s">
        <v>117</v>
      </c>
      <c r="M6619" s="10">
        <v>154.32098765432099</v>
      </c>
    </row>
    <row r="6620" spans="11:13" x14ac:dyDescent="0.25">
      <c r="K6620" s="26" t="s">
        <v>109</v>
      </c>
      <c r="L6620" s="27" t="s">
        <v>118</v>
      </c>
      <c r="M6620" s="10">
        <v>110.22927689594357</v>
      </c>
    </row>
    <row r="6621" spans="11:13" x14ac:dyDescent="0.25">
      <c r="K6621" s="26" t="s">
        <v>109</v>
      </c>
      <c r="L6621" s="27" t="s">
        <v>119</v>
      </c>
      <c r="M6621" s="10">
        <v>110.22927689594357</v>
      </c>
    </row>
    <row r="6622" spans="11:13" x14ac:dyDescent="0.25">
      <c r="K6622" s="26" t="s">
        <v>109</v>
      </c>
      <c r="L6622" s="27" t="s">
        <v>115</v>
      </c>
      <c r="M6622" s="10">
        <v>150.78834884522578</v>
      </c>
    </row>
    <row r="6623" spans="11:13" x14ac:dyDescent="0.25">
      <c r="K6623" s="26" t="s">
        <v>109</v>
      </c>
      <c r="L6623" s="27" t="s">
        <v>116</v>
      </c>
      <c r="M6623" s="10">
        <v>141.71837297483626</v>
      </c>
    </row>
    <row r="6624" spans="11:13" x14ac:dyDescent="0.25">
      <c r="K6624" s="26" t="s">
        <v>109</v>
      </c>
      <c r="L6624" s="27" t="s">
        <v>117</v>
      </c>
      <c r="M6624" s="10">
        <v>127.54653567735262</v>
      </c>
    </row>
    <row r="6625" spans="11:13" x14ac:dyDescent="0.25">
      <c r="K6625" s="26" t="s">
        <v>109</v>
      </c>
      <c r="L6625" s="27" t="s">
        <v>118</v>
      </c>
      <c r="M6625" s="10">
        <v>308.07147258163894</v>
      </c>
    </row>
    <row r="6626" spans="11:13" x14ac:dyDescent="0.25">
      <c r="K6626" s="26" t="s">
        <v>109</v>
      </c>
      <c r="L6626" s="27" t="s">
        <v>119</v>
      </c>
      <c r="M6626" s="10">
        <v>1232.2858903265558</v>
      </c>
    </row>
    <row r="6627" spans="11:13" x14ac:dyDescent="0.25">
      <c r="K6627" s="26" t="s">
        <v>109</v>
      </c>
      <c r="L6627" s="27" t="s">
        <v>115</v>
      </c>
      <c r="M6627" s="10">
        <v>66.137566137566139</v>
      </c>
    </row>
    <row r="6628" spans="11:13" x14ac:dyDescent="0.25">
      <c r="K6628" s="26" t="s">
        <v>112</v>
      </c>
      <c r="L6628" s="27" t="s">
        <v>116</v>
      </c>
      <c r="M6628" s="10">
        <v>211.79709837975219</v>
      </c>
    </row>
    <row r="6629" spans="11:13" x14ac:dyDescent="0.25">
      <c r="K6629" s="26" t="s">
        <v>109</v>
      </c>
      <c r="L6629" s="27" t="s">
        <v>117</v>
      </c>
      <c r="M6629" s="10">
        <v>103.41261633919338</v>
      </c>
    </row>
    <row r="6630" spans="11:13" x14ac:dyDescent="0.25">
      <c r="K6630" s="26" t="s">
        <v>109</v>
      </c>
      <c r="L6630" s="27" t="s">
        <v>118</v>
      </c>
      <c r="M6630" s="10">
        <v>61.614294516327789</v>
      </c>
    </row>
    <row r="6631" spans="11:13" x14ac:dyDescent="0.25">
      <c r="K6631" s="26" t="s">
        <v>109</v>
      </c>
      <c r="L6631" s="27" t="s">
        <v>119</v>
      </c>
      <c r="M6631" s="10">
        <v>123.22858903265558</v>
      </c>
    </row>
    <row r="6632" spans="11:13" x14ac:dyDescent="0.25">
      <c r="K6632" s="26" t="s">
        <v>109</v>
      </c>
      <c r="L6632" s="27" t="s">
        <v>115</v>
      </c>
      <c r="M6632" s="10">
        <v>77.017868145409736</v>
      </c>
    </row>
    <row r="6633" spans="11:13" x14ac:dyDescent="0.25">
      <c r="K6633" s="26" t="s">
        <v>109</v>
      </c>
      <c r="L6633" s="27" t="s">
        <v>116</v>
      </c>
      <c r="M6633" s="10">
        <v>46.210720887245841</v>
      </c>
    </row>
    <row r="6634" spans="11:13" x14ac:dyDescent="0.25">
      <c r="K6634" s="26" t="s">
        <v>109</v>
      </c>
      <c r="L6634" s="27" t="s">
        <v>117</v>
      </c>
      <c r="M6634" s="10">
        <v>77.017868145409736</v>
      </c>
    </row>
    <row r="6635" spans="11:13" x14ac:dyDescent="0.25">
      <c r="K6635" s="26" t="s">
        <v>114</v>
      </c>
      <c r="L6635" s="27" t="s">
        <v>118</v>
      </c>
      <c r="M6635" s="10">
        <v>84.718839351900883</v>
      </c>
    </row>
    <row r="6636" spans="11:13" x14ac:dyDescent="0.25">
      <c r="K6636" s="26" t="s">
        <v>112</v>
      </c>
      <c r="L6636" s="27" t="s">
        <v>119</v>
      </c>
      <c r="M6636" s="10">
        <v>6353.9129513925654</v>
      </c>
    </row>
    <row r="6637" spans="11:13" x14ac:dyDescent="0.25">
      <c r="K6637" s="26" t="s">
        <v>109</v>
      </c>
      <c r="L6637" s="27" t="s">
        <v>115</v>
      </c>
      <c r="M6637" s="10">
        <v>77.017868145409736</v>
      </c>
    </row>
    <row r="6638" spans="11:13" x14ac:dyDescent="0.25">
      <c r="K6638" s="26" t="s">
        <v>109</v>
      </c>
      <c r="L6638" s="27" t="s">
        <v>116</v>
      </c>
      <c r="M6638" s="10">
        <v>308.07147258163894</v>
      </c>
    </row>
    <row r="6639" spans="11:13" x14ac:dyDescent="0.25">
      <c r="K6639" s="26" t="s">
        <v>109</v>
      </c>
      <c r="L6639" s="27" t="s">
        <v>117</v>
      </c>
      <c r="M6639" s="10">
        <v>74.871842267406038</v>
      </c>
    </row>
    <row r="6640" spans="11:13" x14ac:dyDescent="0.25">
      <c r="K6640" s="26" t="s">
        <v>109</v>
      </c>
      <c r="L6640" s="27" t="s">
        <v>118</v>
      </c>
      <c r="M6640" s="10">
        <v>70.931146025877993</v>
      </c>
    </row>
    <row r="6641" spans="11:13" x14ac:dyDescent="0.25">
      <c r="K6641" s="26" t="s">
        <v>109</v>
      </c>
      <c r="L6641" s="27" t="s">
        <v>119</v>
      </c>
      <c r="M6641" s="10">
        <v>92.88354898336415</v>
      </c>
    </row>
    <row r="6642" spans="11:13" x14ac:dyDescent="0.25">
      <c r="K6642" s="26" t="s">
        <v>109</v>
      </c>
      <c r="L6642" s="27" t="s">
        <v>115</v>
      </c>
      <c r="M6642" s="10">
        <v>44.091710758377424</v>
      </c>
    </row>
    <row r="6643" spans="11:13" x14ac:dyDescent="0.25">
      <c r="K6643" s="26" t="s">
        <v>114</v>
      </c>
      <c r="L6643" s="27" t="s">
        <v>116</v>
      </c>
      <c r="M6643" s="10">
        <v>88.183421516754848</v>
      </c>
    </row>
    <row r="6644" spans="11:13" x14ac:dyDescent="0.25">
      <c r="K6644" s="26" t="s">
        <v>112</v>
      </c>
      <c r="L6644" s="27" t="s">
        <v>117</v>
      </c>
      <c r="M6644" s="10">
        <v>88.183421516754848</v>
      </c>
    </row>
    <row r="6645" spans="11:13" x14ac:dyDescent="0.25">
      <c r="K6645" s="26" t="s">
        <v>109</v>
      </c>
      <c r="L6645" s="27" t="s">
        <v>118</v>
      </c>
      <c r="M6645" s="10">
        <v>40.121970791205264</v>
      </c>
    </row>
    <row r="6646" spans="11:13" x14ac:dyDescent="0.25">
      <c r="K6646" s="26" t="s">
        <v>109</v>
      </c>
      <c r="L6646" s="27" t="s">
        <v>119</v>
      </c>
      <c r="M6646" s="10">
        <v>1543.2098765432099</v>
      </c>
    </row>
    <row r="6647" spans="11:13" x14ac:dyDescent="0.25">
      <c r="K6647" s="26" t="s">
        <v>109</v>
      </c>
      <c r="L6647" s="27" t="s">
        <v>115</v>
      </c>
      <c r="M6647" s="10">
        <v>9.7767638911520294</v>
      </c>
    </row>
    <row r="6648" spans="11:13" x14ac:dyDescent="0.25">
      <c r="K6648" s="26" t="s">
        <v>109</v>
      </c>
      <c r="L6648" s="27" t="s">
        <v>116</v>
      </c>
      <c r="M6648" s="10">
        <v>317.69564756962825</v>
      </c>
    </row>
    <row r="6649" spans="11:13" x14ac:dyDescent="0.25">
      <c r="K6649" s="26" t="s">
        <v>109</v>
      </c>
      <c r="L6649" s="27" t="s">
        <v>117</v>
      </c>
      <c r="M6649" s="10">
        <v>40.515355319666149</v>
      </c>
    </row>
    <row r="6650" spans="11:13" x14ac:dyDescent="0.25">
      <c r="K6650" s="26" t="s">
        <v>109</v>
      </c>
      <c r="L6650" s="27" t="s">
        <v>118</v>
      </c>
      <c r="M6650" s="10">
        <v>136.87469447612841</v>
      </c>
    </row>
    <row r="6651" spans="11:13" x14ac:dyDescent="0.25">
      <c r="K6651" s="26" t="s">
        <v>109</v>
      </c>
      <c r="L6651" s="27" t="s">
        <v>119</v>
      </c>
      <c r="M6651" s="10">
        <v>7.5835918648741805</v>
      </c>
    </row>
    <row r="6652" spans="11:13" x14ac:dyDescent="0.25">
      <c r="K6652" s="26" t="s">
        <v>109</v>
      </c>
      <c r="L6652" s="27" t="s">
        <v>115</v>
      </c>
      <c r="M6652" s="10">
        <v>16.546018614270938</v>
      </c>
    </row>
    <row r="6653" spans="11:13" x14ac:dyDescent="0.25">
      <c r="K6653" s="26" t="s">
        <v>109</v>
      </c>
      <c r="L6653" s="27" t="s">
        <v>116</v>
      </c>
      <c r="M6653" s="10">
        <v>224.06066873491898</v>
      </c>
    </row>
    <row r="6654" spans="11:13" x14ac:dyDescent="0.25">
      <c r="K6654" s="26" t="s">
        <v>109</v>
      </c>
      <c r="L6654" s="27" t="s">
        <v>117</v>
      </c>
      <c r="M6654" s="10">
        <v>120</v>
      </c>
    </row>
    <row r="6655" spans="11:13" x14ac:dyDescent="0.25">
      <c r="K6655" s="26" t="s">
        <v>109</v>
      </c>
      <c r="L6655" s="27" t="s">
        <v>118</v>
      </c>
      <c r="M6655" s="10">
        <v>211.79709837975219</v>
      </c>
    </row>
    <row r="6656" spans="11:13" x14ac:dyDescent="0.25">
      <c r="K6656" s="26" t="s">
        <v>109</v>
      </c>
      <c r="L6656" s="27" t="s">
        <v>119</v>
      </c>
      <c r="M6656" s="10">
        <v>40.343915343915349</v>
      </c>
    </row>
    <row r="6657" spans="11:13" x14ac:dyDescent="0.25">
      <c r="K6657" s="26" t="s">
        <v>109</v>
      </c>
      <c r="L6657" s="27" t="s">
        <v>115</v>
      </c>
      <c r="M6657" s="10">
        <v>27.475798400908538</v>
      </c>
    </row>
    <row r="6658" spans="11:13" x14ac:dyDescent="0.25">
      <c r="K6658" s="26" t="s">
        <v>109</v>
      </c>
      <c r="L6658" s="27" t="s">
        <v>116</v>
      </c>
      <c r="M6658" s="10">
        <v>146.33394947627849</v>
      </c>
    </row>
    <row r="6659" spans="11:13" x14ac:dyDescent="0.25">
      <c r="K6659" s="26" t="s">
        <v>109</v>
      </c>
      <c r="L6659" s="27" t="s">
        <v>117</v>
      </c>
      <c r="M6659" s="10">
        <v>462.10720887245844</v>
      </c>
    </row>
    <row r="6660" spans="11:13" x14ac:dyDescent="0.25">
      <c r="K6660" s="26" t="s">
        <v>109</v>
      </c>
      <c r="L6660" s="27" t="s">
        <v>118</v>
      </c>
      <c r="M6660" s="10">
        <v>462.10720887245844</v>
      </c>
    </row>
    <row r="6661" spans="11:13" x14ac:dyDescent="0.25">
      <c r="K6661" s="26" t="s">
        <v>109</v>
      </c>
      <c r="L6661" s="27" t="s">
        <v>119</v>
      </c>
      <c r="M6661" s="10">
        <v>924.21441774491689</v>
      </c>
    </row>
    <row r="6662" spans="11:13" x14ac:dyDescent="0.25">
      <c r="K6662" s="26" t="s">
        <v>109</v>
      </c>
      <c r="L6662" s="27" t="s">
        <v>115</v>
      </c>
      <c r="M6662" s="10">
        <v>616.14294516327789</v>
      </c>
    </row>
    <row r="6663" spans="11:13" x14ac:dyDescent="0.25">
      <c r="K6663" s="26" t="s">
        <v>111</v>
      </c>
      <c r="L6663" s="27" t="s">
        <v>116</v>
      </c>
      <c r="M6663" s="10">
        <v>145</v>
      </c>
    </row>
    <row r="6664" spans="11:13" x14ac:dyDescent="0.25">
      <c r="K6664" s="26" t="s">
        <v>112</v>
      </c>
      <c r="L6664" s="27" t="s">
        <v>117</v>
      </c>
      <c r="M6664" s="10">
        <v>165</v>
      </c>
    </row>
    <row r="6665" spans="11:13" x14ac:dyDescent="0.25">
      <c r="K6665" s="26" t="s">
        <v>111</v>
      </c>
      <c r="L6665" s="27" t="s">
        <v>118</v>
      </c>
      <c r="M6665" s="10">
        <v>104.76190476190476</v>
      </c>
    </row>
    <row r="6666" spans="11:13" x14ac:dyDescent="0.25">
      <c r="K6666" s="26" t="s">
        <v>112</v>
      </c>
      <c r="L6666" s="27" t="s">
        <v>119</v>
      </c>
      <c r="M6666" s="10">
        <v>46.210720887245841</v>
      </c>
    </row>
    <row r="6667" spans="11:13" x14ac:dyDescent="0.25">
      <c r="K6667" s="26" t="s">
        <v>109</v>
      </c>
      <c r="L6667" s="27" t="s">
        <v>115</v>
      </c>
      <c r="M6667" s="10">
        <v>105.89854918987609</v>
      </c>
    </row>
    <row r="6668" spans="11:13" x14ac:dyDescent="0.25">
      <c r="K6668" s="26" t="s">
        <v>109</v>
      </c>
      <c r="L6668" s="27" t="s">
        <v>116</v>
      </c>
      <c r="M6668" s="10">
        <v>77.017868145409736</v>
      </c>
    </row>
    <row r="6669" spans="11:13" x14ac:dyDescent="0.25">
      <c r="K6669" s="26" t="s">
        <v>109</v>
      </c>
      <c r="L6669" s="27" t="s">
        <v>117</v>
      </c>
      <c r="M6669" s="10">
        <v>37.850875178021781</v>
      </c>
    </row>
    <row r="6670" spans="11:13" x14ac:dyDescent="0.25">
      <c r="K6670" s="26" t="s">
        <v>109</v>
      </c>
      <c r="L6670" s="27" t="s">
        <v>118</v>
      </c>
      <c r="M6670" s="10">
        <v>195.868430335097</v>
      </c>
    </row>
    <row r="6671" spans="11:13" x14ac:dyDescent="0.25">
      <c r="K6671" s="26" t="s">
        <v>109</v>
      </c>
      <c r="L6671" s="27" t="s">
        <v>119</v>
      </c>
      <c r="M6671" s="10">
        <v>0</v>
      </c>
    </row>
    <row r="6672" spans="11:13" x14ac:dyDescent="0.25">
      <c r="K6672" s="26" t="s">
        <v>109</v>
      </c>
      <c r="L6672" s="27" t="s">
        <v>115</v>
      </c>
      <c r="M6672" s="10">
        <v>66.137566137566139</v>
      </c>
    </row>
    <row r="6673" spans="11:13" x14ac:dyDescent="0.25">
      <c r="K6673" s="26" t="s">
        <v>109</v>
      </c>
      <c r="L6673" s="27" t="s">
        <v>116</v>
      </c>
      <c r="M6673" s="10">
        <v>52.949274594938046</v>
      </c>
    </row>
    <row r="6674" spans="11:13" x14ac:dyDescent="0.25">
      <c r="K6674" s="26" t="s">
        <v>112</v>
      </c>
      <c r="L6674" s="27" t="s">
        <v>117</v>
      </c>
      <c r="M6674" s="10">
        <v>68.993871494096339</v>
      </c>
    </row>
    <row r="6675" spans="11:13" x14ac:dyDescent="0.25">
      <c r="K6675" s="26" t="s">
        <v>112</v>
      </c>
      <c r="L6675" s="27" t="s">
        <v>118</v>
      </c>
      <c r="M6675" s="10">
        <v>77.017868145409736</v>
      </c>
    </row>
    <row r="6676" spans="11:13" x14ac:dyDescent="0.25">
      <c r="K6676" s="26" t="s">
        <v>113</v>
      </c>
      <c r="L6676" s="27" t="s">
        <v>119</v>
      </c>
      <c r="M6676" s="10">
        <v>123.22858903265558</v>
      </c>
    </row>
    <row r="6677" spans="11:13" x14ac:dyDescent="0.25">
      <c r="K6677" s="26" t="s">
        <v>110</v>
      </c>
      <c r="L6677" s="27" t="s">
        <v>115</v>
      </c>
      <c r="M6677" s="10">
        <v>110.22927689594357</v>
      </c>
    </row>
    <row r="6678" spans="11:13" x14ac:dyDescent="0.25">
      <c r="K6678" s="26" t="s">
        <v>112</v>
      </c>
      <c r="L6678" s="27" t="s">
        <v>116</v>
      </c>
      <c r="M6678" s="10">
        <v>170.87867613994067</v>
      </c>
    </row>
    <row r="6679" spans="11:13" x14ac:dyDescent="0.25">
      <c r="K6679" s="26" t="s">
        <v>112</v>
      </c>
      <c r="L6679" s="27" t="s">
        <v>117</v>
      </c>
      <c r="M6679" s="10">
        <v>162.0614212786646</v>
      </c>
    </row>
    <row r="6680" spans="11:13" x14ac:dyDescent="0.25">
      <c r="K6680" s="26" t="s">
        <v>110</v>
      </c>
      <c r="L6680" s="27" t="s">
        <v>118</v>
      </c>
      <c r="M6680" s="10">
        <v>529.49274594938049</v>
      </c>
    </row>
    <row r="6681" spans="11:13" x14ac:dyDescent="0.25">
      <c r="K6681" s="26" t="s">
        <v>112</v>
      </c>
      <c r="L6681" s="27" t="s">
        <v>119</v>
      </c>
      <c r="M6681" s="10">
        <v>92.88354898336415</v>
      </c>
    </row>
    <row r="6682" spans="11:13" x14ac:dyDescent="0.25">
      <c r="K6682" s="26" t="s">
        <v>112</v>
      </c>
      <c r="L6682" s="27" t="s">
        <v>115</v>
      </c>
      <c r="M6682" s="10">
        <v>539.12507701786819</v>
      </c>
    </row>
    <row r="6683" spans="11:13" x14ac:dyDescent="0.25">
      <c r="K6683" s="26" t="s">
        <v>110</v>
      </c>
      <c r="L6683" s="27" t="s">
        <v>116</v>
      </c>
      <c r="M6683" s="10">
        <v>770.17868145409739</v>
      </c>
    </row>
    <row r="6684" spans="11:13" x14ac:dyDescent="0.25">
      <c r="K6684" s="26" t="s">
        <v>110</v>
      </c>
      <c r="L6684" s="27" t="s">
        <v>117</v>
      </c>
      <c r="M6684" s="10">
        <v>68.342151675485013</v>
      </c>
    </row>
    <row r="6685" spans="11:13" x14ac:dyDescent="0.25">
      <c r="K6685" s="26" t="s">
        <v>112</v>
      </c>
      <c r="L6685" s="27" t="s">
        <v>118</v>
      </c>
      <c r="M6685" s="10">
        <v>38.83262883352819</v>
      </c>
    </row>
    <row r="6686" spans="11:13" x14ac:dyDescent="0.25">
      <c r="K6686" s="26" t="s">
        <v>112</v>
      </c>
      <c r="L6686" s="27" t="s">
        <v>119</v>
      </c>
      <c r="M6686" s="10">
        <v>6.2047569803516023</v>
      </c>
    </row>
    <row r="6687" spans="11:13" x14ac:dyDescent="0.25">
      <c r="K6687" s="26" t="s">
        <v>112</v>
      </c>
      <c r="L6687" s="27" t="s">
        <v>115</v>
      </c>
      <c r="M6687" s="10">
        <v>2.204585537918871</v>
      </c>
    </row>
    <row r="6688" spans="11:13" x14ac:dyDescent="0.25">
      <c r="K6688" s="26" t="s">
        <v>112</v>
      </c>
      <c r="L6688" s="27" t="s">
        <v>116</v>
      </c>
      <c r="M6688" s="10">
        <v>211.79709837975219</v>
      </c>
    </row>
    <row r="6689" spans="11:13" x14ac:dyDescent="0.25">
      <c r="K6689" s="26" t="s">
        <v>112</v>
      </c>
      <c r="L6689" s="27" t="s">
        <v>117</v>
      </c>
      <c r="M6689" s="10">
        <v>26.542571527059632</v>
      </c>
    </row>
    <row r="6690" spans="11:13" x14ac:dyDescent="0.25">
      <c r="K6690" s="26" t="s">
        <v>112</v>
      </c>
      <c r="L6690" s="27" t="s">
        <v>118</v>
      </c>
      <c r="M6690" s="10">
        <v>66.137566137566139</v>
      </c>
    </row>
    <row r="6691" spans="11:13" x14ac:dyDescent="0.25">
      <c r="K6691" s="26" t="s">
        <v>112</v>
      </c>
      <c r="L6691" s="27" t="s">
        <v>119</v>
      </c>
      <c r="M6691" s="10">
        <v>64.110196268786581</v>
      </c>
    </row>
    <row r="6692" spans="11:13" x14ac:dyDescent="0.25">
      <c r="K6692" s="26" t="s">
        <v>112</v>
      </c>
      <c r="L6692" s="27" t="s">
        <v>115</v>
      </c>
      <c r="M6692" s="10">
        <v>366.3439786787805</v>
      </c>
    </row>
    <row r="6693" spans="11:13" x14ac:dyDescent="0.25">
      <c r="K6693" s="26" t="s">
        <v>110</v>
      </c>
      <c r="L6693" s="27" t="s">
        <v>116</v>
      </c>
      <c r="M6693" s="10">
        <v>137.37899200454268</v>
      </c>
    </row>
    <row r="6694" spans="11:13" x14ac:dyDescent="0.25">
      <c r="K6694" s="26" t="s">
        <v>112</v>
      </c>
      <c r="L6694" s="27" t="s">
        <v>117</v>
      </c>
      <c r="M6694" s="10">
        <v>73.2687957357561</v>
      </c>
    </row>
    <row r="6695" spans="11:13" x14ac:dyDescent="0.25">
      <c r="K6695" s="26" t="s">
        <v>110</v>
      </c>
      <c r="L6695" s="27" t="s">
        <v>118</v>
      </c>
      <c r="M6695" s="10">
        <v>366.3439786787805</v>
      </c>
    </row>
    <row r="6696" spans="11:13" x14ac:dyDescent="0.25">
      <c r="K6696" s="26" t="s">
        <v>110</v>
      </c>
      <c r="L6696" s="27" t="s">
        <v>119</v>
      </c>
      <c r="M6696" s="10">
        <v>110.22927689594357</v>
      </c>
    </row>
    <row r="6697" spans="11:13" x14ac:dyDescent="0.25">
      <c r="K6697" s="26" t="s">
        <v>110</v>
      </c>
      <c r="L6697" s="27" t="s">
        <v>115</v>
      </c>
      <c r="M6697" s="10">
        <v>0</v>
      </c>
    </row>
    <row r="6698" spans="11:13" x14ac:dyDescent="0.25">
      <c r="K6698" s="26" t="s">
        <v>110</v>
      </c>
      <c r="L6698" s="27" t="s">
        <v>116</v>
      </c>
      <c r="M6698" s="10">
        <v>1.5432098765432098</v>
      </c>
    </row>
    <row r="6699" spans="11:13" x14ac:dyDescent="0.25">
      <c r="K6699" s="26" t="s">
        <v>110</v>
      </c>
      <c r="L6699" s="27" t="s">
        <v>117</v>
      </c>
      <c r="M6699" s="10">
        <v>21.179709837975221</v>
      </c>
    </row>
    <row r="6700" spans="11:13" x14ac:dyDescent="0.25">
      <c r="K6700" s="26" t="s">
        <v>110</v>
      </c>
      <c r="L6700" s="27" t="s">
        <v>118</v>
      </c>
      <c r="M6700" s="10">
        <v>1058.985491898761</v>
      </c>
    </row>
    <row r="6701" spans="11:13" x14ac:dyDescent="0.25">
      <c r="K6701" s="26" t="s">
        <v>110</v>
      </c>
      <c r="L6701" s="27" t="s">
        <v>119</v>
      </c>
      <c r="M6701" s="10">
        <v>205.56833219842486</v>
      </c>
    </row>
    <row r="6702" spans="11:13" x14ac:dyDescent="0.25">
      <c r="K6702" s="26" t="s">
        <v>112</v>
      </c>
      <c r="L6702" s="27" t="s">
        <v>115</v>
      </c>
      <c r="M6702" s="10">
        <v>741.28984432913273</v>
      </c>
    </row>
    <row r="6703" spans="11:13" x14ac:dyDescent="0.25">
      <c r="K6703" s="26" t="s">
        <v>112</v>
      </c>
      <c r="L6703" s="27" t="s">
        <v>116</v>
      </c>
      <c r="M6703" s="10">
        <v>52.949274594938046</v>
      </c>
    </row>
    <row r="6704" spans="11:13" x14ac:dyDescent="0.25">
      <c r="K6704" s="26" t="s">
        <v>112</v>
      </c>
      <c r="L6704" s="27" t="s">
        <v>117</v>
      </c>
      <c r="M6704" s="10">
        <v>77.017868145409736</v>
      </c>
    </row>
    <row r="6705" spans="11:13" x14ac:dyDescent="0.25">
      <c r="K6705" s="26" t="s">
        <v>112</v>
      </c>
      <c r="L6705" s="27" t="s">
        <v>118</v>
      </c>
      <c r="M6705" s="10">
        <v>52.949274594938046</v>
      </c>
    </row>
    <row r="6706" spans="11:13" x14ac:dyDescent="0.25">
      <c r="K6706" s="26" t="s">
        <v>113</v>
      </c>
      <c r="L6706" s="27" t="s">
        <v>119</v>
      </c>
      <c r="M6706" s="10">
        <v>132.27513227513228</v>
      </c>
    </row>
    <row r="6707" spans="11:13" x14ac:dyDescent="0.25">
      <c r="K6707" s="26" t="s">
        <v>113</v>
      </c>
      <c r="L6707" s="27" t="s">
        <v>115</v>
      </c>
      <c r="M6707" s="10">
        <v>75.803322498169166</v>
      </c>
    </row>
    <row r="6708" spans="11:13" x14ac:dyDescent="0.25">
      <c r="K6708" s="26" t="s">
        <v>112</v>
      </c>
      <c r="L6708" s="27" t="s">
        <v>116</v>
      </c>
      <c r="M6708" s="10">
        <v>105.89854918987609</v>
      </c>
    </row>
    <row r="6709" spans="11:13" x14ac:dyDescent="0.25">
      <c r="K6709" s="26" t="s">
        <v>112</v>
      </c>
      <c r="L6709" s="27" t="s">
        <v>117</v>
      </c>
      <c r="M6709" s="10">
        <v>12.848020762401553</v>
      </c>
    </row>
    <row r="6710" spans="11:13" x14ac:dyDescent="0.25">
      <c r="K6710" s="26" t="s">
        <v>112</v>
      </c>
      <c r="L6710" s="27" t="s">
        <v>118</v>
      </c>
      <c r="M6710" s="10">
        <v>498.82140000000004</v>
      </c>
    </row>
    <row r="6711" spans="11:13" x14ac:dyDescent="0.25">
      <c r="K6711" s="26" t="s">
        <v>113</v>
      </c>
      <c r="L6711" s="27" t="s">
        <v>119</v>
      </c>
      <c r="M6711" s="10">
        <v>3.1598500896203361</v>
      </c>
    </row>
    <row r="6712" spans="11:13" x14ac:dyDescent="0.25">
      <c r="K6712" s="26" t="s">
        <v>112</v>
      </c>
      <c r="L6712" s="27" t="s">
        <v>115</v>
      </c>
      <c r="M6712" s="10">
        <v>211.79709837975219</v>
      </c>
    </row>
    <row r="6713" spans="11:13" x14ac:dyDescent="0.25">
      <c r="K6713" s="26" t="s">
        <v>112</v>
      </c>
      <c r="L6713" s="27" t="s">
        <v>116</v>
      </c>
      <c r="M6713" s="10">
        <v>158.84782378481412</v>
      </c>
    </row>
    <row r="6714" spans="11:13" x14ac:dyDescent="0.25">
      <c r="K6714" s="26" t="s">
        <v>112</v>
      </c>
      <c r="L6714" s="27" t="s">
        <v>117</v>
      </c>
      <c r="M6714" s="10">
        <v>6.3932980599647271</v>
      </c>
    </row>
    <row r="6715" spans="11:13" x14ac:dyDescent="0.25">
      <c r="K6715" s="26" t="s">
        <v>112</v>
      </c>
      <c r="L6715" s="27" t="s">
        <v>118</v>
      </c>
      <c r="M6715" s="10">
        <v>21.179709837975221</v>
      </c>
    </row>
    <row r="6716" spans="11:13" x14ac:dyDescent="0.25">
      <c r="K6716" s="26" t="s">
        <v>113</v>
      </c>
      <c r="L6716" s="27" t="s">
        <v>119</v>
      </c>
      <c r="M6716" s="10">
        <v>616.14294516327789</v>
      </c>
    </row>
    <row r="6717" spans="11:13" x14ac:dyDescent="0.25">
      <c r="K6717" s="26" t="s">
        <v>113</v>
      </c>
      <c r="L6717" s="27" t="s">
        <v>115</v>
      </c>
      <c r="M6717" s="10">
        <v>15.968714355548315</v>
      </c>
    </row>
    <row r="6718" spans="11:13" x14ac:dyDescent="0.25">
      <c r="K6718" s="26" t="s">
        <v>110</v>
      </c>
      <c r="L6718" s="27" t="s">
        <v>116</v>
      </c>
      <c r="M6718" s="10">
        <v>1.1946649029982364</v>
      </c>
    </row>
    <row r="6719" spans="11:13" x14ac:dyDescent="0.25">
      <c r="K6719" s="26" t="s">
        <v>110</v>
      </c>
      <c r="L6719" s="27" t="s">
        <v>117</v>
      </c>
      <c r="M6719" s="10">
        <v>20</v>
      </c>
    </row>
    <row r="6720" spans="11:13" x14ac:dyDescent="0.25">
      <c r="K6720" s="26" t="s">
        <v>110</v>
      </c>
      <c r="L6720" s="27" t="s">
        <v>118</v>
      </c>
      <c r="M6720" s="10">
        <v>150</v>
      </c>
    </row>
    <row r="6721" spans="11:13" x14ac:dyDescent="0.25">
      <c r="K6721" s="26" t="s">
        <v>110</v>
      </c>
      <c r="L6721" s="27" t="s">
        <v>119</v>
      </c>
      <c r="M6721" s="10">
        <v>23.126437372322794</v>
      </c>
    </row>
    <row r="6722" spans="11:13" x14ac:dyDescent="0.25">
      <c r="K6722" s="26" t="s">
        <v>112</v>
      </c>
      <c r="L6722" s="27" t="s">
        <v>115</v>
      </c>
      <c r="M6722" s="10">
        <v>81.330868761552694</v>
      </c>
    </row>
    <row r="6723" spans="11:13" x14ac:dyDescent="0.25">
      <c r="K6723" s="26" t="s">
        <v>110</v>
      </c>
      <c r="L6723" s="27" t="s">
        <v>116</v>
      </c>
      <c r="M6723" s="10">
        <v>317.69564756962825</v>
      </c>
    </row>
    <row r="6724" spans="11:13" x14ac:dyDescent="0.25">
      <c r="K6724" s="26" t="s">
        <v>112</v>
      </c>
      <c r="L6724" s="27" t="s">
        <v>117</v>
      </c>
      <c r="M6724" s="10">
        <v>134.43640124095137</v>
      </c>
    </row>
    <row r="6725" spans="11:13" x14ac:dyDescent="0.25">
      <c r="K6725" s="26" t="s">
        <v>110</v>
      </c>
      <c r="L6725" s="27" t="s">
        <v>118</v>
      </c>
      <c r="M6725" s="10">
        <v>308.07147258163894</v>
      </c>
    </row>
    <row r="6726" spans="11:13" x14ac:dyDescent="0.25">
      <c r="K6726" s="26" t="s">
        <v>110</v>
      </c>
      <c r="L6726" s="27" t="s">
        <v>119</v>
      </c>
      <c r="M6726" s="10">
        <v>308.07147258163894</v>
      </c>
    </row>
    <row r="6727" spans="11:13" x14ac:dyDescent="0.25">
      <c r="K6727" s="26" t="s">
        <v>111</v>
      </c>
      <c r="L6727" s="27" t="s">
        <v>115</v>
      </c>
      <c r="M6727" s="10">
        <v>154.03573629081947</v>
      </c>
    </row>
    <row r="6728" spans="11:13" x14ac:dyDescent="0.25">
      <c r="K6728" s="26" t="s">
        <v>109</v>
      </c>
      <c r="L6728" s="27" t="s">
        <v>116</v>
      </c>
      <c r="M6728" s="10">
        <v>8.2260113058299389</v>
      </c>
    </row>
    <row r="6729" spans="11:13" x14ac:dyDescent="0.25">
      <c r="K6729" s="26" t="s">
        <v>109</v>
      </c>
      <c r="L6729" s="27" t="s">
        <v>117</v>
      </c>
      <c r="M6729" s="10">
        <v>391.73677248677251</v>
      </c>
    </row>
    <row r="6730" spans="11:13" x14ac:dyDescent="0.25">
      <c r="K6730" s="26" t="s">
        <v>110</v>
      </c>
      <c r="L6730" s="27" t="s">
        <v>118</v>
      </c>
      <c r="M6730" s="10">
        <v>616.14294516327789</v>
      </c>
    </row>
    <row r="6731" spans="11:13" x14ac:dyDescent="0.25">
      <c r="K6731" s="26" t="s">
        <v>109</v>
      </c>
      <c r="L6731" s="27" t="s">
        <v>119</v>
      </c>
      <c r="M6731" s="10">
        <v>308.07147258163894</v>
      </c>
    </row>
    <row r="6732" spans="11:13" x14ac:dyDescent="0.25">
      <c r="K6732" s="26" t="s">
        <v>110</v>
      </c>
      <c r="L6732" s="27" t="s">
        <v>115</v>
      </c>
      <c r="M6732" s="10">
        <v>354.28219346888477</v>
      </c>
    </row>
    <row r="6733" spans="11:13" x14ac:dyDescent="0.25">
      <c r="K6733" s="26" t="s">
        <v>110</v>
      </c>
      <c r="L6733" s="27" t="s">
        <v>116</v>
      </c>
      <c r="M6733" s="10">
        <v>115.52680221811461</v>
      </c>
    </row>
    <row r="6734" spans="11:13" x14ac:dyDescent="0.25">
      <c r="K6734" s="26" t="s">
        <v>110</v>
      </c>
      <c r="L6734" s="27" t="s">
        <v>117</v>
      </c>
      <c r="M6734" s="10">
        <v>59.23875539125077</v>
      </c>
    </row>
    <row r="6735" spans="11:13" x14ac:dyDescent="0.25">
      <c r="K6735" s="26" t="s">
        <v>110</v>
      </c>
      <c r="L6735" s="27" t="s">
        <v>118</v>
      </c>
      <c r="M6735" s="10">
        <v>25.783117683302528</v>
      </c>
    </row>
    <row r="6736" spans="11:13" x14ac:dyDescent="0.25">
      <c r="K6736" s="26" t="s">
        <v>110</v>
      </c>
      <c r="L6736" s="27" t="s">
        <v>119</v>
      </c>
      <c r="M6736" s="10">
        <v>30.807147258163894</v>
      </c>
    </row>
    <row r="6737" spans="11:13" x14ac:dyDescent="0.25">
      <c r="K6737" s="26" t="s">
        <v>110</v>
      </c>
      <c r="L6737" s="27" t="s">
        <v>115</v>
      </c>
      <c r="M6737" s="10">
        <v>48.500881834215171</v>
      </c>
    </row>
    <row r="6738" spans="11:13" x14ac:dyDescent="0.25">
      <c r="K6738" s="26" t="s">
        <v>111</v>
      </c>
      <c r="L6738" s="27" t="s">
        <v>116</v>
      </c>
      <c r="M6738" s="10">
        <v>1034.1261633919337</v>
      </c>
    </row>
    <row r="6739" spans="11:13" x14ac:dyDescent="0.25">
      <c r="K6739" s="26" t="s">
        <v>110</v>
      </c>
      <c r="L6739" s="27" t="s">
        <v>117</v>
      </c>
      <c r="M6739" s="10">
        <v>149.41466420209488</v>
      </c>
    </row>
    <row r="6740" spans="11:13" x14ac:dyDescent="0.25">
      <c r="K6740" s="26" t="s">
        <v>110</v>
      </c>
      <c r="L6740" s="27" t="s">
        <v>118</v>
      </c>
      <c r="M6740" s="10">
        <v>137.37899200454268</v>
      </c>
    </row>
    <row r="6741" spans="11:13" x14ac:dyDescent="0.25">
      <c r="K6741" s="26" t="s">
        <v>113</v>
      </c>
      <c r="L6741" s="27" t="s">
        <v>119</v>
      </c>
      <c r="M6741" s="10">
        <v>78.461250000000007</v>
      </c>
    </row>
    <row r="6742" spans="11:13" x14ac:dyDescent="0.25">
      <c r="K6742" s="26" t="s">
        <v>113</v>
      </c>
      <c r="L6742" s="27" t="s">
        <v>115</v>
      </c>
      <c r="M6742" s="10">
        <v>110.22927689594357</v>
      </c>
    </row>
    <row r="6743" spans="11:13" x14ac:dyDescent="0.25">
      <c r="K6743" s="26" t="s">
        <v>110</v>
      </c>
      <c r="L6743" s="27" t="s">
        <v>116</v>
      </c>
      <c r="M6743" s="10">
        <v>92.421441774491683</v>
      </c>
    </row>
    <row r="6744" spans="11:13" x14ac:dyDescent="0.25">
      <c r="K6744" s="26" t="s">
        <v>109</v>
      </c>
      <c r="L6744" s="27" t="s">
        <v>117</v>
      </c>
      <c r="M6744" s="10">
        <v>0</v>
      </c>
    </row>
    <row r="6745" spans="11:13" x14ac:dyDescent="0.25">
      <c r="K6745" s="26" t="s">
        <v>109</v>
      </c>
      <c r="L6745" s="27" t="s">
        <v>118</v>
      </c>
      <c r="M6745" s="10">
        <v>123.22858903265558</v>
      </c>
    </row>
    <row r="6746" spans="11:13" x14ac:dyDescent="0.25">
      <c r="K6746" s="26" t="s">
        <v>109</v>
      </c>
      <c r="L6746" s="27" t="s">
        <v>119</v>
      </c>
      <c r="M6746" s="10">
        <v>97.112856444516879</v>
      </c>
    </row>
    <row r="6747" spans="11:13" x14ac:dyDescent="0.25">
      <c r="K6747" s="26" t="s">
        <v>110</v>
      </c>
      <c r="L6747" s="27" t="s">
        <v>115</v>
      </c>
      <c r="M6747" s="10">
        <v>1.0911012082510221</v>
      </c>
    </row>
    <row r="6748" spans="11:13" x14ac:dyDescent="0.25">
      <c r="K6748" s="26" t="s">
        <v>109</v>
      </c>
      <c r="L6748" s="27" t="s">
        <v>116</v>
      </c>
      <c r="M6748" s="10">
        <v>107.82501540357363</v>
      </c>
    </row>
    <row r="6749" spans="11:13" x14ac:dyDescent="0.25">
      <c r="K6749" s="26" t="s">
        <v>109</v>
      </c>
      <c r="L6749" s="27" t="s">
        <v>117</v>
      </c>
      <c r="M6749" s="10">
        <v>123.22858903265558</v>
      </c>
    </row>
    <row r="6750" spans="11:13" x14ac:dyDescent="0.25">
      <c r="K6750" s="26" t="s">
        <v>113</v>
      </c>
      <c r="L6750" s="27" t="s">
        <v>118</v>
      </c>
      <c r="M6750" s="10">
        <v>325.89212970506765</v>
      </c>
    </row>
    <row r="6751" spans="11:13" x14ac:dyDescent="0.25">
      <c r="K6751" s="26" t="s">
        <v>110</v>
      </c>
      <c r="L6751" s="27" t="s">
        <v>119</v>
      </c>
      <c r="M6751" s="10">
        <v>176.3668430335097</v>
      </c>
    </row>
    <row r="6752" spans="11:13" x14ac:dyDescent="0.25">
      <c r="K6752" s="26" t="s">
        <v>110</v>
      </c>
      <c r="L6752" s="27" t="s">
        <v>115</v>
      </c>
      <c r="M6752" s="10">
        <v>38.54406228720466</v>
      </c>
    </row>
    <row r="6753" spans="11:13" x14ac:dyDescent="0.25">
      <c r="K6753" s="26" t="s">
        <v>110</v>
      </c>
      <c r="L6753" s="27" t="s">
        <v>116</v>
      </c>
      <c r="M6753" s="10">
        <v>137.37899200454268</v>
      </c>
    </row>
    <row r="6754" spans="11:13" x14ac:dyDescent="0.25">
      <c r="K6754" s="26" t="s">
        <v>110</v>
      </c>
      <c r="L6754" s="27" t="s">
        <v>117</v>
      </c>
      <c r="M6754" s="10">
        <v>27.726432532347506</v>
      </c>
    </row>
    <row r="6755" spans="11:13" x14ac:dyDescent="0.25">
      <c r="K6755" s="26" t="s">
        <v>110</v>
      </c>
      <c r="L6755" s="27" t="s">
        <v>118</v>
      </c>
      <c r="M6755" s="10">
        <v>1.5403573629081948</v>
      </c>
    </row>
    <row r="6756" spans="11:13" x14ac:dyDescent="0.25">
      <c r="K6756" s="26" t="s">
        <v>110</v>
      </c>
      <c r="L6756" s="27" t="s">
        <v>119</v>
      </c>
      <c r="M6756" s="10">
        <v>55.114638447971785</v>
      </c>
    </row>
    <row r="6757" spans="11:13" x14ac:dyDescent="0.25">
      <c r="K6757" s="26" t="s">
        <v>111</v>
      </c>
      <c r="L6757" s="27" t="s">
        <v>115</v>
      </c>
      <c r="M6757" s="10">
        <v>88.183421516754848</v>
      </c>
    </row>
    <row r="6758" spans="11:13" x14ac:dyDescent="0.25">
      <c r="K6758" s="26" t="s">
        <v>111</v>
      </c>
      <c r="L6758" s="27" t="s">
        <v>116</v>
      </c>
      <c r="M6758" s="10">
        <v>77.160493827160494</v>
      </c>
    </row>
    <row r="6759" spans="11:13" x14ac:dyDescent="0.25">
      <c r="K6759" s="26" t="s">
        <v>111</v>
      </c>
      <c r="L6759" s="27" t="s">
        <v>117</v>
      </c>
      <c r="M6759" s="10">
        <v>110.22927689594357</v>
      </c>
    </row>
    <row r="6760" spans="11:13" x14ac:dyDescent="0.25">
      <c r="K6760" s="26" t="s">
        <v>111</v>
      </c>
      <c r="L6760" s="27" t="s">
        <v>118</v>
      </c>
      <c r="M6760" s="10">
        <v>0</v>
      </c>
    </row>
    <row r="6761" spans="11:13" x14ac:dyDescent="0.25">
      <c r="K6761" s="26" t="s">
        <v>109</v>
      </c>
      <c r="L6761" s="27" t="s">
        <v>119</v>
      </c>
      <c r="M6761" s="10">
        <v>55.114638447971785</v>
      </c>
    </row>
    <row r="6762" spans="11:13" x14ac:dyDescent="0.25">
      <c r="K6762" s="26" t="s">
        <v>109</v>
      </c>
      <c r="L6762" s="27" t="s">
        <v>115</v>
      </c>
      <c r="M6762" s="10">
        <v>385.44062287204662</v>
      </c>
    </row>
    <row r="6763" spans="11:13" x14ac:dyDescent="0.25">
      <c r="K6763" s="26" t="s">
        <v>109</v>
      </c>
      <c r="L6763" s="27" t="s">
        <v>116</v>
      </c>
      <c r="M6763" s="10">
        <v>3.4470872113064459</v>
      </c>
    </row>
    <row r="6764" spans="11:13" x14ac:dyDescent="0.25">
      <c r="K6764" s="26" t="s">
        <v>109</v>
      </c>
      <c r="L6764" s="27" t="s">
        <v>117</v>
      </c>
      <c r="M6764" s="10">
        <v>0</v>
      </c>
    </row>
    <row r="6765" spans="11:13" x14ac:dyDescent="0.25">
      <c r="K6765" s="26" t="s">
        <v>109</v>
      </c>
      <c r="L6765" s="27" t="s">
        <v>118</v>
      </c>
      <c r="M6765" s="10">
        <v>154.03573629081947</v>
      </c>
    </row>
    <row r="6766" spans="11:13" x14ac:dyDescent="0.25">
      <c r="K6766" s="26" t="s">
        <v>109</v>
      </c>
      <c r="L6766" s="27" t="s">
        <v>119</v>
      </c>
      <c r="M6766" s="10">
        <v>154.03573629081947</v>
      </c>
    </row>
    <row r="6767" spans="11:13" x14ac:dyDescent="0.25">
      <c r="K6767" s="26" t="s">
        <v>109</v>
      </c>
      <c r="L6767" s="27" t="s">
        <v>115</v>
      </c>
      <c r="M6767" s="10">
        <v>154.03573629081947</v>
      </c>
    </row>
    <row r="6768" spans="11:13" x14ac:dyDescent="0.25">
      <c r="K6768" s="26" t="s">
        <v>109</v>
      </c>
      <c r="L6768" s="27" t="s">
        <v>116</v>
      </c>
      <c r="M6768" s="10">
        <v>1.0782501540357363</v>
      </c>
    </row>
    <row r="6769" spans="11:13" x14ac:dyDescent="0.25">
      <c r="K6769" s="26" t="s">
        <v>109</v>
      </c>
      <c r="L6769" s="27" t="s">
        <v>117</v>
      </c>
      <c r="M6769" s="10">
        <v>9.7042513863216264</v>
      </c>
    </row>
    <row r="6770" spans="11:13" x14ac:dyDescent="0.25">
      <c r="K6770" s="26" t="s">
        <v>109</v>
      </c>
      <c r="L6770" s="27" t="s">
        <v>118</v>
      </c>
      <c r="M6770" s="10">
        <v>214.41</v>
      </c>
    </row>
    <row r="6771" spans="11:13" x14ac:dyDescent="0.25">
      <c r="K6771" s="26" t="s">
        <v>109</v>
      </c>
      <c r="L6771" s="27" t="s">
        <v>119</v>
      </c>
      <c r="M6771" s="10">
        <v>642.4010381200776</v>
      </c>
    </row>
    <row r="6772" spans="11:13" x14ac:dyDescent="0.25">
      <c r="K6772" s="26" t="s">
        <v>109</v>
      </c>
      <c r="L6772" s="27" t="s">
        <v>115</v>
      </c>
      <c r="M6772" s="10">
        <v>73.361153877319509</v>
      </c>
    </row>
    <row r="6773" spans="11:13" x14ac:dyDescent="0.25">
      <c r="K6773" s="26" t="s">
        <v>109</v>
      </c>
      <c r="L6773" s="27" t="s">
        <v>116</v>
      </c>
      <c r="M6773" s="10">
        <v>24.309213191799692</v>
      </c>
    </row>
    <row r="6774" spans="11:13" x14ac:dyDescent="0.25">
      <c r="K6774" s="26" t="s">
        <v>109</v>
      </c>
      <c r="L6774" s="27" t="s">
        <v>117</v>
      </c>
      <c r="M6774" s="10">
        <v>11.344299489506524</v>
      </c>
    </row>
    <row r="6775" spans="11:13" x14ac:dyDescent="0.25">
      <c r="K6775" s="26" t="s">
        <v>109</v>
      </c>
      <c r="L6775" s="27" t="s">
        <v>118</v>
      </c>
      <c r="M6775" s="10">
        <v>14.220889717202821</v>
      </c>
    </row>
    <row r="6776" spans="11:13" x14ac:dyDescent="0.25">
      <c r="K6776" s="26" t="s">
        <v>111</v>
      </c>
      <c r="L6776" s="27" t="s">
        <v>119</v>
      </c>
      <c r="M6776" s="10">
        <v>44.554898306458149</v>
      </c>
    </row>
    <row r="6777" spans="11:13" x14ac:dyDescent="0.25">
      <c r="K6777" s="26" t="s">
        <v>111</v>
      </c>
      <c r="L6777" s="27" t="s">
        <v>115</v>
      </c>
      <c r="M6777" s="10">
        <v>162.0614212786646</v>
      </c>
    </row>
    <row r="6778" spans="11:13" x14ac:dyDescent="0.25">
      <c r="K6778" s="26" t="s">
        <v>109</v>
      </c>
      <c r="L6778" s="27" t="s">
        <v>116</v>
      </c>
      <c r="M6778" s="10">
        <v>154.03573629081947</v>
      </c>
    </row>
    <row r="6779" spans="11:13" x14ac:dyDescent="0.25">
      <c r="K6779" s="26" t="s">
        <v>109</v>
      </c>
      <c r="L6779" s="27" t="s">
        <v>117</v>
      </c>
      <c r="M6779" s="10">
        <v>123.22858903265558</v>
      </c>
    </row>
    <row r="6780" spans="11:13" x14ac:dyDescent="0.25">
      <c r="K6780" s="26" t="s">
        <v>109</v>
      </c>
      <c r="L6780" s="27" t="s">
        <v>118</v>
      </c>
      <c r="M6780" s="10">
        <v>130.93037584719656</v>
      </c>
    </row>
    <row r="6781" spans="11:13" x14ac:dyDescent="0.25">
      <c r="K6781" s="26" t="s">
        <v>109</v>
      </c>
      <c r="L6781" s="27" t="s">
        <v>119</v>
      </c>
      <c r="M6781" s="10">
        <v>200.24645717806533</v>
      </c>
    </row>
    <row r="6782" spans="11:13" x14ac:dyDescent="0.25">
      <c r="K6782" s="26" t="s">
        <v>109</v>
      </c>
      <c r="L6782" s="27" t="s">
        <v>115</v>
      </c>
      <c r="M6782" s="10">
        <v>207.94824399260631</v>
      </c>
    </row>
    <row r="6783" spans="11:13" x14ac:dyDescent="0.25">
      <c r="K6783" s="26" t="s">
        <v>109</v>
      </c>
      <c r="L6783" s="27" t="s">
        <v>116</v>
      </c>
      <c r="M6783" s="10">
        <v>130.93037584719656</v>
      </c>
    </row>
    <row r="6784" spans="11:13" x14ac:dyDescent="0.25">
      <c r="K6784" s="26" t="s">
        <v>109</v>
      </c>
      <c r="L6784" s="27" t="s">
        <v>117</v>
      </c>
      <c r="M6784" s="10">
        <v>150.95502156500308</v>
      </c>
    </row>
    <row r="6785" spans="11:13" x14ac:dyDescent="0.25">
      <c r="K6785" s="26" t="s">
        <v>109</v>
      </c>
      <c r="L6785" s="27" t="s">
        <v>118</v>
      </c>
      <c r="M6785" s="10">
        <v>184.84288354898337</v>
      </c>
    </row>
    <row r="6786" spans="11:13" x14ac:dyDescent="0.25">
      <c r="K6786" s="26" t="s">
        <v>109</v>
      </c>
      <c r="L6786" s="27" t="s">
        <v>119</v>
      </c>
      <c r="M6786" s="10">
        <v>308.07147258163894</v>
      </c>
    </row>
    <row r="6787" spans="11:13" x14ac:dyDescent="0.25">
      <c r="K6787" s="26" t="s">
        <v>109</v>
      </c>
      <c r="L6787" s="27" t="s">
        <v>115</v>
      </c>
      <c r="M6787" s="10">
        <v>6.1614294516327792</v>
      </c>
    </row>
    <row r="6788" spans="11:13" x14ac:dyDescent="0.25">
      <c r="K6788" s="26" t="s">
        <v>109</v>
      </c>
      <c r="L6788" s="27" t="s">
        <v>116</v>
      </c>
      <c r="M6788" s="10">
        <v>61.614294516327789</v>
      </c>
    </row>
    <row r="6789" spans="11:13" x14ac:dyDescent="0.25">
      <c r="K6789" s="26" t="s">
        <v>109</v>
      </c>
      <c r="L6789" s="27" t="s">
        <v>117</v>
      </c>
      <c r="M6789" s="10">
        <v>20.257677659833075</v>
      </c>
    </row>
    <row r="6790" spans="11:13" x14ac:dyDescent="0.25">
      <c r="K6790" s="26" t="s">
        <v>109</v>
      </c>
      <c r="L6790" s="27" t="s">
        <v>118</v>
      </c>
      <c r="M6790" s="10">
        <v>202.57677659833075</v>
      </c>
    </row>
    <row r="6791" spans="11:13" x14ac:dyDescent="0.25">
      <c r="K6791" s="26" t="s">
        <v>109</v>
      </c>
      <c r="L6791" s="27" t="s">
        <v>119</v>
      </c>
      <c r="M6791" s="10">
        <v>15.88</v>
      </c>
    </row>
    <row r="6792" spans="11:13" x14ac:dyDescent="0.25">
      <c r="K6792" s="26" t="s">
        <v>109</v>
      </c>
      <c r="L6792" s="27" t="s">
        <v>115</v>
      </c>
      <c r="M6792" s="10">
        <v>127.056</v>
      </c>
    </row>
    <row r="6793" spans="11:13" x14ac:dyDescent="0.25">
      <c r="K6793" s="26" t="s">
        <v>110</v>
      </c>
      <c r="L6793" s="27" t="s">
        <v>116</v>
      </c>
      <c r="M6793" s="10">
        <v>127.056</v>
      </c>
    </row>
    <row r="6794" spans="11:13" x14ac:dyDescent="0.25">
      <c r="K6794" s="26" t="s">
        <v>110</v>
      </c>
      <c r="L6794" s="27" t="s">
        <v>117</v>
      </c>
      <c r="M6794" s="10">
        <v>117.06715958102281</v>
      </c>
    </row>
    <row r="6795" spans="11:13" x14ac:dyDescent="0.25">
      <c r="K6795" s="26" t="s">
        <v>109</v>
      </c>
      <c r="L6795" s="27" t="s">
        <v>118</v>
      </c>
      <c r="M6795" s="10">
        <v>154.03573629081947</v>
      </c>
    </row>
    <row r="6796" spans="11:13" x14ac:dyDescent="0.25">
      <c r="K6796" s="26" t="s">
        <v>109</v>
      </c>
      <c r="L6796" s="27" t="s">
        <v>119</v>
      </c>
      <c r="M6796" s="10">
        <v>192.54467036352435</v>
      </c>
    </row>
    <row r="6797" spans="11:13" x14ac:dyDescent="0.25">
      <c r="K6797" s="26" t="s">
        <v>109</v>
      </c>
      <c r="L6797" s="27" t="s">
        <v>115</v>
      </c>
      <c r="M6797" s="10">
        <v>30.807147258163894</v>
      </c>
    </row>
    <row r="6798" spans="11:13" x14ac:dyDescent="0.25">
      <c r="K6798" s="26" t="s">
        <v>109</v>
      </c>
      <c r="L6798" s="27" t="s">
        <v>116</v>
      </c>
      <c r="M6798" s="10">
        <v>770.17868145409739</v>
      </c>
    </row>
    <row r="6799" spans="11:13" x14ac:dyDescent="0.25">
      <c r="K6799" s="26" t="s">
        <v>109</v>
      </c>
      <c r="L6799" s="27" t="s">
        <v>117</v>
      </c>
      <c r="M6799" s="10">
        <v>92.421441774491683</v>
      </c>
    </row>
    <row r="6800" spans="11:13" x14ac:dyDescent="0.25">
      <c r="K6800" s="26" t="s">
        <v>110</v>
      </c>
      <c r="L6800" s="27" t="s">
        <v>118</v>
      </c>
      <c r="M6800" s="10">
        <v>91.585994669695125</v>
      </c>
    </row>
    <row r="6801" spans="11:13" x14ac:dyDescent="0.25">
      <c r="K6801" s="26" t="s">
        <v>109</v>
      </c>
      <c r="L6801" s="27" t="s">
        <v>119</v>
      </c>
      <c r="M6801" s="10">
        <v>54.951596801817075</v>
      </c>
    </row>
    <row r="6802" spans="11:13" x14ac:dyDescent="0.25">
      <c r="K6802" s="26" t="s">
        <v>109</v>
      </c>
      <c r="L6802" s="27" t="s">
        <v>115</v>
      </c>
      <c r="M6802" s="10">
        <v>348.02677974484146</v>
      </c>
    </row>
    <row r="6803" spans="11:13" x14ac:dyDescent="0.25">
      <c r="K6803" s="26" t="s">
        <v>109</v>
      </c>
      <c r="L6803" s="27" t="s">
        <v>116</v>
      </c>
      <c r="M6803" s="10">
        <v>10</v>
      </c>
    </row>
    <row r="6804" spans="11:13" x14ac:dyDescent="0.25">
      <c r="K6804" s="26" t="s">
        <v>109</v>
      </c>
      <c r="L6804" s="27" t="s">
        <v>117</v>
      </c>
      <c r="M6804" s="10">
        <v>1</v>
      </c>
    </row>
    <row r="6805" spans="11:13" x14ac:dyDescent="0.25">
      <c r="K6805" s="26" t="s">
        <v>109</v>
      </c>
      <c r="L6805" s="27" t="s">
        <v>118</v>
      </c>
      <c r="M6805" s="10">
        <v>206.71296296296299</v>
      </c>
    </row>
    <row r="6806" spans="11:13" x14ac:dyDescent="0.25">
      <c r="K6806" s="26" t="s">
        <v>110</v>
      </c>
      <c r="L6806" s="27" t="s">
        <v>119</v>
      </c>
      <c r="M6806" s="10">
        <v>164.81823783117684</v>
      </c>
    </row>
    <row r="6807" spans="11:13" x14ac:dyDescent="0.25">
      <c r="K6807" s="26" t="s">
        <v>110</v>
      </c>
      <c r="L6807" s="27" t="s">
        <v>115</v>
      </c>
      <c r="M6807" s="10">
        <v>529.49274594938049</v>
      </c>
    </row>
    <row r="6808" spans="11:13" x14ac:dyDescent="0.25">
      <c r="K6808" s="26" t="s">
        <v>110</v>
      </c>
      <c r="L6808" s="27" t="s">
        <v>116</v>
      </c>
      <c r="M6808" s="10">
        <v>47.397751344305043</v>
      </c>
    </row>
    <row r="6809" spans="11:13" x14ac:dyDescent="0.25">
      <c r="K6809" s="26" t="s">
        <v>110</v>
      </c>
      <c r="L6809" s="27" t="s">
        <v>117</v>
      </c>
      <c r="M6809" s="10">
        <v>18.269562219924161</v>
      </c>
    </row>
    <row r="6810" spans="11:13" x14ac:dyDescent="0.25">
      <c r="K6810" s="26" t="s">
        <v>109</v>
      </c>
      <c r="L6810" s="27" t="s">
        <v>118</v>
      </c>
      <c r="M6810" s="10">
        <v>10.053120417141926</v>
      </c>
    </row>
    <row r="6811" spans="11:13" x14ac:dyDescent="0.25">
      <c r="K6811" s="26" t="s">
        <v>109</v>
      </c>
      <c r="L6811" s="27" t="s">
        <v>119</v>
      </c>
      <c r="M6811" s="10">
        <v>77.345084989657352</v>
      </c>
    </row>
    <row r="6812" spans="11:13" x14ac:dyDescent="0.25">
      <c r="K6812" s="26" t="s">
        <v>109</v>
      </c>
      <c r="L6812" s="27" t="s">
        <v>115</v>
      </c>
      <c r="M6812" s="10">
        <v>31.598500896203358</v>
      </c>
    </row>
    <row r="6813" spans="11:13" x14ac:dyDescent="0.25">
      <c r="K6813" s="26" t="s">
        <v>109</v>
      </c>
      <c r="L6813" s="27" t="s">
        <v>116</v>
      </c>
      <c r="M6813" s="10">
        <v>2564.4078507514632</v>
      </c>
    </row>
    <row r="6814" spans="11:13" x14ac:dyDescent="0.25">
      <c r="K6814" s="26" t="s">
        <v>112</v>
      </c>
      <c r="L6814" s="27" t="s">
        <v>117</v>
      </c>
      <c r="M6814" s="10">
        <v>25.696041524803107</v>
      </c>
    </row>
    <row r="6815" spans="11:13" x14ac:dyDescent="0.25">
      <c r="K6815" s="26" t="s">
        <v>109</v>
      </c>
      <c r="L6815" s="27" t="s">
        <v>118</v>
      </c>
      <c r="M6815" s="10">
        <v>98.339601690632605</v>
      </c>
    </row>
    <row r="6816" spans="11:13" x14ac:dyDescent="0.25">
      <c r="K6816" s="26" t="s">
        <v>109</v>
      </c>
      <c r="L6816" s="27" t="s">
        <v>119</v>
      </c>
      <c r="M6816" s="10">
        <v>6.2115989801075022</v>
      </c>
    </row>
    <row r="6817" spans="11:13" x14ac:dyDescent="0.25">
      <c r="K6817" s="26" t="s">
        <v>109</v>
      </c>
      <c r="L6817" s="27" t="s">
        <v>115</v>
      </c>
      <c r="M6817" s="10">
        <v>176.3668430335097</v>
      </c>
    </row>
    <row r="6818" spans="11:13" x14ac:dyDescent="0.25">
      <c r="K6818" s="26" t="s">
        <v>109</v>
      </c>
      <c r="L6818" s="27" t="s">
        <v>116</v>
      </c>
      <c r="M6818" s="10">
        <v>137.37899200454268</v>
      </c>
    </row>
    <row r="6819" spans="11:13" x14ac:dyDescent="0.25">
      <c r="K6819" s="26" t="s">
        <v>110</v>
      </c>
      <c r="L6819" s="27" t="s">
        <v>117</v>
      </c>
      <c r="M6819" s="10">
        <v>77.017868145409736</v>
      </c>
    </row>
    <row r="6820" spans="11:13" x14ac:dyDescent="0.25">
      <c r="K6820" s="26" t="s">
        <v>109</v>
      </c>
      <c r="L6820" s="27" t="s">
        <v>118</v>
      </c>
      <c r="M6820" s="10">
        <v>154.03573629081947</v>
      </c>
    </row>
    <row r="6821" spans="11:13" x14ac:dyDescent="0.25">
      <c r="K6821" s="26" t="s">
        <v>109</v>
      </c>
      <c r="L6821" s="27" t="s">
        <v>119</v>
      </c>
      <c r="M6821" s="10">
        <v>154.03573629081947</v>
      </c>
    </row>
    <row r="6822" spans="11:13" x14ac:dyDescent="0.25">
      <c r="K6822" s="26" t="s">
        <v>113</v>
      </c>
      <c r="L6822" s="27" t="s">
        <v>115</v>
      </c>
      <c r="M6822" s="10">
        <v>231.05360443622922</v>
      </c>
    </row>
    <row r="6823" spans="11:13" x14ac:dyDescent="0.25">
      <c r="K6823" s="26" t="s">
        <v>109</v>
      </c>
      <c r="L6823" s="27" t="s">
        <v>116</v>
      </c>
      <c r="M6823" s="10">
        <v>154.03573629081947</v>
      </c>
    </row>
    <row r="6824" spans="11:13" x14ac:dyDescent="0.25">
      <c r="K6824" s="26" t="s">
        <v>110</v>
      </c>
      <c r="L6824" s="27" t="s">
        <v>117</v>
      </c>
      <c r="M6824" s="10">
        <v>92.421441774491683</v>
      </c>
    </row>
    <row r="6825" spans="11:13" x14ac:dyDescent="0.25">
      <c r="K6825" s="26" t="s">
        <v>109</v>
      </c>
      <c r="L6825" s="27" t="s">
        <v>118</v>
      </c>
      <c r="M6825" s="10">
        <v>46.210720887245841</v>
      </c>
    </row>
    <row r="6826" spans="11:13" x14ac:dyDescent="0.25">
      <c r="K6826" s="26" t="s">
        <v>113</v>
      </c>
      <c r="L6826" s="27" t="s">
        <v>119</v>
      </c>
      <c r="M6826" s="10">
        <v>92.421441774491683</v>
      </c>
    </row>
    <row r="6827" spans="11:13" x14ac:dyDescent="0.25">
      <c r="K6827" s="26" t="s">
        <v>110</v>
      </c>
      <c r="L6827" s="27" t="s">
        <v>115</v>
      </c>
      <c r="M6827" s="10">
        <v>30.807147258163894</v>
      </c>
    </row>
    <row r="6828" spans="11:13" x14ac:dyDescent="0.25">
      <c r="K6828" s="26" t="s">
        <v>110</v>
      </c>
      <c r="L6828" s="27" t="s">
        <v>116</v>
      </c>
      <c r="M6828" s="10">
        <v>41.148798521256936</v>
      </c>
    </row>
    <row r="6829" spans="11:13" x14ac:dyDescent="0.25">
      <c r="K6829" s="26" t="s">
        <v>110</v>
      </c>
      <c r="L6829" s="27" t="s">
        <v>117</v>
      </c>
      <c r="M6829" s="10">
        <v>176.3668430335097</v>
      </c>
    </row>
    <row r="6830" spans="11:13" x14ac:dyDescent="0.25">
      <c r="K6830" s="26" t="s">
        <v>110</v>
      </c>
      <c r="L6830" s="27" t="s">
        <v>118</v>
      </c>
      <c r="M6830" s="10">
        <v>256.96041524803104</v>
      </c>
    </row>
    <row r="6831" spans="11:13" x14ac:dyDescent="0.25">
      <c r="K6831" s="26" t="s">
        <v>110</v>
      </c>
      <c r="L6831" s="27" t="s">
        <v>119</v>
      </c>
      <c r="M6831" s="10">
        <v>15.511892450879007</v>
      </c>
    </row>
    <row r="6832" spans="11:13" x14ac:dyDescent="0.25">
      <c r="K6832" s="26" t="s">
        <v>109</v>
      </c>
      <c r="L6832" s="27" t="s">
        <v>115</v>
      </c>
      <c r="M6832" s="10">
        <v>75</v>
      </c>
    </row>
    <row r="6833" spans="11:13" x14ac:dyDescent="0.25">
      <c r="K6833" s="26" t="s">
        <v>111</v>
      </c>
      <c r="L6833" s="27" t="s">
        <v>116</v>
      </c>
      <c r="M6833" s="10">
        <v>9.4574861367837322</v>
      </c>
    </row>
    <row r="6834" spans="11:13" x14ac:dyDescent="0.25">
      <c r="K6834" s="26" t="s">
        <v>111</v>
      </c>
      <c r="L6834" s="27" t="s">
        <v>117</v>
      </c>
      <c r="M6834" s="10">
        <v>44.923105360443621</v>
      </c>
    </row>
    <row r="6835" spans="11:13" x14ac:dyDescent="0.25">
      <c r="K6835" s="26" t="s">
        <v>110</v>
      </c>
      <c r="L6835" s="27" t="s">
        <v>118</v>
      </c>
      <c r="M6835" s="10">
        <v>22.461552680221811</v>
      </c>
    </row>
    <row r="6836" spans="11:13" x14ac:dyDescent="0.25">
      <c r="K6836" s="26" t="s">
        <v>110</v>
      </c>
      <c r="L6836" s="27" t="s">
        <v>119</v>
      </c>
      <c r="M6836" s="10">
        <v>1.723543605653223</v>
      </c>
    </row>
    <row r="6837" spans="11:13" x14ac:dyDescent="0.25">
      <c r="K6837" s="26" t="s">
        <v>110</v>
      </c>
      <c r="L6837" s="27" t="s">
        <v>115</v>
      </c>
      <c r="M6837" s="10">
        <v>34.470872113064452</v>
      </c>
    </row>
    <row r="6838" spans="11:13" x14ac:dyDescent="0.25">
      <c r="K6838" s="26" t="s">
        <v>110</v>
      </c>
      <c r="L6838" s="27" t="s">
        <v>116</v>
      </c>
      <c r="M6838" s="10">
        <v>5.8600482592209584</v>
      </c>
    </row>
    <row r="6839" spans="11:13" x14ac:dyDescent="0.25">
      <c r="K6839" s="26" t="s">
        <v>110</v>
      </c>
      <c r="L6839" s="27" t="s">
        <v>117</v>
      </c>
      <c r="M6839" s="10">
        <v>20</v>
      </c>
    </row>
    <row r="6840" spans="11:13" x14ac:dyDescent="0.25">
      <c r="K6840" s="26" t="s">
        <v>113</v>
      </c>
      <c r="L6840" s="27" t="s">
        <v>118</v>
      </c>
      <c r="M6840" s="10">
        <v>154.03573629081947</v>
      </c>
    </row>
    <row r="6841" spans="11:13" x14ac:dyDescent="0.25">
      <c r="K6841" s="26" t="s">
        <v>110</v>
      </c>
      <c r="L6841" s="27" t="s">
        <v>119</v>
      </c>
      <c r="M6841" s="10">
        <v>38.607376766632193</v>
      </c>
    </row>
    <row r="6842" spans="11:13" x14ac:dyDescent="0.25">
      <c r="K6842" s="26" t="s">
        <v>110</v>
      </c>
      <c r="L6842" s="27" t="s">
        <v>115</v>
      </c>
      <c r="M6842" s="10">
        <v>100.12322858903266</v>
      </c>
    </row>
    <row r="6843" spans="11:13" x14ac:dyDescent="0.25">
      <c r="K6843" s="26" t="s">
        <v>110</v>
      </c>
      <c r="L6843" s="27" t="s">
        <v>116</v>
      </c>
      <c r="M6843" s="10">
        <v>77.017868145409736</v>
      </c>
    </row>
    <row r="6844" spans="11:13" x14ac:dyDescent="0.25">
      <c r="K6844" s="26" t="s">
        <v>111</v>
      </c>
      <c r="L6844" s="27" t="s">
        <v>117</v>
      </c>
      <c r="M6844" s="10">
        <v>77.017868145409736</v>
      </c>
    </row>
    <row r="6845" spans="11:13" x14ac:dyDescent="0.25">
      <c r="K6845" s="26" t="s">
        <v>111</v>
      </c>
      <c r="L6845" s="27" t="s">
        <v>118</v>
      </c>
      <c r="M6845" s="10">
        <v>6.2047569803516023</v>
      </c>
    </row>
    <row r="6846" spans="11:13" x14ac:dyDescent="0.25">
      <c r="K6846" s="26" t="s">
        <v>109</v>
      </c>
      <c r="L6846" s="27" t="s">
        <v>119</v>
      </c>
      <c r="M6846" s="10">
        <v>33.06878306878307</v>
      </c>
    </row>
    <row r="6847" spans="11:13" x14ac:dyDescent="0.25">
      <c r="K6847" s="26" t="s">
        <v>109</v>
      </c>
      <c r="L6847" s="27" t="s">
        <v>115</v>
      </c>
      <c r="M6847" s="10">
        <v>110.22927689594357</v>
      </c>
    </row>
    <row r="6848" spans="11:13" x14ac:dyDescent="0.25">
      <c r="K6848" s="26" t="s">
        <v>111</v>
      </c>
      <c r="L6848" s="27" t="s">
        <v>116</v>
      </c>
      <c r="M6848" s="10">
        <v>198.4126984126984</v>
      </c>
    </row>
    <row r="6849" spans="11:13" x14ac:dyDescent="0.25">
      <c r="K6849" s="26" t="s">
        <v>112</v>
      </c>
      <c r="L6849" s="27" t="s">
        <v>117</v>
      </c>
      <c r="M6849" s="10">
        <v>198.4126984126984</v>
      </c>
    </row>
    <row r="6850" spans="11:13" x14ac:dyDescent="0.25">
      <c r="K6850" s="26" t="s">
        <v>111</v>
      </c>
      <c r="L6850" s="27" t="s">
        <v>118</v>
      </c>
      <c r="M6850" s="10">
        <v>220.45855379188714</v>
      </c>
    </row>
    <row r="6851" spans="11:13" x14ac:dyDescent="0.25">
      <c r="K6851" s="26" t="s">
        <v>109</v>
      </c>
      <c r="L6851" s="27" t="s">
        <v>119</v>
      </c>
      <c r="M6851" s="10">
        <v>88.183421516754848</v>
      </c>
    </row>
    <row r="6852" spans="11:13" x14ac:dyDescent="0.25">
      <c r="K6852" s="26" t="s">
        <v>110</v>
      </c>
      <c r="L6852" s="27" t="s">
        <v>115</v>
      </c>
      <c r="M6852" s="10">
        <v>120</v>
      </c>
    </row>
    <row r="6853" spans="11:13" x14ac:dyDescent="0.25">
      <c r="K6853" s="26" t="s">
        <v>111</v>
      </c>
      <c r="L6853" s="27" t="s">
        <v>116</v>
      </c>
      <c r="M6853" s="10">
        <v>11.396194416250177</v>
      </c>
    </row>
    <row r="6854" spans="11:13" x14ac:dyDescent="0.25">
      <c r="K6854" s="26" t="s">
        <v>111</v>
      </c>
      <c r="L6854" s="27" t="s">
        <v>117</v>
      </c>
      <c r="M6854" s="10">
        <v>91.585994669695125</v>
      </c>
    </row>
    <row r="6855" spans="11:13" x14ac:dyDescent="0.25">
      <c r="K6855" s="26" t="s">
        <v>112</v>
      </c>
      <c r="L6855" s="27" t="s">
        <v>118</v>
      </c>
      <c r="M6855" s="10">
        <v>59.006900352733687</v>
      </c>
    </row>
    <row r="6856" spans="11:13" x14ac:dyDescent="0.25">
      <c r="K6856" s="26" t="s">
        <v>110</v>
      </c>
      <c r="L6856" s="27" t="s">
        <v>119</v>
      </c>
      <c r="M6856" s="10">
        <v>20</v>
      </c>
    </row>
    <row r="6857" spans="11:13" x14ac:dyDescent="0.25">
      <c r="K6857" s="26" t="s">
        <v>111</v>
      </c>
      <c r="L6857" s="27" t="s">
        <v>115</v>
      </c>
      <c r="M6857" s="10">
        <v>12.064805239572561</v>
      </c>
    </row>
    <row r="6858" spans="11:13" x14ac:dyDescent="0.25">
      <c r="K6858" s="26" t="s">
        <v>112</v>
      </c>
      <c r="L6858" s="27" t="s">
        <v>116</v>
      </c>
      <c r="M6858" s="10">
        <v>6.8941744226128918</v>
      </c>
    </row>
    <row r="6859" spans="11:13" x14ac:dyDescent="0.25">
      <c r="K6859" s="26" t="s">
        <v>110</v>
      </c>
      <c r="L6859" s="27" t="s">
        <v>117</v>
      </c>
      <c r="M6859" s="10">
        <v>10</v>
      </c>
    </row>
    <row r="6860" spans="11:13" x14ac:dyDescent="0.25">
      <c r="K6860" s="26" t="s">
        <v>111</v>
      </c>
      <c r="L6860" s="27" t="s">
        <v>118</v>
      </c>
      <c r="M6860" s="10">
        <v>150.18484288354898</v>
      </c>
    </row>
    <row r="6861" spans="11:13" x14ac:dyDescent="0.25">
      <c r="K6861" s="26" t="s">
        <v>112</v>
      </c>
      <c r="L6861" s="27" t="s">
        <v>119</v>
      </c>
      <c r="M6861" s="10">
        <v>69.316081330868769</v>
      </c>
    </row>
    <row r="6862" spans="11:13" x14ac:dyDescent="0.25">
      <c r="K6862" s="26" t="s">
        <v>109</v>
      </c>
      <c r="L6862" s="27" t="s">
        <v>115</v>
      </c>
      <c r="M6862" s="10">
        <v>150.18484288354898</v>
      </c>
    </row>
    <row r="6863" spans="11:13" x14ac:dyDescent="0.25">
      <c r="K6863" s="26" t="s">
        <v>109</v>
      </c>
      <c r="L6863" s="27" t="s">
        <v>116</v>
      </c>
      <c r="M6863" s="10">
        <v>61.614294516327789</v>
      </c>
    </row>
    <row r="6864" spans="11:13" x14ac:dyDescent="0.25">
      <c r="K6864" s="26" t="s">
        <v>113</v>
      </c>
      <c r="L6864" s="27" t="s">
        <v>117</v>
      </c>
      <c r="M6864" s="10">
        <v>92.421441774491683</v>
      </c>
    </row>
    <row r="6865" spans="11:13" x14ac:dyDescent="0.25">
      <c r="K6865" s="26" t="s">
        <v>112</v>
      </c>
      <c r="L6865" s="27" t="s">
        <v>118</v>
      </c>
      <c r="M6865" s="10">
        <v>61.614294516327789</v>
      </c>
    </row>
    <row r="6866" spans="11:13" x14ac:dyDescent="0.25">
      <c r="K6866" s="26" t="s">
        <v>110</v>
      </c>
      <c r="L6866" s="27" t="s">
        <v>119</v>
      </c>
      <c r="M6866" s="10">
        <v>98.582871226124468</v>
      </c>
    </row>
    <row r="6867" spans="11:13" x14ac:dyDescent="0.25">
      <c r="K6867" s="26" t="s">
        <v>110</v>
      </c>
      <c r="L6867" s="27" t="s">
        <v>115</v>
      </c>
      <c r="M6867" s="10">
        <v>77.017868145409736</v>
      </c>
    </row>
    <row r="6868" spans="11:13" x14ac:dyDescent="0.25">
      <c r="K6868" s="26" t="s">
        <v>111</v>
      </c>
      <c r="L6868" s="27" t="s">
        <v>116</v>
      </c>
      <c r="M6868" s="10">
        <v>77.017868145409736</v>
      </c>
    </row>
    <row r="6869" spans="11:13" x14ac:dyDescent="0.25">
      <c r="K6869" s="26" t="s">
        <v>111</v>
      </c>
      <c r="L6869" s="27" t="s">
        <v>117</v>
      </c>
      <c r="M6869" s="10">
        <v>61.614294516327789</v>
      </c>
    </row>
    <row r="6870" spans="11:13" x14ac:dyDescent="0.25">
      <c r="K6870" s="26" t="s">
        <v>112</v>
      </c>
      <c r="L6870" s="27" t="s">
        <v>118</v>
      </c>
      <c r="M6870" s="10">
        <v>137.37899200454268</v>
      </c>
    </row>
    <row r="6871" spans="11:13" x14ac:dyDescent="0.25">
      <c r="K6871" s="26" t="s">
        <v>109</v>
      </c>
      <c r="L6871" s="27" t="s">
        <v>119</v>
      </c>
      <c r="M6871" s="10">
        <v>6.8941744226128918</v>
      </c>
    </row>
    <row r="6872" spans="11:13" x14ac:dyDescent="0.25">
      <c r="K6872" s="26" t="s">
        <v>109</v>
      </c>
      <c r="L6872" s="27" t="s">
        <v>115</v>
      </c>
      <c r="M6872" s="10">
        <v>86.177180282661155</v>
      </c>
    </row>
    <row r="6873" spans="11:13" x14ac:dyDescent="0.25">
      <c r="K6873" s="26" t="s">
        <v>113</v>
      </c>
      <c r="L6873" s="27" t="s">
        <v>116</v>
      </c>
      <c r="M6873" s="10">
        <v>13.788348845225784</v>
      </c>
    </row>
    <row r="6874" spans="11:13" x14ac:dyDescent="0.25">
      <c r="K6874" s="26" t="s">
        <v>112</v>
      </c>
      <c r="L6874" s="27" t="s">
        <v>117</v>
      </c>
      <c r="M6874" s="10">
        <v>45.022233712512929</v>
      </c>
    </row>
    <row r="6875" spans="11:13" x14ac:dyDescent="0.25">
      <c r="K6875" s="26" t="s">
        <v>109</v>
      </c>
      <c r="L6875" s="27" t="s">
        <v>118</v>
      </c>
      <c r="M6875" s="10">
        <v>91.585994669695125</v>
      </c>
    </row>
    <row r="6876" spans="11:13" x14ac:dyDescent="0.25">
      <c r="K6876" s="26" t="s">
        <v>109</v>
      </c>
      <c r="L6876" s="27" t="s">
        <v>119</v>
      </c>
      <c r="M6876" s="10">
        <v>54.951596801817075</v>
      </c>
    </row>
    <row r="6877" spans="11:13" x14ac:dyDescent="0.25">
      <c r="K6877" s="26" t="s">
        <v>113</v>
      </c>
      <c r="L6877" s="27" t="s">
        <v>115</v>
      </c>
      <c r="M6877" s="10">
        <v>529.49274594938049</v>
      </c>
    </row>
    <row r="6878" spans="11:13" x14ac:dyDescent="0.25">
      <c r="K6878" s="26" t="s">
        <v>113</v>
      </c>
      <c r="L6878" s="27" t="s">
        <v>116</v>
      </c>
      <c r="M6878" s="10">
        <v>13.788348845225784</v>
      </c>
    </row>
    <row r="6879" spans="11:13" x14ac:dyDescent="0.25">
      <c r="K6879" s="26" t="s">
        <v>109</v>
      </c>
      <c r="L6879" s="27" t="s">
        <v>117</v>
      </c>
      <c r="M6879" s="10">
        <v>10.341261633919338</v>
      </c>
    </row>
    <row r="6880" spans="11:13" x14ac:dyDescent="0.25">
      <c r="K6880" s="26" t="s">
        <v>109</v>
      </c>
      <c r="L6880" s="27" t="s">
        <v>118</v>
      </c>
      <c r="M6880" s="10">
        <v>26.655369072836894</v>
      </c>
    </row>
    <row r="6881" spans="11:13" x14ac:dyDescent="0.25">
      <c r="K6881" s="26" t="s">
        <v>109</v>
      </c>
      <c r="L6881" s="27" t="s">
        <v>119</v>
      </c>
      <c r="M6881" s="10">
        <v>1102.2927689594355</v>
      </c>
    </row>
    <row r="6882" spans="11:13" x14ac:dyDescent="0.25">
      <c r="K6882" s="26" t="s">
        <v>109</v>
      </c>
      <c r="L6882" s="27" t="s">
        <v>115</v>
      </c>
      <c r="M6882" s="10">
        <v>66.137566137566139</v>
      </c>
    </row>
    <row r="6883" spans="11:13" x14ac:dyDescent="0.25">
      <c r="K6883" s="26" t="s">
        <v>109</v>
      </c>
      <c r="L6883" s="27" t="s">
        <v>116</v>
      </c>
      <c r="M6883" s="10">
        <v>293.0751829430244</v>
      </c>
    </row>
    <row r="6884" spans="11:13" x14ac:dyDescent="0.25">
      <c r="K6884" s="26" t="s">
        <v>111</v>
      </c>
      <c r="L6884" s="27" t="s">
        <v>117</v>
      </c>
      <c r="M6884" s="10">
        <v>183.17198933939025</v>
      </c>
    </row>
    <row r="6885" spans="11:13" x14ac:dyDescent="0.25">
      <c r="K6885" s="26" t="s">
        <v>111</v>
      </c>
      <c r="L6885" s="27" t="s">
        <v>118</v>
      </c>
      <c r="M6885" s="10">
        <v>10.782501540357364</v>
      </c>
    </row>
    <row r="6886" spans="11:13" x14ac:dyDescent="0.25">
      <c r="K6886" s="26" t="s">
        <v>109</v>
      </c>
      <c r="L6886" s="27" t="s">
        <v>119</v>
      </c>
      <c r="M6886" s="10">
        <v>35.273368606701936</v>
      </c>
    </row>
    <row r="6887" spans="11:13" x14ac:dyDescent="0.25">
      <c r="K6887" s="26" t="s">
        <v>109</v>
      </c>
      <c r="L6887" s="27" t="s">
        <v>115</v>
      </c>
      <c r="M6887" s="10">
        <v>24.846395920430009</v>
      </c>
    </row>
    <row r="6888" spans="11:13" x14ac:dyDescent="0.25">
      <c r="K6888" s="26" t="s">
        <v>109</v>
      </c>
      <c r="L6888" s="27" t="s">
        <v>116</v>
      </c>
      <c r="M6888" s="10">
        <v>30.807147258163894</v>
      </c>
    </row>
    <row r="6889" spans="11:13" x14ac:dyDescent="0.25">
      <c r="K6889" s="26" t="s">
        <v>109</v>
      </c>
      <c r="L6889" s="27" t="s">
        <v>117</v>
      </c>
      <c r="M6889" s="10">
        <v>30.807147258163894</v>
      </c>
    </row>
    <row r="6890" spans="11:13" x14ac:dyDescent="0.25">
      <c r="K6890" s="26" t="s">
        <v>109</v>
      </c>
      <c r="L6890" s="27" t="s">
        <v>118</v>
      </c>
      <c r="M6890" s="10">
        <v>7.4128984432913265</v>
      </c>
    </row>
    <row r="6891" spans="11:13" x14ac:dyDescent="0.25">
      <c r="K6891" s="26" t="s">
        <v>109</v>
      </c>
      <c r="L6891" s="27" t="s">
        <v>119</v>
      </c>
      <c r="M6891" s="10">
        <v>23.105360443622921</v>
      </c>
    </row>
    <row r="6892" spans="11:13" x14ac:dyDescent="0.25">
      <c r="K6892" s="26" t="s">
        <v>109</v>
      </c>
      <c r="L6892" s="27" t="s">
        <v>115</v>
      </c>
      <c r="M6892" s="10">
        <v>66.137566137566139</v>
      </c>
    </row>
    <row r="6893" spans="11:13" x14ac:dyDescent="0.25">
      <c r="K6893" s="26" t="s">
        <v>109</v>
      </c>
      <c r="L6893" s="27" t="s">
        <v>116</v>
      </c>
      <c r="M6893" s="10">
        <v>12.848020762401553</v>
      </c>
    </row>
    <row r="6894" spans="11:13" x14ac:dyDescent="0.25">
      <c r="K6894" s="26" t="s">
        <v>109</v>
      </c>
      <c r="L6894" s="27" t="s">
        <v>117</v>
      </c>
      <c r="M6894" s="10">
        <v>6.5178425941013529</v>
      </c>
    </row>
    <row r="6895" spans="11:13" x14ac:dyDescent="0.25">
      <c r="K6895" s="26" t="s">
        <v>109</v>
      </c>
      <c r="L6895" s="27" t="s">
        <v>118</v>
      </c>
      <c r="M6895" s="10">
        <v>66.137566137566139</v>
      </c>
    </row>
    <row r="6896" spans="11:13" x14ac:dyDescent="0.25">
      <c r="K6896" s="26" t="s">
        <v>109</v>
      </c>
      <c r="L6896" s="27" t="s">
        <v>119</v>
      </c>
      <c r="M6896" s="10">
        <v>34.277006172839506</v>
      </c>
    </row>
    <row r="6897" spans="11:13" x14ac:dyDescent="0.25">
      <c r="K6897" s="26" t="s">
        <v>112</v>
      </c>
      <c r="L6897" s="27" t="s">
        <v>115</v>
      </c>
      <c r="M6897" s="10">
        <v>52.949274594938046</v>
      </c>
    </row>
    <row r="6898" spans="11:13" x14ac:dyDescent="0.25">
      <c r="K6898" s="26" t="s">
        <v>111</v>
      </c>
      <c r="L6898" s="27" t="s">
        <v>116</v>
      </c>
      <c r="M6898" s="10">
        <v>264.74637297469025</v>
      </c>
    </row>
    <row r="6899" spans="11:13" x14ac:dyDescent="0.25">
      <c r="K6899" s="26" t="s">
        <v>109</v>
      </c>
      <c r="L6899" s="27" t="s">
        <v>117</v>
      </c>
      <c r="M6899" s="10">
        <v>28.955532574974146</v>
      </c>
    </row>
    <row r="6900" spans="11:13" x14ac:dyDescent="0.25">
      <c r="K6900" s="26" t="s">
        <v>109</v>
      </c>
      <c r="L6900" s="27" t="s">
        <v>118</v>
      </c>
      <c r="M6900" s="10">
        <v>16.294606485253382</v>
      </c>
    </row>
    <row r="6901" spans="11:13" x14ac:dyDescent="0.25">
      <c r="K6901" s="26" t="s">
        <v>109</v>
      </c>
      <c r="L6901" s="27" t="s">
        <v>119</v>
      </c>
      <c r="M6901" s="10">
        <v>48.963844797178126</v>
      </c>
    </row>
    <row r="6902" spans="11:13" x14ac:dyDescent="0.25">
      <c r="K6902" s="26" t="s">
        <v>109</v>
      </c>
      <c r="L6902" s="27" t="s">
        <v>115</v>
      </c>
      <c r="M6902" s="10">
        <v>118.14593312390672</v>
      </c>
    </row>
    <row r="6903" spans="11:13" x14ac:dyDescent="0.25">
      <c r="K6903" s="26" t="s">
        <v>109</v>
      </c>
      <c r="L6903" s="27" t="s">
        <v>116</v>
      </c>
      <c r="M6903" s="10">
        <v>370.64492216456637</v>
      </c>
    </row>
    <row r="6904" spans="11:13" x14ac:dyDescent="0.25">
      <c r="K6904" s="26" t="s">
        <v>109</v>
      </c>
      <c r="L6904" s="27" t="s">
        <v>117</v>
      </c>
      <c r="M6904" s="10">
        <v>26.474637297469023</v>
      </c>
    </row>
    <row r="6905" spans="11:13" x14ac:dyDescent="0.25">
      <c r="K6905" s="26" t="s">
        <v>109</v>
      </c>
      <c r="L6905" s="27" t="s">
        <v>118</v>
      </c>
      <c r="M6905" s="10">
        <v>63.539129513925651</v>
      </c>
    </row>
    <row r="6906" spans="11:13" x14ac:dyDescent="0.25">
      <c r="K6906" s="26" t="s">
        <v>109</v>
      </c>
      <c r="L6906" s="27" t="s">
        <v>119</v>
      </c>
      <c r="M6906" s="10">
        <v>88.183421516754848</v>
      </c>
    </row>
    <row r="6907" spans="11:13" x14ac:dyDescent="0.25">
      <c r="K6907" s="26" t="s">
        <v>109</v>
      </c>
      <c r="L6907" s="27" t="s">
        <v>115</v>
      </c>
      <c r="M6907" s="10">
        <v>123.22858903265558</v>
      </c>
    </row>
    <row r="6908" spans="11:13" x14ac:dyDescent="0.25">
      <c r="K6908" s="26" t="s">
        <v>111</v>
      </c>
      <c r="L6908" s="27" t="s">
        <v>116</v>
      </c>
      <c r="M6908" s="10">
        <v>92.421441774491683</v>
      </c>
    </row>
    <row r="6909" spans="11:13" x14ac:dyDescent="0.25">
      <c r="K6909" s="26" t="s">
        <v>110</v>
      </c>
      <c r="L6909" s="27" t="s">
        <v>117</v>
      </c>
      <c r="M6909" s="10">
        <v>123.22858903265558</v>
      </c>
    </row>
    <row r="6910" spans="11:13" x14ac:dyDescent="0.25">
      <c r="K6910" s="26" t="s">
        <v>110</v>
      </c>
      <c r="L6910" s="27" t="s">
        <v>118</v>
      </c>
      <c r="M6910" s="10">
        <v>100.12322858903266</v>
      </c>
    </row>
    <row r="6911" spans="11:13" x14ac:dyDescent="0.25">
      <c r="K6911" s="26" t="s">
        <v>109</v>
      </c>
      <c r="L6911" s="27" t="s">
        <v>119</v>
      </c>
      <c r="M6911" s="10">
        <v>39.173721340388006</v>
      </c>
    </row>
    <row r="6912" spans="11:13" x14ac:dyDescent="0.25">
      <c r="K6912" s="26" t="s">
        <v>109</v>
      </c>
      <c r="L6912" s="27" t="s">
        <v>115</v>
      </c>
      <c r="M6912" s="10">
        <v>66.779758349795557</v>
      </c>
    </row>
    <row r="6913" spans="11:13" x14ac:dyDescent="0.25">
      <c r="K6913" s="26" t="s">
        <v>109</v>
      </c>
      <c r="L6913" s="27" t="s">
        <v>116</v>
      </c>
      <c r="M6913" s="10">
        <v>7.5701750356043558</v>
      </c>
    </row>
    <row r="6914" spans="11:13" x14ac:dyDescent="0.25">
      <c r="K6914" s="26" t="s">
        <v>109</v>
      </c>
      <c r="L6914" s="27" t="s">
        <v>117</v>
      </c>
      <c r="M6914" s="10">
        <v>370.64492216456637</v>
      </c>
    </row>
    <row r="6915" spans="11:13" x14ac:dyDescent="0.25">
      <c r="K6915" s="26" t="s">
        <v>109</v>
      </c>
      <c r="L6915" s="27" t="s">
        <v>118</v>
      </c>
      <c r="M6915" s="10">
        <v>200</v>
      </c>
    </row>
    <row r="6916" spans="11:13" x14ac:dyDescent="0.25">
      <c r="K6916" s="26" t="s">
        <v>109</v>
      </c>
      <c r="L6916" s="27" t="s">
        <v>119</v>
      </c>
      <c r="M6916" s="10">
        <v>154.32098765432099</v>
      </c>
    </row>
    <row r="6917" spans="11:13" x14ac:dyDescent="0.25">
      <c r="K6917" s="26" t="s">
        <v>109</v>
      </c>
      <c r="L6917" s="27" t="s">
        <v>115</v>
      </c>
      <c r="M6917" s="10">
        <v>25</v>
      </c>
    </row>
    <row r="6918" spans="11:13" x14ac:dyDescent="0.25">
      <c r="K6918" s="26" t="s">
        <v>110</v>
      </c>
      <c r="L6918" s="27" t="s">
        <v>116</v>
      </c>
      <c r="M6918" s="10">
        <v>308.07147258163894</v>
      </c>
    </row>
    <row r="6919" spans="11:13" x14ac:dyDescent="0.25">
      <c r="K6919" s="26" t="s">
        <v>109</v>
      </c>
      <c r="L6919" s="27" t="s">
        <v>117</v>
      </c>
      <c r="M6919" s="10">
        <v>231.05360443622922</v>
      </c>
    </row>
    <row r="6920" spans="11:13" x14ac:dyDescent="0.25">
      <c r="K6920" s="26" t="s">
        <v>109</v>
      </c>
      <c r="L6920" s="27" t="s">
        <v>118</v>
      </c>
      <c r="M6920" s="10">
        <v>97.767638911520294</v>
      </c>
    </row>
    <row r="6921" spans="11:13" x14ac:dyDescent="0.25">
      <c r="K6921" s="26" t="s">
        <v>109</v>
      </c>
      <c r="L6921" s="27" t="s">
        <v>119</v>
      </c>
      <c r="M6921" s="10">
        <v>194.00352733686069</v>
      </c>
    </row>
    <row r="6922" spans="11:13" x14ac:dyDescent="0.25">
      <c r="K6922" s="26" t="s">
        <v>109</v>
      </c>
      <c r="L6922" s="27" t="s">
        <v>115</v>
      </c>
      <c r="M6922" s="10">
        <v>551.14638447971777</v>
      </c>
    </row>
    <row r="6923" spans="11:13" x14ac:dyDescent="0.25">
      <c r="K6923" s="26" t="s">
        <v>109</v>
      </c>
      <c r="L6923" s="27" t="s">
        <v>116</v>
      </c>
      <c r="M6923" s="10">
        <v>99.206349206349202</v>
      </c>
    </row>
    <row r="6924" spans="11:13" x14ac:dyDescent="0.25">
      <c r="K6924" s="26" t="s">
        <v>109</v>
      </c>
      <c r="L6924" s="27" t="s">
        <v>117</v>
      </c>
      <c r="M6924" s="10">
        <v>12.848020762401553</v>
      </c>
    </row>
    <row r="6925" spans="11:13" x14ac:dyDescent="0.25">
      <c r="K6925" s="26" t="s">
        <v>109</v>
      </c>
      <c r="L6925" s="27" t="s">
        <v>118</v>
      </c>
      <c r="M6925" s="10">
        <v>97.001763668430343</v>
      </c>
    </row>
    <row r="6926" spans="11:13" x14ac:dyDescent="0.25">
      <c r="K6926" s="26" t="s">
        <v>109</v>
      </c>
      <c r="L6926" s="27" t="s">
        <v>119</v>
      </c>
      <c r="M6926" s="10">
        <v>143.29805996472663</v>
      </c>
    </row>
    <row r="6927" spans="11:13" x14ac:dyDescent="0.25">
      <c r="K6927" s="26" t="s">
        <v>109</v>
      </c>
      <c r="L6927" s="27" t="s">
        <v>115</v>
      </c>
      <c r="M6927" s="10">
        <v>47.654347135444247</v>
      </c>
    </row>
    <row r="6928" spans="11:13" x14ac:dyDescent="0.25">
      <c r="K6928" s="26" t="s">
        <v>109</v>
      </c>
      <c r="L6928" s="27" t="s">
        <v>116</v>
      </c>
      <c r="M6928" s="10">
        <v>127.0782590278513</v>
      </c>
    </row>
    <row r="6929" spans="11:13" x14ac:dyDescent="0.25">
      <c r="K6929" s="26" t="s">
        <v>109</v>
      </c>
      <c r="L6929" s="27" t="s">
        <v>117</v>
      </c>
      <c r="M6929" s="10">
        <v>264.74637297469025</v>
      </c>
    </row>
    <row r="6930" spans="11:13" x14ac:dyDescent="0.25">
      <c r="K6930" s="26" t="s">
        <v>110</v>
      </c>
      <c r="L6930" s="27" t="s">
        <v>118</v>
      </c>
      <c r="M6930" s="10">
        <v>1.4013361577317907</v>
      </c>
    </row>
    <row r="6931" spans="11:13" x14ac:dyDescent="0.25">
      <c r="K6931" s="26" t="s">
        <v>109</v>
      </c>
      <c r="L6931" s="27" t="s">
        <v>119</v>
      </c>
      <c r="M6931" s="10">
        <v>308.21426930674875</v>
      </c>
    </row>
    <row r="6932" spans="11:13" x14ac:dyDescent="0.25">
      <c r="K6932" s="26" t="s">
        <v>109</v>
      </c>
      <c r="L6932" s="27" t="s">
        <v>115</v>
      </c>
      <c r="M6932" s="10">
        <v>10.990319360363413</v>
      </c>
    </row>
    <row r="6933" spans="11:13" x14ac:dyDescent="0.25">
      <c r="K6933" s="26" t="s">
        <v>109</v>
      </c>
      <c r="L6933" s="27" t="s">
        <v>116</v>
      </c>
      <c r="M6933" s="10">
        <v>184.84288354898337</v>
      </c>
    </row>
    <row r="6934" spans="11:13" x14ac:dyDescent="0.25">
      <c r="K6934" s="26" t="s">
        <v>109</v>
      </c>
      <c r="L6934" s="27" t="s">
        <v>117</v>
      </c>
      <c r="M6934" s="10">
        <v>52.949274594938046</v>
      </c>
    </row>
    <row r="6935" spans="11:13" x14ac:dyDescent="0.25">
      <c r="K6935" s="26" t="s">
        <v>109</v>
      </c>
      <c r="L6935" s="27" t="s">
        <v>118</v>
      </c>
      <c r="M6935" s="10">
        <v>1058.985491898761</v>
      </c>
    </row>
    <row r="6936" spans="11:13" x14ac:dyDescent="0.25">
      <c r="K6936" s="26" t="s">
        <v>109</v>
      </c>
      <c r="L6936" s="27" t="s">
        <v>119</v>
      </c>
      <c r="M6936" s="10">
        <v>13.11</v>
      </c>
    </row>
    <row r="6937" spans="11:13" x14ac:dyDescent="0.25">
      <c r="K6937" s="26" t="s">
        <v>109</v>
      </c>
      <c r="L6937" s="27" t="s">
        <v>115</v>
      </c>
      <c r="M6937" s="10">
        <v>92.421441774491683</v>
      </c>
    </row>
    <row r="6938" spans="11:13" x14ac:dyDescent="0.25">
      <c r="K6938" s="26" t="s">
        <v>109</v>
      </c>
      <c r="L6938" s="27" t="s">
        <v>116</v>
      </c>
      <c r="M6938" s="10">
        <v>80.171649557385678</v>
      </c>
    </row>
    <row r="6939" spans="11:13" x14ac:dyDescent="0.25">
      <c r="K6939" s="26" t="s">
        <v>109</v>
      </c>
      <c r="L6939" s="27" t="s">
        <v>117</v>
      </c>
      <c r="M6939" s="10">
        <v>60</v>
      </c>
    </row>
    <row r="6940" spans="11:13" x14ac:dyDescent="0.25">
      <c r="K6940" s="26" t="s">
        <v>109</v>
      </c>
      <c r="L6940" s="27" t="s">
        <v>118</v>
      </c>
      <c r="M6940" s="10">
        <v>73.2</v>
      </c>
    </row>
    <row r="6941" spans="11:13" x14ac:dyDescent="0.25">
      <c r="K6941" s="26" t="s">
        <v>109</v>
      </c>
      <c r="L6941" s="27" t="s">
        <v>119</v>
      </c>
      <c r="M6941" s="10">
        <v>15.403573629081947</v>
      </c>
    </row>
    <row r="6942" spans="11:13" x14ac:dyDescent="0.25">
      <c r="K6942" s="26" t="s">
        <v>109</v>
      </c>
      <c r="L6942" s="27" t="s">
        <v>115</v>
      </c>
      <c r="M6942" s="10">
        <v>38.508934072704868</v>
      </c>
    </row>
    <row r="6943" spans="11:13" x14ac:dyDescent="0.25">
      <c r="K6943" s="26" t="s">
        <v>109</v>
      </c>
      <c r="L6943" s="27" t="s">
        <v>116</v>
      </c>
      <c r="M6943" s="10">
        <v>38.508934072704868</v>
      </c>
    </row>
    <row r="6944" spans="11:13" x14ac:dyDescent="0.25">
      <c r="K6944" s="26" t="s">
        <v>109</v>
      </c>
      <c r="L6944" s="27" t="s">
        <v>117</v>
      </c>
      <c r="M6944" s="10">
        <v>38.508934072704868</v>
      </c>
    </row>
    <row r="6945" spans="11:13" x14ac:dyDescent="0.25">
      <c r="K6945" s="26" t="s">
        <v>110</v>
      </c>
      <c r="L6945" s="27" t="s">
        <v>118</v>
      </c>
      <c r="M6945" s="10">
        <v>38.508934072704868</v>
      </c>
    </row>
    <row r="6946" spans="11:13" x14ac:dyDescent="0.25">
      <c r="K6946" s="26" t="s">
        <v>109</v>
      </c>
      <c r="L6946" s="27" t="s">
        <v>119</v>
      </c>
      <c r="M6946" s="10">
        <v>38.508934072704868</v>
      </c>
    </row>
    <row r="6947" spans="11:13" x14ac:dyDescent="0.25">
      <c r="K6947" s="26" t="s">
        <v>109</v>
      </c>
      <c r="L6947" s="27" t="s">
        <v>115</v>
      </c>
      <c r="M6947" s="10">
        <v>195.868430335097</v>
      </c>
    </row>
    <row r="6948" spans="11:13" x14ac:dyDescent="0.25">
      <c r="K6948" s="26" t="s">
        <v>109</v>
      </c>
      <c r="L6948" s="27" t="s">
        <v>116</v>
      </c>
      <c r="M6948" s="10">
        <v>34.470872113064452</v>
      </c>
    </row>
    <row r="6949" spans="11:13" x14ac:dyDescent="0.25">
      <c r="K6949" s="26" t="s">
        <v>109</v>
      </c>
      <c r="L6949" s="27" t="s">
        <v>117</v>
      </c>
      <c r="M6949" s="10">
        <v>94.832716049382711</v>
      </c>
    </row>
    <row r="6950" spans="11:13" x14ac:dyDescent="0.25">
      <c r="K6950" s="26" t="s">
        <v>109</v>
      </c>
      <c r="L6950" s="27" t="s">
        <v>118</v>
      </c>
      <c r="M6950" s="10">
        <v>56.701940035273374</v>
      </c>
    </row>
    <row r="6951" spans="11:13" x14ac:dyDescent="0.25">
      <c r="K6951" s="26" t="s">
        <v>109</v>
      </c>
      <c r="L6951" s="27" t="s">
        <v>119</v>
      </c>
      <c r="M6951" s="10">
        <v>16.294606485253382</v>
      </c>
    </row>
    <row r="6952" spans="11:13" x14ac:dyDescent="0.25">
      <c r="K6952" s="26" t="s">
        <v>109</v>
      </c>
      <c r="L6952" s="27" t="s">
        <v>115</v>
      </c>
      <c r="M6952" s="10">
        <v>171.76503177448265</v>
      </c>
    </row>
    <row r="6953" spans="11:13" x14ac:dyDescent="0.25">
      <c r="K6953" s="26" t="s">
        <v>109</v>
      </c>
      <c r="L6953" s="27" t="s">
        <v>116</v>
      </c>
      <c r="M6953" s="10">
        <v>132.27513227513228</v>
      </c>
    </row>
    <row r="6954" spans="11:13" x14ac:dyDescent="0.25">
      <c r="K6954" s="26" t="s">
        <v>109</v>
      </c>
      <c r="L6954" s="27" t="s">
        <v>117</v>
      </c>
      <c r="M6954" s="10">
        <v>31.769564756962826</v>
      </c>
    </row>
    <row r="6955" spans="11:13" x14ac:dyDescent="0.25">
      <c r="K6955" s="26" t="s">
        <v>109</v>
      </c>
      <c r="L6955" s="27" t="s">
        <v>118</v>
      </c>
      <c r="M6955" s="10">
        <v>88.183421516754848</v>
      </c>
    </row>
    <row r="6956" spans="11:13" x14ac:dyDescent="0.25">
      <c r="K6956" s="26" t="s">
        <v>109</v>
      </c>
      <c r="L6956" s="27" t="s">
        <v>119</v>
      </c>
      <c r="M6956" s="10">
        <v>12.322858903265558</v>
      </c>
    </row>
    <row r="6957" spans="11:13" x14ac:dyDescent="0.25">
      <c r="K6957" s="26" t="s">
        <v>109</v>
      </c>
      <c r="L6957" s="27" t="s">
        <v>115</v>
      </c>
      <c r="M6957" s="10">
        <v>77.017868145409736</v>
      </c>
    </row>
    <row r="6958" spans="11:13" x14ac:dyDescent="0.25">
      <c r="K6958" s="26" t="s">
        <v>109</v>
      </c>
      <c r="L6958" s="27" t="s">
        <v>116</v>
      </c>
      <c r="M6958" s="10">
        <v>46.210720887245841</v>
      </c>
    </row>
    <row r="6959" spans="11:13" x14ac:dyDescent="0.25">
      <c r="K6959" s="26" t="s">
        <v>109</v>
      </c>
      <c r="L6959" s="27" t="s">
        <v>117</v>
      </c>
      <c r="M6959" s="10">
        <v>277.26432532347508</v>
      </c>
    </row>
    <row r="6960" spans="11:13" x14ac:dyDescent="0.25">
      <c r="K6960" s="26" t="s">
        <v>113</v>
      </c>
      <c r="L6960" s="27" t="s">
        <v>118</v>
      </c>
      <c r="M6960" s="10">
        <v>462.10720887245844</v>
      </c>
    </row>
    <row r="6961" spans="11:13" x14ac:dyDescent="0.25">
      <c r="K6961" s="26" t="s">
        <v>109</v>
      </c>
      <c r="L6961" s="27" t="s">
        <v>119</v>
      </c>
      <c r="M6961" s="10">
        <v>199.93838570548368</v>
      </c>
    </row>
    <row r="6962" spans="11:13" x14ac:dyDescent="0.25">
      <c r="K6962" s="26" t="s">
        <v>110</v>
      </c>
      <c r="L6962" s="27" t="s">
        <v>115</v>
      </c>
      <c r="M6962" s="10">
        <v>308.07147258163894</v>
      </c>
    </row>
    <row r="6963" spans="11:13" x14ac:dyDescent="0.25">
      <c r="K6963" s="26" t="s">
        <v>109</v>
      </c>
      <c r="L6963" s="27" t="s">
        <v>116</v>
      </c>
      <c r="M6963" s="10">
        <v>308.07147258163894</v>
      </c>
    </row>
    <row r="6964" spans="11:13" x14ac:dyDescent="0.25">
      <c r="K6964" s="26" t="s">
        <v>109</v>
      </c>
      <c r="L6964" s="27" t="s">
        <v>117</v>
      </c>
      <c r="M6964" s="10">
        <v>154.03573629081947</v>
      </c>
    </row>
    <row r="6965" spans="11:13" x14ac:dyDescent="0.25">
      <c r="K6965" s="26" t="s">
        <v>109</v>
      </c>
      <c r="L6965" s="27" t="s">
        <v>118</v>
      </c>
      <c r="M6965" s="10">
        <v>770.17868145409739</v>
      </c>
    </row>
    <row r="6966" spans="11:13" x14ac:dyDescent="0.25">
      <c r="K6966" s="26" t="s">
        <v>109</v>
      </c>
      <c r="L6966" s="27" t="s">
        <v>119</v>
      </c>
      <c r="M6966" s="10">
        <v>7.7017868145409736</v>
      </c>
    </row>
    <row r="6967" spans="11:13" x14ac:dyDescent="0.25">
      <c r="K6967" s="26" t="s">
        <v>109</v>
      </c>
      <c r="L6967" s="27" t="s">
        <v>115</v>
      </c>
      <c r="M6967" s="10">
        <v>44.670363524337645</v>
      </c>
    </row>
    <row r="6968" spans="11:13" x14ac:dyDescent="0.25">
      <c r="K6968" s="26" t="s">
        <v>109</v>
      </c>
      <c r="L6968" s="27" t="s">
        <v>116</v>
      </c>
      <c r="M6968" s="10">
        <v>44.670363524337645</v>
      </c>
    </row>
    <row r="6969" spans="11:13" x14ac:dyDescent="0.25">
      <c r="K6969" s="26" t="s">
        <v>109</v>
      </c>
      <c r="L6969" s="27" t="s">
        <v>117</v>
      </c>
      <c r="M6969" s="10">
        <v>77.017868145409736</v>
      </c>
    </row>
    <row r="6970" spans="11:13" x14ac:dyDescent="0.25">
      <c r="K6970" s="26" t="s">
        <v>109</v>
      </c>
      <c r="L6970" s="27" t="s">
        <v>118</v>
      </c>
      <c r="M6970" s="10">
        <v>77.017868145409736</v>
      </c>
    </row>
    <row r="6971" spans="11:13" x14ac:dyDescent="0.25">
      <c r="K6971" s="26" t="s">
        <v>109</v>
      </c>
      <c r="L6971" s="27" t="s">
        <v>119</v>
      </c>
      <c r="M6971" s="10">
        <v>32.158772453714342</v>
      </c>
    </row>
    <row r="6972" spans="11:13" x14ac:dyDescent="0.25">
      <c r="K6972" s="26" t="s">
        <v>109</v>
      </c>
      <c r="L6972" s="27" t="s">
        <v>115</v>
      </c>
      <c r="M6972" s="10">
        <v>22.970551752653101</v>
      </c>
    </row>
    <row r="6973" spans="11:13" x14ac:dyDescent="0.25">
      <c r="K6973" s="26" t="s">
        <v>109</v>
      </c>
      <c r="L6973" s="27" t="s">
        <v>116</v>
      </c>
      <c r="M6973" s="10">
        <v>22.970551752653101</v>
      </c>
    </row>
    <row r="6974" spans="11:13" x14ac:dyDescent="0.25">
      <c r="K6974" s="26" t="s">
        <v>110</v>
      </c>
      <c r="L6974" s="27" t="s">
        <v>117</v>
      </c>
      <c r="M6974" s="10">
        <v>61.614294516327789</v>
      </c>
    </row>
    <row r="6975" spans="11:13" x14ac:dyDescent="0.25">
      <c r="K6975" s="26" t="s">
        <v>110</v>
      </c>
      <c r="L6975" s="27" t="s">
        <v>118</v>
      </c>
      <c r="M6975" s="10">
        <v>8.617718028266113</v>
      </c>
    </row>
    <row r="6976" spans="11:13" x14ac:dyDescent="0.25">
      <c r="K6976" s="26" t="s">
        <v>109</v>
      </c>
      <c r="L6976" s="27" t="s">
        <v>119</v>
      </c>
      <c r="M6976" s="10">
        <v>529.49274594938049</v>
      </c>
    </row>
    <row r="6977" spans="11:13" x14ac:dyDescent="0.25">
      <c r="K6977" s="26" t="s">
        <v>109</v>
      </c>
      <c r="L6977" s="27" t="s">
        <v>115</v>
      </c>
      <c r="M6977" s="10">
        <v>114.85275876326548</v>
      </c>
    </row>
    <row r="6978" spans="11:13" x14ac:dyDescent="0.25">
      <c r="K6978" s="26" t="s">
        <v>109</v>
      </c>
      <c r="L6978" s="27" t="s">
        <v>116</v>
      </c>
      <c r="M6978" s="10">
        <v>154.03573629081947</v>
      </c>
    </row>
    <row r="6979" spans="11:13" x14ac:dyDescent="0.25">
      <c r="K6979" s="26" t="s">
        <v>109</v>
      </c>
      <c r="L6979" s="27" t="s">
        <v>117</v>
      </c>
      <c r="M6979" s="10">
        <v>154.03573629081947</v>
      </c>
    </row>
    <row r="6980" spans="11:13" x14ac:dyDescent="0.25">
      <c r="K6980" s="26" t="s">
        <v>109</v>
      </c>
      <c r="L6980" s="27" t="s">
        <v>118</v>
      </c>
      <c r="M6980" s="10">
        <v>41.365046535677351</v>
      </c>
    </row>
    <row r="6981" spans="11:13" x14ac:dyDescent="0.25">
      <c r="K6981" s="26" t="s">
        <v>109</v>
      </c>
      <c r="L6981" s="27" t="s">
        <v>119</v>
      </c>
      <c r="M6981" s="10">
        <v>165.4601861427094</v>
      </c>
    </row>
    <row r="6982" spans="11:13" x14ac:dyDescent="0.25">
      <c r="K6982" s="26" t="s">
        <v>109</v>
      </c>
      <c r="L6982" s="27" t="s">
        <v>115</v>
      </c>
      <c r="M6982" s="10">
        <v>179.24853498793519</v>
      </c>
    </row>
    <row r="6983" spans="11:13" x14ac:dyDescent="0.25">
      <c r="K6983" s="26" t="s">
        <v>109</v>
      </c>
      <c r="L6983" s="27" t="s">
        <v>116</v>
      </c>
      <c r="M6983" s="10">
        <v>179.24853498793519</v>
      </c>
    </row>
    <row r="6984" spans="11:13" x14ac:dyDescent="0.25">
      <c r="K6984" s="26" t="s">
        <v>109</v>
      </c>
      <c r="L6984" s="27" t="s">
        <v>117</v>
      </c>
      <c r="M6984" s="10">
        <v>103.41261633919338</v>
      </c>
    </row>
    <row r="6985" spans="11:13" x14ac:dyDescent="0.25">
      <c r="K6985" s="26" t="s">
        <v>109</v>
      </c>
      <c r="L6985" s="27" t="s">
        <v>118</v>
      </c>
      <c r="M6985" s="10">
        <v>151.67183729748362</v>
      </c>
    </row>
    <row r="6986" spans="11:13" x14ac:dyDescent="0.25">
      <c r="K6986" s="26" t="s">
        <v>110</v>
      </c>
      <c r="L6986" s="27" t="s">
        <v>119</v>
      </c>
      <c r="M6986" s="10">
        <v>38.54406228720466</v>
      </c>
    </row>
    <row r="6987" spans="11:13" x14ac:dyDescent="0.25">
      <c r="K6987" s="26" t="s">
        <v>109</v>
      </c>
      <c r="L6987" s="27" t="s">
        <v>115</v>
      </c>
      <c r="M6987" s="10">
        <v>158.73015873015873</v>
      </c>
    </row>
    <row r="6988" spans="11:13" x14ac:dyDescent="0.25">
      <c r="K6988" s="26" t="s">
        <v>110</v>
      </c>
      <c r="L6988" s="27" t="s">
        <v>116</v>
      </c>
      <c r="M6988" s="10">
        <v>18.040564373897709</v>
      </c>
    </row>
    <row r="6989" spans="11:13" x14ac:dyDescent="0.25">
      <c r="K6989" s="26" t="s">
        <v>110</v>
      </c>
      <c r="L6989" s="27" t="s">
        <v>117</v>
      </c>
      <c r="M6989" s="10">
        <v>55.114638447971785</v>
      </c>
    </row>
    <row r="6990" spans="11:13" x14ac:dyDescent="0.25">
      <c r="K6990" s="26" t="s">
        <v>109</v>
      </c>
      <c r="L6990" s="27" t="s">
        <v>118</v>
      </c>
      <c r="M6990" s="10">
        <v>6.6137566137566139</v>
      </c>
    </row>
    <row r="6991" spans="11:13" x14ac:dyDescent="0.25">
      <c r="K6991" s="26" t="s">
        <v>109</v>
      </c>
      <c r="L6991" s="27" t="s">
        <v>119</v>
      </c>
      <c r="M6991" s="10">
        <v>6.6137566137566139</v>
      </c>
    </row>
    <row r="6992" spans="11:13" x14ac:dyDescent="0.25">
      <c r="K6992" s="26" t="s">
        <v>109</v>
      </c>
      <c r="L6992" s="27" t="s">
        <v>115</v>
      </c>
      <c r="M6992" s="10">
        <v>81.030710639332298</v>
      </c>
    </row>
    <row r="6993" spans="11:13" x14ac:dyDescent="0.25">
      <c r="K6993" s="26" t="s">
        <v>109</v>
      </c>
      <c r="L6993" s="27" t="s">
        <v>116</v>
      </c>
      <c r="M6993" s="10">
        <v>423.59419675950437</v>
      </c>
    </row>
    <row r="6994" spans="11:13" x14ac:dyDescent="0.25">
      <c r="K6994" s="26" t="s">
        <v>109</v>
      </c>
      <c r="L6994" s="27" t="s">
        <v>117</v>
      </c>
      <c r="M6994" s="10">
        <v>189.68306878306879</v>
      </c>
    </row>
    <row r="6995" spans="11:13" x14ac:dyDescent="0.25">
      <c r="K6995" s="26" t="s">
        <v>109</v>
      </c>
      <c r="L6995" s="27" t="s">
        <v>118</v>
      </c>
      <c r="M6995" s="10">
        <v>2.0107544402802673</v>
      </c>
    </row>
    <row r="6996" spans="11:13" x14ac:dyDescent="0.25">
      <c r="K6996" s="26" t="s">
        <v>109</v>
      </c>
      <c r="L6996" s="27" t="s">
        <v>119</v>
      </c>
      <c r="M6996" s="10">
        <v>172.35436056532231</v>
      </c>
    </row>
    <row r="6997" spans="11:13" x14ac:dyDescent="0.25">
      <c r="K6997" s="26" t="s">
        <v>109</v>
      </c>
      <c r="L6997" s="27" t="s">
        <v>115</v>
      </c>
      <c r="M6997" s="10">
        <v>77.017868145409736</v>
      </c>
    </row>
    <row r="6998" spans="11:13" x14ac:dyDescent="0.25">
      <c r="K6998" s="26" t="s">
        <v>109</v>
      </c>
      <c r="L6998" s="27" t="s">
        <v>116</v>
      </c>
      <c r="M6998" s="10">
        <v>23.105360443622921</v>
      </c>
    </row>
    <row r="6999" spans="11:13" x14ac:dyDescent="0.25">
      <c r="K6999" s="26" t="s">
        <v>109</v>
      </c>
      <c r="L6999" s="27" t="s">
        <v>117</v>
      </c>
      <c r="M6999" s="10">
        <v>27.110289587184226</v>
      </c>
    </row>
    <row r="7000" spans="11:13" x14ac:dyDescent="0.25">
      <c r="K7000" s="26" t="s">
        <v>109</v>
      </c>
      <c r="L7000" s="27" t="s">
        <v>118</v>
      </c>
      <c r="M7000" s="10">
        <v>154.03573629081947</v>
      </c>
    </row>
    <row r="7001" spans="11:13" x14ac:dyDescent="0.25">
      <c r="K7001" s="26" t="s">
        <v>109</v>
      </c>
      <c r="L7001" s="27" t="s">
        <v>119</v>
      </c>
      <c r="M7001" s="10">
        <v>462.10720887245844</v>
      </c>
    </row>
    <row r="7002" spans="11:13" x14ac:dyDescent="0.25">
      <c r="K7002" s="26" t="s">
        <v>109</v>
      </c>
      <c r="L7002" s="27" t="s">
        <v>115</v>
      </c>
      <c r="M7002" s="10">
        <v>1540.3573629081948</v>
      </c>
    </row>
    <row r="7003" spans="11:13" x14ac:dyDescent="0.25">
      <c r="K7003" s="26" t="s">
        <v>109</v>
      </c>
      <c r="L7003" s="27" t="s">
        <v>116</v>
      </c>
      <c r="M7003" s="10">
        <v>77.160493827160494</v>
      </c>
    </row>
    <row r="7004" spans="11:13" x14ac:dyDescent="0.25">
      <c r="K7004" s="26" t="s">
        <v>110</v>
      </c>
      <c r="L7004" s="27" t="s">
        <v>117</v>
      </c>
      <c r="M7004" s="10">
        <v>81.473032426266911</v>
      </c>
    </row>
    <row r="7005" spans="11:13" x14ac:dyDescent="0.25">
      <c r="K7005" s="26" t="s">
        <v>110</v>
      </c>
      <c r="L7005" s="27" t="s">
        <v>118</v>
      </c>
      <c r="M7005" s="10">
        <v>66.137566137566139</v>
      </c>
    </row>
    <row r="7006" spans="11:13" x14ac:dyDescent="0.25">
      <c r="K7006" s="26" t="s">
        <v>109</v>
      </c>
      <c r="L7006" s="27" t="s">
        <v>119</v>
      </c>
      <c r="M7006" s="10">
        <v>158.84782378481412</v>
      </c>
    </row>
    <row r="7007" spans="11:13" x14ac:dyDescent="0.25">
      <c r="K7007" s="26" t="s">
        <v>109</v>
      </c>
      <c r="L7007" s="27" t="s">
        <v>115</v>
      </c>
      <c r="M7007" s="10">
        <v>55.114638447971785</v>
      </c>
    </row>
    <row r="7008" spans="11:13" x14ac:dyDescent="0.25">
      <c r="K7008" s="26" t="s">
        <v>109</v>
      </c>
      <c r="L7008" s="27" t="s">
        <v>116</v>
      </c>
      <c r="M7008" s="10">
        <v>8.1030710639332302</v>
      </c>
    </row>
    <row r="7009" spans="11:13" x14ac:dyDescent="0.25">
      <c r="K7009" s="26" t="s">
        <v>109</v>
      </c>
      <c r="L7009" s="27" t="s">
        <v>117</v>
      </c>
      <c r="M7009" s="10">
        <v>1232.2858903265558</v>
      </c>
    </row>
    <row r="7010" spans="11:13" x14ac:dyDescent="0.25">
      <c r="K7010" s="26" t="s">
        <v>109</v>
      </c>
      <c r="L7010" s="27" t="s">
        <v>118</v>
      </c>
      <c r="M7010" s="10">
        <v>19.254467036352434</v>
      </c>
    </row>
    <row r="7011" spans="11:13" x14ac:dyDescent="0.25">
      <c r="K7011" s="26" t="s">
        <v>109</v>
      </c>
      <c r="L7011" s="27" t="s">
        <v>119</v>
      </c>
      <c r="M7011" s="10">
        <v>8.1030710639332302</v>
      </c>
    </row>
    <row r="7012" spans="11:13" x14ac:dyDescent="0.25">
      <c r="K7012" s="26" t="s">
        <v>109</v>
      </c>
      <c r="L7012" s="27" t="s">
        <v>115</v>
      </c>
      <c r="M7012" s="10">
        <v>8.1030710639332302</v>
      </c>
    </row>
    <row r="7013" spans="11:13" x14ac:dyDescent="0.25">
      <c r="K7013" s="26" t="s">
        <v>109</v>
      </c>
      <c r="L7013" s="27" t="s">
        <v>116</v>
      </c>
      <c r="M7013" s="10">
        <v>68.941744226128904</v>
      </c>
    </row>
    <row r="7014" spans="11:13" x14ac:dyDescent="0.25">
      <c r="K7014" s="26" t="s">
        <v>109</v>
      </c>
      <c r="L7014" s="27" t="s">
        <v>117</v>
      </c>
      <c r="M7014" s="10">
        <v>17.235436056532226</v>
      </c>
    </row>
    <row r="7015" spans="11:13" x14ac:dyDescent="0.25">
      <c r="K7015" s="26" t="s">
        <v>109</v>
      </c>
      <c r="L7015" s="27" t="s">
        <v>118</v>
      </c>
      <c r="M7015" s="10">
        <v>6.8941744226128918</v>
      </c>
    </row>
    <row r="7016" spans="11:13" x14ac:dyDescent="0.25">
      <c r="K7016" s="26" t="s">
        <v>109</v>
      </c>
      <c r="L7016" s="27" t="s">
        <v>119</v>
      </c>
      <c r="M7016" s="10">
        <v>8.1030710639332302</v>
      </c>
    </row>
    <row r="7017" spans="11:13" x14ac:dyDescent="0.25">
      <c r="K7017" s="26" t="s">
        <v>109</v>
      </c>
      <c r="L7017" s="27" t="s">
        <v>115</v>
      </c>
      <c r="M7017" s="10">
        <v>66.137566137566139</v>
      </c>
    </row>
    <row r="7018" spans="11:13" x14ac:dyDescent="0.25">
      <c r="K7018" s="26" t="s">
        <v>109</v>
      </c>
      <c r="L7018" s="27" t="s">
        <v>116</v>
      </c>
      <c r="M7018" s="10">
        <v>55.114638447971785</v>
      </c>
    </row>
    <row r="7019" spans="11:13" x14ac:dyDescent="0.25">
      <c r="K7019" s="26" t="s">
        <v>110</v>
      </c>
      <c r="L7019" s="27" t="s">
        <v>117</v>
      </c>
      <c r="M7019" s="10">
        <v>77.017868145409736</v>
      </c>
    </row>
    <row r="7020" spans="11:13" x14ac:dyDescent="0.25">
      <c r="K7020" s="26" t="s">
        <v>110</v>
      </c>
      <c r="L7020" s="27" t="s">
        <v>118</v>
      </c>
      <c r="M7020" s="10">
        <v>770.17868145409739</v>
      </c>
    </row>
    <row r="7021" spans="11:13" x14ac:dyDescent="0.25">
      <c r="K7021" s="26" t="s">
        <v>110</v>
      </c>
      <c r="L7021" s="27" t="s">
        <v>119</v>
      </c>
      <c r="M7021" s="10">
        <v>61.614294516327789</v>
      </c>
    </row>
    <row r="7022" spans="11:13" x14ac:dyDescent="0.25">
      <c r="K7022" s="26" t="s">
        <v>110</v>
      </c>
      <c r="L7022" s="27" t="s">
        <v>115</v>
      </c>
      <c r="M7022" s="10">
        <v>154.03573629081947</v>
      </c>
    </row>
    <row r="7023" spans="11:13" x14ac:dyDescent="0.25">
      <c r="K7023" s="26" t="s">
        <v>109</v>
      </c>
      <c r="L7023" s="27" t="s">
        <v>116</v>
      </c>
      <c r="M7023" s="10">
        <v>77.017868145409736</v>
      </c>
    </row>
    <row r="7024" spans="11:13" x14ac:dyDescent="0.25">
      <c r="K7024" s="26" t="s">
        <v>109</v>
      </c>
      <c r="L7024" s="27" t="s">
        <v>117</v>
      </c>
      <c r="M7024" s="10">
        <v>12.633803463959204</v>
      </c>
    </row>
    <row r="7025" spans="11:13" x14ac:dyDescent="0.25">
      <c r="K7025" s="26" t="s">
        <v>109</v>
      </c>
      <c r="L7025" s="27" t="s">
        <v>118</v>
      </c>
      <c r="M7025" s="10">
        <v>44.091710758377424</v>
      </c>
    </row>
    <row r="7026" spans="11:13" x14ac:dyDescent="0.25">
      <c r="K7026" s="26" t="s">
        <v>109</v>
      </c>
      <c r="L7026" s="27" t="s">
        <v>119</v>
      </c>
      <c r="M7026" s="10">
        <v>7.5</v>
      </c>
    </row>
    <row r="7027" spans="11:13" x14ac:dyDescent="0.25">
      <c r="K7027" s="26" t="s">
        <v>109</v>
      </c>
      <c r="L7027" s="27" t="s">
        <v>115</v>
      </c>
      <c r="M7027" s="10">
        <v>28.5</v>
      </c>
    </row>
    <row r="7028" spans="11:13" x14ac:dyDescent="0.25">
      <c r="K7028" s="26" t="s">
        <v>109</v>
      </c>
      <c r="L7028" s="27" t="s">
        <v>116</v>
      </c>
      <c r="M7028" s="10">
        <v>50</v>
      </c>
    </row>
    <row r="7029" spans="11:13" x14ac:dyDescent="0.25">
      <c r="K7029" s="26" t="s">
        <v>109</v>
      </c>
      <c r="L7029" s="27" t="s">
        <v>117</v>
      </c>
      <c r="M7029" s="10">
        <v>95</v>
      </c>
    </row>
    <row r="7030" spans="11:13" x14ac:dyDescent="0.25">
      <c r="K7030" s="26" t="s">
        <v>109</v>
      </c>
      <c r="L7030" s="27" t="s">
        <v>118</v>
      </c>
      <c r="M7030" s="10">
        <v>50</v>
      </c>
    </row>
    <row r="7031" spans="11:13" x14ac:dyDescent="0.25">
      <c r="K7031" s="26" t="s">
        <v>109</v>
      </c>
      <c r="L7031" s="27" t="s">
        <v>119</v>
      </c>
      <c r="M7031" s="10">
        <v>10</v>
      </c>
    </row>
    <row r="7032" spans="11:13" x14ac:dyDescent="0.25">
      <c r="K7032" s="26" t="s">
        <v>109</v>
      </c>
      <c r="L7032" s="27" t="s">
        <v>115</v>
      </c>
      <c r="M7032" s="10">
        <v>30</v>
      </c>
    </row>
    <row r="7033" spans="11:13" x14ac:dyDescent="0.25">
      <c r="K7033" s="26" t="s">
        <v>109</v>
      </c>
      <c r="L7033" s="27" t="s">
        <v>116</v>
      </c>
      <c r="M7033" s="10">
        <v>25</v>
      </c>
    </row>
    <row r="7034" spans="11:13" x14ac:dyDescent="0.25">
      <c r="K7034" s="26" t="s">
        <v>109</v>
      </c>
      <c r="L7034" s="27" t="s">
        <v>117</v>
      </c>
      <c r="M7034" s="10">
        <v>50</v>
      </c>
    </row>
    <row r="7035" spans="11:13" x14ac:dyDescent="0.25">
      <c r="K7035" s="26" t="s">
        <v>109</v>
      </c>
      <c r="L7035" s="27" t="s">
        <v>118</v>
      </c>
      <c r="M7035" s="10">
        <v>264.74637297469025</v>
      </c>
    </row>
    <row r="7036" spans="11:13" x14ac:dyDescent="0.25">
      <c r="K7036" s="26" t="s">
        <v>109</v>
      </c>
      <c r="L7036" s="27" t="s">
        <v>119</v>
      </c>
      <c r="M7036" s="10">
        <v>15.403573629081947</v>
      </c>
    </row>
    <row r="7037" spans="11:13" x14ac:dyDescent="0.25">
      <c r="K7037" s="26" t="s">
        <v>110</v>
      </c>
      <c r="L7037" s="27" t="s">
        <v>115</v>
      </c>
      <c r="M7037" s="10">
        <v>7.5914457665273121</v>
      </c>
    </row>
    <row r="7038" spans="11:13" x14ac:dyDescent="0.25">
      <c r="K7038" s="26" t="s">
        <v>110</v>
      </c>
      <c r="L7038" s="27" t="s">
        <v>116</v>
      </c>
      <c r="M7038" s="10">
        <v>81.030710639332298</v>
      </c>
    </row>
    <row r="7039" spans="11:13" x14ac:dyDescent="0.25">
      <c r="K7039" s="26" t="s">
        <v>109</v>
      </c>
      <c r="L7039" s="27" t="s">
        <v>117</v>
      </c>
      <c r="M7039" s="10">
        <v>3850.8934072704869</v>
      </c>
    </row>
    <row r="7040" spans="11:13" x14ac:dyDescent="0.25">
      <c r="K7040" s="26" t="s">
        <v>109</v>
      </c>
      <c r="L7040" s="27" t="s">
        <v>118</v>
      </c>
      <c r="M7040" s="10">
        <v>1.0782501540357363</v>
      </c>
    </row>
    <row r="7041" spans="11:13" x14ac:dyDescent="0.25">
      <c r="K7041" s="26" t="s">
        <v>109</v>
      </c>
      <c r="L7041" s="27" t="s">
        <v>119</v>
      </c>
      <c r="M7041" s="10">
        <v>46.210720887245841</v>
      </c>
    </row>
    <row r="7042" spans="11:13" x14ac:dyDescent="0.25">
      <c r="K7042" s="26" t="s">
        <v>109</v>
      </c>
      <c r="L7042" s="27" t="s">
        <v>115</v>
      </c>
      <c r="M7042" s="10">
        <v>23.105360443622921</v>
      </c>
    </row>
    <row r="7043" spans="11:13" x14ac:dyDescent="0.25">
      <c r="K7043" s="26" t="s">
        <v>109</v>
      </c>
      <c r="L7043" s="27" t="s">
        <v>116</v>
      </c>
      <c r="M7043" s="10">
        <v>7.7017868145409736</v>
      </c>
    </row>
    <row r="7044" spans="11:13" x14ac:dyDescent="0.25">
      <c r="K7044" s="26" t="s">
        <v>109</v>
      </c>
      <c r="L7044" s="27" t="s">
        <v>117</v>
      </c>
      <c r="M7044" s="10">
        <v>7.7017868145409736</v>
      </c>
    </row>
    <row r="7045" spans="11:13" x14ac:dyDescent="0.25">
      <c r="K7045" s="26" t="s">
        <v>109</v>
      </c>
      <c r="L7045" s="27" t="s">
        <v>118</v>
      </c>
      <c r="M7045" s="10">
        <v>12.322858903265558</v>
      </c>
    </row>
    <row r="7046" spans="11:13" x14ac:dyDescent="0.25">
      <c r="K7046" s="26" t="s">
        <v>109</v>
      </c>
      <c r="L7046" s="27" t="s">
        <v>119</v>
      </c>
      <c r="M7046" s="10">
        <v>12.322858903265558</v>
      </c>
    </row>
    <row r="7047" spans="11:13" x14ac:dyDescent="0.25">
      <c r="K7047" s="26" t="s">
        <v>109</v>
      </c>
      <c r="L7047" s="27" t="s">
        <v>115</v>
      </c>
      <c r="M7047" s="10">
        <v>390.4993797951027</v>
      </c>
    </row>
    <row r="7048" spans="11:13" x14ac:dyDescent="0.25">
      <c r="K7048" s="26" t="s">
        <v>109</v>
      </c>
      <c r="L7048" s="27" t="s">
        <v>116</v>
      </c>
      <c r="M7048" s="10">
        <v>20.682523267838675</v>
      </c>
    </row>
    <row r="7049" spans="11:13" x14ac:dyDescent="0.25">
      <c r="K7049" s="26" t="s">
        <v>109</v>
      </c>
      <c r="L7049" s="27" t="s">
        <v>117</v>
      </c>
      <c r="M7049" s="10">
        <v>34.470872113064452</v>
      </c>
    </row>
    <row r="7050" spans="11:13" x14ac:dyDescent="0.25">
      <c r="K7050" s="26" t="s">
        <v>109</v>
      </c>
      <c r="L7050" s="27" t="s">
        <v>118</v>
      </c>
      <c r="M7050" s="10">
        <v>34.470872113064452</v>
      </c>
    </row>
    <row r="7051" spans="11:13" x14ac:dyDescent="0.25">
      <c r="K7051" s="26" t="s">
        <v>109</v>
      </c>
      <c r="L7051" s="27" t="s">
        <v>119</v>
      </c>
      <c r="M7051" s="10">
        <v>34.470872113064452</v>
      </c>
    </row>
    <row r="7052" spans="11:13" x14ac:dyDescent="0.25">
      <c r="K7052" s="26" t="s">
        <v>109</v>
      </c>
      <c r="L7052" s="27" t="s">
        <v>115</v>
      </c>
      <c r="M7052" s="10">
        <v>68.941744226128904</v>
      </c>
    </row>
    <row r="7053" spans="11:13" x14ac:dyDescent="0.25">
      <c r="K7053" s="26" t="s">
        <v>109</v>
      </c>
      <c r="L7053" s="27" t="s">
        <v>116</v>
      </c>
      <c r="M7053" s="10">
        <v>34.470872113064452</v>
      </c>
    </row>
    <row r="7054" spans="11:13" x14ac:dyDescent="0.25">
      <c r="K7054" s="26" t="s">
        <v>110</v>
      </c>
      <c r="L7054" s="27" t="s">
        <v>117</v>
      </c>
      <c r="M7054" s="10">
        <v>68.941744226128904</v>
      </c>
    </row>
    <row r="7055" spans="11:13" x14ac:dyDescent="0.25">
      <c r="K7055" s="26" t="s">
        <v>110</v>
      </c>
      <c r="L7055" s="27" t="s">
        <v>118</v>
      </c>
      <c r="M7055" s="10">
        <v>51.706308169596689</v>
      </c>
    </row>
    <row r="7056" spans="11:13" x14ac:dyDescent="0.25">
      <c r="K7056" s="26" t="s">
        <v>110</v>
      </c>
      <c r="L7056" s="27" t="s">
        <v>119</v>
      </c>
      <c r="M7056" s="10">
        <v>30.807147258163894</v>
      </c>
    </row>
    <row r="7057" spans="11:13" x14ac:dyDescent="0.25">
      <c r="K7057" s="26" t="s">
        <v>109</v>
      </c>
      <c r="L7057" s="27" t="s">
        <v>115</v>
      </c>
      <c r="M7057" s="10">
        <v>61.614294516327789</v>
      </c>
    </row>
    <row r="7058" spans="11:13" x14ac:dyDescent="0.25">
      <c r="K7058" s="26" t="s">
        <v>109</v>
      </c>
      <c r="L7058" s="27" t="s">
        <v>116</v>
      </c>
      <c r="M7058" s="10">
        <v>77.017868145409736</v>
      </c>
    </row>
    <row r="7059" spans="11:13" x14ac:dyDescent="0.25">
      <c r="K7059" s="26" t="s">
        <v>109</v>
      </c>
      <c r="L7059" s="27" t="s">
        <v>117</v>
      </c>
      <c r="M7059" s="10">
        <v>77.017868145409736</v>
      </c>
    </row>
    <row r="7060" spans="11:13" x14ac:dyDescent="0.25">
      <c r="K7060" s="26" t="s">
        <v>109</v>
      </c>
      <c r="L7060" s="27" t="s">
        <v>118</v>
      </c>
      <c r="M7060" s="10">
        <v>77.017868145409736</v>
      </c>
    </row>
    <row r="7061" spans="11:13" x14ac:dyDescent="0.25">
      <c r="K7061" s="26" t="s">
        <v>109</v>
      </c>
      <c r="L7061" s="27" t="s">
        <v>119</v>
      </c>
      <c r="M7061" s="10">
        <v>77.017868145409736</v>
      </c>
    </row>
    <row r="7062" spans="11:13" x14ac:dyDescent="0.25">
      <c r="K7062" s="26" t="s">
        <v>109</v>
      </c>
      <c r="L7062" s="27" t="s">
        <v>115</v>
      </c>
      <c r="M7062" s="10">
        <v>92.421441774491683</v>
      </c>
    </row>
    <row r="7063" spans="11:13" x14ac:dyDescent="0.25">
      <c r="K7063" s="26" t="s">
        <v>109</v>
      </c>
      <c r="L7063" s="27" t="s">
        <v>116</v>
      </c>
      <c r="M7063" s="10">
        <v>77.017868145409736</v>
      </c>
    </row>
    <row r="7064" spans="11:13" x14ac:dyDescent="0.25">
      <c r="K7064" s="26" t="s">
        <v>109</v>
      </c>
      <c r="L7064" s="27" t="s">
        <v>117</v>
      </c>
      <c r="M7064" s="10">
        <v>15.5</v>
      </c>
    </row>
    <row r="7065" spans="11:13" x14ac:dyDescent="0.25">
      <c r="K7065" s="26" t="s">
        <v>109</v>
      </c>
      <c r="L7065" s="27" t="s">
        <v>118</v>
      </c>
      <c r="M7065" s="10">
        <v>352.73368606701939</v>
      </c>
    </row>
    <row r="7066" spans="11:13" x14ac:dyDescent="0.25">
      <c r="K7066" s="26" t="s">
        <v>109</v>
      </c>
      <c r="L7066" s="27" t="s">
        <v>119</v>
      </c>
      <c r="M7066" s="10">
        <v>77.017868145409736</v>
      </c>
    </row>
    <row r="7067" spans="11:13" x14ac:dyDescent="0.25">
      <c r="K7067" s="26" t="s">
        <v>109</v>
      </c>
      <c r="L7067" s="27" t="s">
        <v>115</v>
      </c>
      <c r="M7067" s="10">
        <v>500</v>
      </c>
    </row>
    <row r="7068" spans="11:13" x14ac:dyDescent="0.25">
      <c r="K7068" s="26" t="s">
        <v>109</v>
      </c>
      <c r="L7068" s="27" t="s">
        <v>116</v>
      </c>
      <c r="M7068" s="10">
        <v>195.868430335097</v>
      </c>
    </row>
    <row r="7069" spans="11:13" x14ac:dyDescent="0.25">
      <c r="K7069" s="26" t="s">
        <v>109</v>
      </c>
      <c r="L7069" s="27" t="s">
        <v>117</v>
      </c>
      <c r="M7069" s="10">
        <v>264.74637297469025</v>
      </c>
    </row>
    <row r="7070" spans="11:13" x14ac:dyDescent="0.25">
      <c r="K7070" s="26" t="s">
        <v>109</v>
      </c>
      <c r="L7070" s="27" t="s">
        <v>118</v>
      </c>
      <c r="M7070" s="10">
        <v>317.69564756962825</v>
      </c>
    </row>
    <row r="7071" spans="11:13" x14ac:dyDescent="0.25">
      <c r="K7071" s="26" t="s">
        <v>109</v>
      </c>
      <c r="L7071" s="27" t="s">
        <v>119</v>
      </c>
      <c r="M7071" s="10">
        <v>23.472413427936036</v>
      </c>
    </row>
    <row r="7072" spans="11:13" x14ac:dyDescent="0.25">
      <c r="K7072" s="26" t="s">
        <v>109</v>
      </c>
      <c r="L7072" s="27" t="s">
        <v>115</v>
      </c>
      <c r="M7072" s="10">
        <v>51.195594620353702</v>
      </c>
    </row>
    <row r="7073" spans="11:13" x14ac:dyDescent="0.25">
      <c r="K7073" s="26" t="s">
        <v>109</v>
      </c>
      <c r="L7073" s="27" t="s">
        <v>116</v>
      </c>
      <c r="M7073" s="10">
        <v>661.37566137566137</v>
      </c>
    </row>
    <row r="7074" spans="11:13" x14ac:dyDescent="0.25">
      <c r="K7074" s="26" t="s">
        <v>109</v>
      </c>
      <c r="L7074" s="27" t="s">
        <v>117</v>
      </c>
      <c r="M7074" s="10">
        <v>10.58985491898761</v>
      </c>
    </row>
    <row r="7075" spans="11:13" x14ac:dyDescent="0.25">
      <c r="K7075" s="26" t="s">
        <v>109</v>
      </c>
      <c r="L7075" s="27" t="s">
        <v>118</v>
      </c>
      <c r="M7075" s="10">
        <v>1323.7318648734513</v>
      </c>
    </row>
    <row r="7076" spans="11:13" x14ac:dyDescent="0.25">
      <c r="K7076" s="26" t="s">
        <v>109</v>
      </c>
      <c r="L7076" s="27" t="s">
        <v>119</v>
      </c>
      <c r="M7076" s="10">
        <v>170.8</v>
      </c>
    </row>
    <row r="7077" spans="11:13" x14ac:dyDescent="0.25">
      <c r="K7077" s="26" t="s">
        <v>111</v>
      </c>
      <c r="L7077" s="27" t="s">
        <v>115</v>
      </c>
      <c r="M7077" s="10">
        <v>206.82523267838675</v>
      </c>
    </row>
    <row r="7078" spans="11:13" x14ac:dyDescent="0.25">
      <c r="K7078" s="26" t="s">
        <v>110</v>
      </c>
      <c r="L7078" s="27" t="s">
        <v>116</v>
      </c>
      <c r="M7078" s="10">
        <v>165.34391534391534</v>
      </c>
    </row>
    <row r="7079" spans="11:13" x14ac:dyDescent="0.25">
      <c r="K7079" s="26" t="s">
        <v>111</v>
      </c>
      <c r="L7079" s="27" t="s">
        <v>117</v>
      </c>
      <c r="M7079" s="10">
        <v>18.317198933939025</v>
      </c>
    </row>
    <row r="7080" spans="11:13" x14ac:dyDescent="0.25">
      <c r="K7080" s="26" t="s">
        <v>111</v>
      </c>
      <c r="L7080" s="27" t="s">
        <v>118</v>
      </c>
      <c r="M7080" s="10">
        <v>45.748613678373381</v>
      </c>
    </row>
    <row r="7081" spans="11:13" x14ac:dyDescent="0.25">
      <c r="K7081" s="26" t="s">
        <v>109</v>
      </c>
      <c r="L7081" s="27" t="s">
        <v>119</v>
      </c>
      <c r="M7081" s="10">
        <v>50.83179297597043</v>
      </c>
    </row>
    <row r="7082" spans="11:13" x14ac:dyDescent="0.25">
      <c r="K7082" s="26" t="s">
        <v>109</v>
      </c>
      <c r="L7082" s="27" t="s">
        <v>115</v>
      </c>
      <c r="M7082" s="10">
        <v>60.998151571164513</v>
      </c>
    </row>
    <row r="7083" spans="11:13" x14ac:dyDescent="0.25">
      <c r="K7083" s="26" t="s">
        <v>109</v>
      </c>
      <c r="L7083" s="27" t="s">
        <v>116</v>
      </c>
      <c r="M7083" s="10">
        <v>12.848020762401553</v>
      </c>
    </row>
    <row r="7084" spans="11:13" x14ac:dyDescent="0.25">
      <c r="K7084" s="26" t="s">
        <v>109</v>
      </c>
      <c r="L7084" s="27" t="s">
        <v>117</v>
      </c>
      <c r="M7084" s="10">
        <v>0</v>
      </c>
    </row>
    <row r="7085" spans="11:13" x14ac:dyDescent="0.25">
      <c r="K7085" s="26" t="s">
        <v>109</v>
      </c>
      <c r="L7085" s="27" t="s">
        <v>118</v>
      </c>
      <c r="M7085" s="10">
        <v>61.614294516327789</v>
      </c>
    </row>
    <row r="7086" spans="11:13" x14ac:dyDescent="0.25">
      <c r="K7086" s="26" t="s">
        <v>109</v>
      </c>
      <c r="L7086" s="27" t="s">
        <v>119</v>
      </c>
      <c r="M7086" s="10">
        <v>66.137566137566139</v>
      </c>
    </row>
    <row r="7087" spans="11:13" x14ac:dyDescent="0.25">
      <c r="K7087" s="26" t="s">
        <v>109</v>
      </c>
      <c r="L7087" s="27" t="s">
        <v>115</v>
      </c>
      <c r="M7087" s="10">
        <v>110.22927689594357</v>
      </c>
    </row>
    <row r="7088" spans="11:13" x14ac:dyDescent="0.25">
      <c r="K7088" s="26" t="s">
        <v>109</v>
      </c>
      <c r="L7088" s="27" t="s">
        <v>116</v>
      </c>
      <c r="M7088" s="10">
        <v>242.50440917107585</v>
      </c>
    </row>
    <row r="7089" spans="11:13" x14ac:dyDescent="0.25">
      <c r="K7089" s="26" t="s">
        <v>109</v>
      </c>
      <c r="L7089" s="27" t="s">
        <v>117</v>
      </c>
      <c r="M7089" s="10">
        <v>638.00705467372131</v>
      </c>
    </row>
    <row r="7090" spans="11:13" x14ac:dyDescent="0.25">
      <c r="K7090" s="26" t="s">
        <v>109</v>
      </c>
      <c r="L7090" s="27" t="s">
        <v>118</v>
      </c>
      <c r="M7090" s="10">
        <v>110.22927689594357</v>
      </c>
    </row>
    <row r="7091" spans="11:13" x14ac:dyDescent="0.25">
      <c r="K7091" s="26" t="s">
        <v>109</v>
      </c>
      <c r="L7091" s="27" t="s">
        <v>119</v>
      </c>
      <c r="M7091" s="10">
        <v>77.017868145409736</v>
      </c>
    </row>
    <row r="7092" spans="11:13" x14ac:dyDescent="0.25">
      <c r="K7092" s="26" t="s">
        <v>111</v>
      </c>
      <c r="L7092" s="27" t="s">
        <v>115</v>
      </c>
      <c r="M7092" s="10">
        <v>137.37899200454268</v>
      </c>
    </row>
    <row r="7093" spans="11:13" x14ac:dyDescent="0.25">
      <c r="K7093" s="26" t="s">
        <v>110</v>
      </c>
      <c r="L7093" s="27" t="s">
        <v>116</v>
      </c>
      <c r="M7093" s="10">
        <v>423.59419675950437</v>
      </c>
    </row>
    <row r="7094" spans="11:13" x14ac:dyDescent="0.25">
      <c r="K7094" s="26" t="s">
        <v>111</v>
      </c>
      <c r="L7094" s="27" t="s">
        <v>117</v>
      </c>
      <c r="M7094" s="10">
        <v>63.697977337710469</v>
      </c>
    </row>
    <row r="7095" spans="11:13" x14ac:dyDescent="0.25">
      <c r="K7095" s="26" t="s">
        <v>111</v>
      </c>
      <c r="L7095" s="27" t="s">
        <v>118</v>
      </c>
      <c r="M7095" s="10">
        <v>102.73808976891625</v>
      </c>
    </row>
    <row r="7096" spans="11:13" x14ac:dyDescent="0.25">
      <c r="K7096" s="26" t="s">
        <v>109</v>
      </c>
      <c r="L7096" s="27" t="s">
        <v>119</v>
      </c>
      <c r="M7096" s="10">
        <v>154.03573629081947</v>
      </c>
    </row>
    <row r="7097" spans="11:13" x14ac:dyDescent="0.25">
      <c r="K7097" s="26" t="s">
        <v>109</v>
      </c>
      <c r="L7097" s="27" t="s">
        <v>115</v>
      </c>
      <c r="M7097" s="10">
        <v>158.84782378481412</v>
      </c>
    </row>
    <row r="7098" spans="11:13" x14ac:dyDescent="0.25">
      <c r="K7098" s="26" t="s">
        <v>109</v>
      </c>
      <c r="L7098" s="27" t="s">
        <v>116</v>
      </c>
      <c r="M7098" s="10">
        <v>80.424963337135409</v>
      </c>
    </row>
    <row r="7099" spans="11:13" x14ac:dyDescent="0.25">
      <c r="K7099" s="26" t="s">
        <v>109</v>
      </c>
      <c r="L7099" s="27" t="s">
        <v>117</v>
      </c>
      <c r="M7099" s="10">
        <v>158.84782378481412</v>
      </c>
    </row>
    <row r="7100" spans="11:13" x14ac:dyDescent="0.25">
      <c r="K7100" s="26" t="s">
        <v>109</v>
      </c>
      <c r="L7100" s="27" t="s">
        <v>118</v>
      </c>
      <c r="M7100" s="10">
        <v>40.665434380776347</v>
      </c>
    </row>
    <row r="7101" spans="11:13" x14ac:dyDescent="0.25">
      <c r="K7101" s="26" t="s">
        <v>109</v>
      </c>
      <c r="L7101" s="27" t="s">
        <v>119</v>
      </c>
      <c r="M7101" s="10">
        <v>61.614294516327789</v>
      </c>
    </row>
    <row r="7102" spans="11:13" x14ac:dyDescent="0.25">
      <c r="K7102" s="26" t="s">
        <v>109</v>
      </c>
      <c r="L7102" s="27" t="s">
        <v>115</v>
      </c>
      <c r="M7102" s="10">
        <v>23.105360443622921</v>
      </c>
    </row>
    <row r="7103" spans="11:13" x14ac:dyDescent="0.25">
      <c r="K7103" s="26" t="s">
        <v>109</v>
      </c>
      <c r="L7103" s="27" t="s">
        <v>116</v>
      </c>
      <c r="M7103" s="10">
        <v>27.726432532347506</v>
      </c>
    </row>
    <row r="7104" spans="11:13" x14ac:dyDescent="0.25">
      <c r="K7104" s="26" t="s">
        <v>109</v>
      </c>
      <c r="L7104" s="27" t="s">
        <v>117</v>
      </c>
      <c r="M7104" s="10">
        <v>34.470872113064452</v>
      </c>
    </row>
    <row r="7105" spans="11:13" x14ac:dyDescent="0.25">
      <c r="K7105" s="26" t="s">
        <v>109</v>
      </c>
      <c r="L7105" s="27" t="s">
        <v>118</v>
      </c>
      <c r="M7105" s="10">
        <v>2.0107544402802673</v>
      </c>
    </row>
    <row r="7106" spans="11:13" x14ac:dyDescent="0.25">
      <c r="K7106" s="26" t="s">
        <v>109</v>
      </c>
      <c r="L7106" s="27" t="s">
        <v>119</v>
      </c>
      <c r="M7106" s="10">
        <v>1232.2858903265558</v>
      </c>
    </row>
    <row r="7107" spans="11:13" x14ac:dyDescent="0.25">
      <c r="K7107" s="26" t="s">
        <v>111</v>
      </c>
      <c r="L7107" s="27" t="s">
        <v>115</v>
      </c>
      <c r="M7107" s="10">
        <v>246.45717806531115</v>
      </c>
    </row>
    <row r="7108" spans="11:13" x14ac:dyDescent="0.25">
      <c r="K7108" s="26" t="s">
        <v>109</v>
      </c>
      <c r="L7108" s="27" t="s">
        <v>116</v>
      </c>
      <c r="M7108" s="10">
        <v>137.37899200454268</v>
      </c>
    </row>
    <row r="7109" spans="11:13" x14ac:dyDescent="0.25">
      <c r="K7109" s="26" t="s">
        <v>109</v>
      </c>
      <c r="L7109" s="27" t="s">
        <v>117</v>
      </c>
      <c r="M7109" s="10">
        <v>45.748613678373381</v>
      </c>
    </row>
    <row r="7110" spans="11:13" x14ac:dyDescent="0.25">
      <c r="K7110" s="26" t="s">
        <v>109</v>
      </c>
      <c r="L7110" s="27" t="s">
        <v>118</v>
      </c>
      <c r="M7110" s="10">
        <v>40.665434380776347</v>
      </c>
    </row>
    <row r="7111" spans="11:13" x14ac:dyDescent="0.25">
      <c r="K7111" s="26" t="s">
        <v>109</v>
      </c>
      <c r="L7111" s="27" t="s">
        <v>119</v>
      </c>
      <c r="M7111" s="10">
        <v>81.330868761552694</v>
      </c>
    </row>
    <row r="7112" spans="11:13" x14ac:dyDescent="0.25">
      <c r="K7112" s="26" t="s">
        <v>109</v>
      </c>
      <c r="L7112" s="27" t="s">
        <v>115</v>
      </c>
      <c r="M7112" s="10">
        <v>80.098582871226128</v>
      </c>
    </row>
    <row r="7113" spans="11:13" x14ac:dyDescent="0.25">
      <c r="K7113" s="26" t="s">
        <v>109</v>
      </c>
      <c r="L7113" s="27" t="s">
        <v>116</v>
      </c>
      <c r="M7113" s="10">
        <v>154.03573629081947</v>
      </c>
    </row>
    <row r="7114" spans="11:13" x14ac:dyDescent="0.25">
      <c r="K7114" s="26" t="s">
        <v>109</v>
      </c>
      <c r="L7114" s="27" t="s">
        <v>117</v>
      </c>
      <c r="M7114" s="10">
        <v>27.475798400908538</v>
      </c>
    </row>
    <row r="7115" spans="11:13" x14ac:dyDescent="0.25">
      <c r="K7115" s="26" t="s">
        <v>109</v>
      </c>
      <c r="L7115" s="27" t="s">
        <v>118</v>
      </c>
      <c r="M7115" s="10">
        <v>132.27513227513228</v>
      </c>
    </row>
    <row r="7116" spans="11:13" x14ac:dyDescent="0.25">
      <c r="K7116" s="26" t="s">
        <v>109</v>
      </c>
      <c r="L7116" s="27" t="s">
        <v>119</v>
      </c>
      <c r="M7116" s="10">
        <v>52.949274594938046</v>
      </c>
    </row>
    <row r="7117" spans="11:13" x14ac:dyDescent="0.25">
      <c r="K7117" s="26" t="s">
        <v>109</v>
      </c>
      <c r="L7117" s="27" t="s">
        <v>115</v>
      </c>
      <c r="M7117" s="10">
        <v>23.105360443622921</v>
      </c>
    </row>
    <row r="7118" spans="11:13" x14ac:dyDescent="0.25">
      <c r="K7118" s="26" t="s">
        <v>109</v>
      </c>
      <c r="L7118" s="27" t="s">
        <v>116</v>
      </c>
      <c r="M7118" s="10">
        <v>6.1614294516327792</v>
      </c>
    </row>
    <row r="7119" spans="11:13" x14ac:dyDescent="0.25">
      <c r="K7119" s="26" t="s">
        <v>109</v>
      </c>
      <c r="L7119" s="27" t="s">
        <v>117</v>
      </c>
      <c r="M7119" s="10">
        <v>25</v>
      </c>
    </row>
    <row r="7120" spans="11:13" x14ac:dyDescent="0.25">
      <c r="K7120" s="26" t="s">
        <v>109</v>
      </c>
      <c r="L7120" s="27" t="s">
        <v>118</v>
      </c>
      <c r="M7120" s="10">
        <v>27.726432532347506</v>
      </c>
    </row>
    <row r="7121" spans="11:13" x14ac:dyDescent="0.25">
      <c r="K7121" s="26" t="s">
        <v>113</v>
      </c>
      <c r="L7121" s="27" t="s">
        <v>119</v>
      </c>
      <c r="M7121" s="10">
        <v>123.22858903265558</v>
      </c>
    </row>
    <row r="7122" spans="11:13" x14ac:dyDescent="0.25">
      <c r="K7122" s="26" t="s">
        <v>109</v>
      </c>
      <c r="L7122" s="27" t="s">
        <v>115</v>
      </c>
      <c r="M7122" s="10">
        <v>92.421441774491683</v>
      </c>
    </row>
    <row r="7123" spans="11:13" x14ac:dyDescent="0.25">
      <c r="K7123" s="26" t="s">
        <v>109</v>
      </c>
      <c r="L7123" s="27" t="s">
        <v>116</v>
      </c>
      <c r="M7123" s="10">
        <v>200</v>
      </c>
    </row>
    <row r="7124" spans="11:13" x14ac:dyDescent="0.25">
      <c r="K7124" s="26" t="s">
        <v>109</v>
      </c>
      <c r="L7124" s="27" t="s">
        <v>117</v>
      </c>
      <c r="M7124" s="10">
        <v>231.05360443622922</v>
      </c>
    </row>
    <row r="7125" spans="11:13" x14ac:dyDescent="0.25">
      <c r="K7125" s="26" t="s">
        <v>109</v>
      </c>
      <c r="L7125" s="27" t="s">
        <v>118</v>
      </c>
      <c r="M7125" s="10">
        <v>144.79359211337029</v>
      </c>
    </row>
    <row r="7126" spans="11:13" x14ac:dyDescent="0.25">
      <c r="K7126" s="26" t="s">
        <v>109</v>
      </c>
      <c r="L7126" s="27" t="s">
        <v>119</v>
      </c>
      <c r="M7126" s="10">
        <v>53.912507701786815</v>
      </c>
    </row>
    <row r="7127" spans="11:13" x14ac:dyDescent="0.25">
      <c r="K7127" s="26" t="s">
        <v>109</v>
      </c>
      <c r="L7127" s="27" t="s">
        <v>115</v>
      </c>
      <c r="M7127" s="10">
        <v>123.22858903265558</v>
      </c>
    </row>
    <row r="7128" spans="11:13" x14ac:dyDescent="0.25">
      <c r="K7128" s="26" t="s">
        <v>109</v>
      </c>
      <c r="L7128" s="27" t="s">
        <v>116</v>
      </c>
      <c r="M7128" s="10">
        <v>69.316081330868769</v>
      </c>
    </row>
    <row r="7129" spans="11:13" x14ac:dyDescent="0.25">
      <c r="K7129" s="26" t="s">
        <v>109</v>
      </c>
      <c r="L7129" s="27" t="s">
        <v>117</v>
      </c>
      <c r="M7129" s="10">
        <v>50.83179297597043</v>
      </c>
    </row>
    <row r="7130" spans="11:13" x14ac:dyDescent="0.25">
      <c r="K7130" s="26" t="s">
        <v>109</v>
      </c>
      <c r="L7130" s="27" t="s">
        <v>118</v>
      </c>
      <c r="M7130" s="10">
        <v>50.83179297597043</v>
      </c>
    </row>
    <row r="7131" spans="11:13" x14ac:dyDescent="0.25">
      <c r="K7131" s="26" t="s">
        <v>109</v>
      </c>
      <c r="L7131" s="27" t="s">
        <v>119</v>
      </c>
      <c r="M7131" s="10">
        <v>146.33394947627849</v>
      </c>
    </row>
    <row r="7132" spans="11:13" x14ac:dyDescent="0.25">
      <c r="K7132" s="26" t="s">
        <v>109</v>
      </c>
      <c r="L7132" s="27" t="s">
        <v>115</v>
      </c>
      <c r="M7132" s="10">
        <v>46.210720887245841</v>
      </c>
    </row>
    <row r="7133" spans="11:13" x14ac:dyDescent="0.25">
      <c r="K7133" s="26" t="s">
        <v>109</v>
      </c>
      <c r="L7133" s="27" t="s">
        <v>116</v>
      </c>
      <c r="M7133" s="10">
        <v>16.173752310536045</v>
      </c>
    </row>
    <row r="7134" spans="11:13" x14ac:dyDescent="0.25">
      <c r="K7134" s="26" t="s">
        <v>109</v>
      </c>
      <c r="L7134" s="27" t="s">
        <v>117</v>
      </c>
      <c r="M7134" s="10">
        <v>16.173752310536045</v>
      </c>
    </row>
    <row r="7135" spans="11:13" x14ac:dyDescent="0.25">
      <c r="K7135" s="26" t="s">
        <v>109</v>
      </c>
      <c r="L7135" s="27" t="s">
        <v>118</v>
      </c>
      <c r="M7135" s="10">
        <v>16.173752310536045</v>
      </c>
    </row>
    <row r="7136" spans="11:13" x14ac:dyDescent="0.25">
      <c r="K7136" s="26" t="s">
        <v>109</v>
      </c>
      <c r="L7136" s="27" t="s">
        <v>119</v>
      </c>
      <c r="M7136" s="10">
        <v>200</v>
      </c>
    </row>
    <row r="7137" spans="11:13" x14ac:dyDescent="0.25">
      <c r="K7137" s="26" t="s">
        <v>109</v>
      </c>
      <c r="L7137" s="27" t="s">
        <v>115</v>
      </c>
      <c r="M7137" s="10">
        <v>117.54738960076247</v>
      </c>
    </row>
    <row r="7138" spans="11:13" x14ac:dyDescent="0.25">
      <c r="K7138" s="26" t="s">
        <v>109</v>
      </c>
      <c r="L7138" s="27" t="s">
        <v>116</v>
      </c>
      <c r="M7138" s="10">
        <v>44.091710758377424</v>
      </c>
    </row>
    <row r="7139" spans="11:13" x14ac:dyDescent="0.25">
      <c r="K7139" s="26" t="s">
        <v>109</v>
      </c>
      <c r="L7139" s="27" t="s">
        <v>117</v>
      </c>
      <c r="M7139" s="10">
        <v>317.69564756962825</v>
      </c>
    </row>
    <row r="7140" spans="11:13" x14ac:dyDescent="0.25">
      <c r="K7140" s="26" t="s">
        <v>109</v>
      </c>
      <c r="L7140" s="27" t="s">
        <v>118</v>
      </c>
      <c r="M7140" s="10">
        <v>105.89854918987609</v>
      </c>
    </row>
    <row r="7141" spans="11:13" x14ac:dyDescent="0.25">
      <c r="K7141" s="26" t="s">
        <v>109</v>
      </c>
      <c r="L7141" s="27" t="s">
        <v>119</v>
      </c>
      <c r="M7141" s="10">
        <v>51.392083049606214</v>
      </c>
    </row>
    <row r="7142" spans="11:13" x14ac:dyDescent="0.25">
      <c r="K7142" s="26" t="s">
        <v>109</v>
      </c>
      <c r="L7142" s="27" t="s">
        <v>115</v>
      </c>
      <c r="M7142" s="10">
        <v>105.89854918987609</v>
      </c>
    </row>
    <row r="7143" spans="11:13" x14ac:dyDescent="0.25">
      <c r="K7143" s="26" t="s">
        <v>109</v>
      </c>
      <c r="L7143" s="27" t="s">
        <v>116</v>
      </c>
      <c r="M7143" s="10">
        <v>385.08934072704869</v>
      </c>
    </row>
    <row r="7144" spans="11:13" x14ac:dyDescent="0.25">
      <c r="K7144" s="26" t="s">
        <v>109</v>
      </c>
      <c r="L7144" s="27" t="s">
        <v>117</v>
      </c>
      <c r="M7144" s="10">
        <v>25.696041524803107</v>
      </c>
    </row>
    <row r="7145" spans="11:13" x14ac:dyDescent="0.25">
      <c r="K7145" s="26" t="s">
        <v>109</v>
      </c>
      <c r="L7145" s="27" t="s">
        <v>118</v>
      </c>
      <c r="M7145" s="10">
        <v>200.26455026455025</v>
      </c>
    </row>
    <row r="7146" spans="11:13" x14ac:dyDescent="0.25">
      <c r="K7146" s="26" t="s">
        <v>109</v>
      </c>
      <c r="L7146" s="27" t="s">
        <v>119</v>
      </c>
      <c r="M7146" s="10">
        <v>154.03573629081947</v>
      </c>
    </row>
    <row r="7147" spans="11:13" x14ac:dyDescent="0.25">
      <c r="K7147" s="26" t="s">
        <v>109</v>
      </c>
      <c r="L7147" s="27" t="s">
        <v>115</v>
      </c>
      <c r="M7147" s="10">
        <v>154.03573629081947</v>
      </c>
    </row>
    <row r="7148" spans="11:13" x14ac:dyDescent="0.25">
      <c r="K7148" s="26" t="s">
        <v>109</v>
      </c>
      <c r="L7148" s="27" t="s">
        <v>116</v>
      </c>
      <c r="M7148" s="10">
        <v>154.03573629081947</v>
      </c>
    </row>
    <row r="7149" spans="11:13" x14ac:dyDescent="0.25">
      <c r="K7149" s="26" t="s">
        <v>109</v>
      </c>
      <c r="L7149" s="27" t="s">
        <v>117</v>
      </c>
      <c r="M7149" s="10">
        <v>154.03573629081947</v>
      </c>
    </row>
    <row r="7150" spans="11:13" x14ac:dyDescent="0.25">
      <c r="K7150" s="26" t="s">
        <v>109</v>
      </c>
      <c r="L7150" s="27" t="s">
        <v>118</v>
      </c>
      <c r="M7150" s="10">
        <v>211.79709837975219</v>
      </c>
    </row>
    <row r="7151" spans="11:13" x14ac:dyDescent="0.25">
      <c r="K7151" s="26" t="s">
        <v>109</v>
      </c>
      <c r="L7151" s="27" t="s">
        <v>119</v>
      </c>
      <c r="M7151" s="10">
        <v>77.017868145409736</v>
      </c>
    </row>
    <row r="7152" spans="11:13" x14ac:dyDescent="0.25">
      <c r="K7152" s="26" t="s">
        <v>109</v>
      </c>
      <c r="L7152" s="27" t="s">
        <v>115</v>
      </c>
      <c r="M7152" s="10">
        <v>274.75798400908536</v>
      </c>
    </row>
    <row r="7153" spans="11:13" x14ac:dyDescent="0.25">
      <c r="K7153" s="26" t="s">
        <v>112</v>
      </c>
      <c r="L7153" s="27" t="s">
        <v>116</v>
      </c>
      <c r="M7153" s="10">
        <v>59.530896535301828</v>
      </c>
    </row>
    <row r="7154" spans="11:13" x14ac:dyDescent="0.25">
      <c r="K7154" s="26" t="s">
        <v>109</v>
      </c>
      <c r="L7154" s="27" t="s">
        <v>117</v>
      </c>
      <c r="M7154" s="10">
        <v>22.045855379188712</v>
      </c>
    </row>
    <row r="7155" spans="11:13" x14ac:dyDescent="0.25">
      <c r="K7155" s="26" t="s">
        <v>109</v>
      </c>
      <c r="L7155" s="27" t="s">
        <v>118</v>
      </c>
      <c r="M7155" s="10">
        <v>68.941744226128904</v>
      </c>
    </row>
    <row r="7156" spans="11:13" x14ac:dyDescent="0.25">
      <c r="K7156" s="26" t="s">
        <v>109</v>
      </c>
      <c r="L7156" s="27" t="s">
        <v>119</v>
      </c>
      <c r="M7156" s="10">
        <v>86.177180282661155</v>
      </c>
    </row>
    <row r="7157" spans="11:13" x14ac:dyDescent="0.25">
      <c r="K7157" s="26" t="s">
        <v>109</v>
      </c>
      <c r="L7157" s="27" t="s">
        <v>115</v>
      </c>
      <c r="M7157" s="10">
        <v>72.319889693209234</v>
      </c>
    </row>
    <row r="7158" spans="11:13" x14ac:dyDescent="0.25">
      <c r="K7158" s="26" t="s">
        <v>109</v>
      </c>
      <c r="L7158" s="27" t="s">
        <v>116</v>
      </c>
      <c r="M7158" s="10">
        <v>456.39434677697346</v>
      </c>
    </row>
    <row r="7159" spans="11:13" x14ac:dyDescent="0.25">
      <c r="K7159" s="26" t="s">
        <v>109</v>
      </c>
      <c r="L7159" s="27" t="s">
        <v>117</v>
      </c>
      <c r="M7159" s="10">
        <v>68.941744226128904</v>
      </c>
    </row>
    <row r="7160" spans="11:13" x14ac:dyDescent="0.25">
      <c r="K7160" s="26" t="s">
        <v>109</v>
      </c>
      <c r="L7160" s="27" t="s">
        <v>118</v>
      </c>
      <c r="M7160" s="10">
        <v>92.421441774491683</v>
      </c>
    </row>
    <row r="7161" spans="11:13" x14ac:dyDescent="0.25">
      <c r="K7161" s="26" t="s">
        <v>109</v>
      </c>
      <c r="L7161" s="27" t="s">
        <v>119</v>
      </c>
      <c r="M7161" s="10">
        <v>123.22858903265558</v>
      </c>
    </row>
    <row r="7162" spans="11:13" x14ac:dyDescent="0.25">
      <c r="K7162" s="26" t="s">
        <v>112</v>
      </c>
      <c r="L7162" s="27" t="s">
        <v>115</v>
      </c>
      <c r="M7162" s="10">
        <v>61.614294516327789</v>
      </c>
    </row>
    <row r="7163" spans="11:13" x14ac:dyDescent="0.25">
      <c r="K7163" s="26" t="s">
        <v>109</v>
      </c>
      <c r="L7163" s="27" t="s">
        <v>116</v>
      </c>
      <c r="M7163" s="10">
        <v>123.22858903265558</v>
      </c>
    </row>
    <row r="7164" spans="11:13" x14ac:dyDescent="0.25">
      <c r="K7164" s="26" t="s">
        <v>109</v>
      </c>
      <c r="L7164" s="27" t="s">
        <v>117</v>
      </c>
      <c r="M7164" s="10">
        <v>263.27987320255437</v>
      </c>
    </row>
    <row r="7165" spans="11:13" x14ac:dyDescent="0.25">
      <c r="K7165" s="26" t="s">
        <v>109</v>
      </c>
      <c r="L7165" s="27" t="s">
        <v>118</v>
      </c>
      <c r="M7165" s="10">
        <v>154.03573629081947</v>
      </c>
    </row>
    <row r="7166" spans="11:13" x14ac:dyDescent="0.25">
      <c r="K7166" s="26" t="s">
        <v>109</v>
      </c>
      <c r="L7166" s="27" t="s">
        <v>119</v>
      </c>
      <c r="M7166" s="10">
        <v>154.03573629081947</v>
      </c>
    </row>
    <row r="7167" spans="11:13" x14ac:dyDescent="0.25">
      <c r="K7167" s="26" t="s">
        <v>109</v>
      </c>
      <c r="L7167" s="27" t="s">
        <v>115</v>
      </c>
      <c r="M7167" s="10">
        <v>154.03573629081947</v>
      </c>
    </row>
    <row r="7168" spans="11:13" x14ac:dyDescent="0.25">
      <c r="K7168" s="26" t="s">
        <v>109</v>
      </c>
      <c r="L7168" s="27" t="s">
        <v>116</v>
      </c>
      <c r="M7168" s="10">
        <v>154.03573629081947</v>
      </c>
    </row>
    <row r="7169" spans="11:13" x14ac:dyDescent="0.25">
      <c r="K7169" s="26" t="s">
        <v>109</v>
      </c>
      <c r="L7169" s="27" t="s">
        <v>117</v>
      </c>
      <c r="M7169" s="10">
        <v>128.48020762401552</v>
      </c>
    </row>
    <row r="7170" spans="11:13" x14ac:dyDescent="0.25">
      <c r="K7170" s="26" t="s">
        <v>109</v>
      </c>
      <c r="L7170" s="27" t="s">
        <v>118</v>
      </c>
      <c r="M7170" s="10">
        <v>50.107280973366052</v>
      </c>
    </row>
    <row r="7171" spans="11:13" x14ac:dyDescent="0.25">
      <c r="K7171" s="26" t="s">
        <v>109</v>
      </c>
      <c r="L7171" s="27" t="s">
        <v>119</v>
      </c>
      <c r="M7171" s="10">
        <v>4.1365046535677346</v>
      </c>
    </row>
    <row r="7172" spans="11:13" x14ac:dyDescent="0.25">
      <c r="K7172" s="26" t="s">
        <v>109</v>
      </c>
      <c r="L7172" s="27" t="s">
        <v>115</v>
      </c>
      <c r="M7172" s="10">
        <v>79.362288865908297</v>
      </c>
    </row>
    <row r="7173" spans="11:13" x14ac:dyDescent="0.25">
      <c r="K7173" s="26" t="s">
        <v>109</v>
      </c>
      <c r="L7173" s="27" t="s">
        <v>116</v>
      </c>
      <c r="M7173" s="10">
        <v>110.22927689594357</v>
      </c>
    </row>
    <row r="7174" spans="11:13" x14ac:dyDescent="0.25">
      <c r="K7174" s="26" t="s">
        <v>112</v>
      </c>
      <c r="L7174" s="27" t="s">
        <v>117</v>
      </c>
      <c r="M7174" s="10">
        <v>65.465187923598279</v>
      </c>
    </row>
    <row r="7175" spans="11:13" x14ac:dyDescent="0.25">
      <c r="K7175" s="26" t="s">
        <v>109</v>
      </c>
      <c r="L7175" s="27" t="s">
        <v>118</v>
      </c>
      <c r="M7175" s="10">
        <v>30.807147258163894</v>
      </c>
    </row>
    <row r="7176" spans="11:13" x14ac:dyDescent="0.25">
      <c r="K7176" s="26" t="s">
        <v>109</v>
      </c>
      <c r="L7176" s="27" t="s">
        <v>119</v>
      </c>
      <c r="M7176" s="10">
        <v>3.5273368606701943</v>
      </c>
    </row>
    <row r="7177" spans="11:13" x14ac:dyDescent="0.25">
      <c r="K7177" s="26" t="s">
        <v>109</v>
      </c>
      <c r="L7177" s="27" t="s">
        <v>115</v>
      </c>
      <c r="M7177" s="10">
        <v>5.5153395380903127</v>
      </c>
    </row>
    <row r="7178" spans="11:13" x14ac:dyDescent="0.25">
      <c r="K7178" s="26" t="s">
        <v>109</v>
      </c>
      <c r="L7178" s="27" t="s">
        <v>116</v>
      </c>
      <c r="M7178" s="10">
        <v>15.511892450879007</v>
      </c>
    </row>
    <row r="7179" spans="11:13" x14ac:dyDescent="0.25">
      <c r="K7179" s="26" t="s">
        <v>109</v>
      </c>
      <c r="L7179" s="27" t="s">
        <v>117</v>
      </c>
      <c r="M7179" s="10">
        <v>55.114638447971785</v>
      </c>
    </row>
    <row r="7180" spans="11:13" x14ac:dyDescent="0.25">
      <c r="K7180" s="26" t="s">
        <v>109</v>
      </c>
      <c r="L7180" s="27" t="s">
        <v>118</v>
      </c>
      <c r="M7180" s="10">
        <v>4.409171075837742</v>
      </c>
    </row>
    <row r="7181" spans="11:13" x14ac:dyDescent="0.25">
      <c r="K7181" s="26" t="s">
        <v>109</v>
      </c>
      <c r="L7181" s="27" t="s">
        <v>119</v>
      </c>
      <c r="M7181" s="10">
        <v>61.614294516327789</v>
      </c>
    </row>
    <row r="7182" spans="11:13" x14ac:dyDescent="0.25">
      <c r="K7182" s="26" t="s">
        <v>109</v>
      </c>
      <c r="L7182" s="27" t="s">
        <v>115</v>
      </c>
      <c r="M7182" s="10">
        <v>61.614294516327789</v>
      </c>
    </row>
    <row r="7183" spans="11:13" x14ac:dyDescent="0.25">
      <c r="K7183" s="26" t="s">
        <v>109</v>
      </c>
      <c r="L7183" s="27" t="s">
        <v>116</v>
      </c>
      <c r="M7183" s="10">
        <v>61.614294516327789</v>
      </c>
    </row>
    <row r="7184" spans="11:13" x14ac:dyDescent="0.25">
      <c r="K7184" s="26" t="s">
        <v>109</v>
      </c>
      <c r="L7184" s="27" t="s">
        <v>117</v>
      </c>
      <c r="M7184" s="10">
        <v>61.614294516327789</v>
      </c>
    </row>
    <row r="7185" spans="11:13" x14ac:dyDescent="0.25">
      <c r="K7185" s="26" t="s">
        <v>109</v>
      </c>
      <c r="L7185" s="27" t="s">
        <v>118</v>
      </c>
      <c r="M7185" s="10">
        <v>92.421441774491683</v>
      </c>
    </row>
    <row r="7186" spans="11:13" x14ac:dyDescent="0.25">
      <c r="K7186" s="26" t="s">
        <v>109</v>
      </c>
      <c r="L7186" s="27" t="s">
        <v>119</v>
      </c>
      <c r="M7186" s="10">
        <v>92.421441774491683</v>
      </c>
    </row>
    <row r="7187" spans="11:13" x14ac:dyDescent="0.25">
      <c r="K7187" s="26" t="s">
        <v>112</v>
      </c>
      <c r="L7187" s="27" t="s">
        <v>115</v>
      </c>
      <c r="M7187" s="10">
        <v>92.421441774491683</v>
      </c>
    </row>
    <row r="7188" spans="11:13" x14ac:dyDescent="0.25">
      <c r="K7188" s="26" t="s">
        <v>109</v>
      </c>
      <c r="L7188" s="27" t="s">
        <v>116</v>
      </c>
      <c r="M7188" s="10">
        <v>92.421441774491683</v>
      </c>
    </row>
    <row r="7189" spans="11:13" x14ac:dyDescent="0.25">
      <c r="K7189" s="26" t="s">
        <v>109</v>
      </c>
      <c r="L7189" s="27" t="s">
        <v>117</v>
      </c>
      <c r="M7189" s="10">
        <v>92.421441774491683</v>
      </c>
    </row>
    <row r="7190" spans="11:13" x14ac:dyDescent="0.25">
      <c r="K7190" s="26" t="s">
        <v>109</v>
      </c>
      <c r="L7190" s="27" t="s">
        <v>118</v>
      </c>
      <c r="M7190" s="10">
        <v>92.421441774491683</v>
      </c>
    </row>
    <row r="7191" spans="11:13" x14ac:dyDescent="0.25">
      <c r="K7191" s="26" t="s">
        <v>109</v>
      </c>
      <c r="L7191" s="27" t="s">
        <v>119</v>
      </c>
      <c r="M7191" s="10">
        <v>92.421441774491683</v>
      </c>
    </row>
    <row r="7192" spans="11:13" x14ac:dyDescent="0.25">
      <c r="K7192" s="26" t="s">
        <v>109</v>
      </c>
      <c r="L7192" s="27" t="s">
        <v>115</v>
      </c>
      <c r="M7192" s="10">
        <v>92.421441774491683</v>
      </c>
    </row>
    <row r="7193" spans="11:13" x14ac:dyDescent="0.25">
      <c r="K7193" s="26" t="s">
        <v>109</v>
      </c>
      <c r="L7193" s="27" t="s">
        <v>116</v>
      </c>
      <c r="M7193" s="10">
        <v>92.421441774491683</v>
      </c>
    </row>
    <row r="7194" spans="11:13" x14ac:dyDescent="0.25">
      <c r="K7194" s="26" t="s">
        <v>109</v>
      </c>
      <c r="L7194" s="27" t="s">
        <v>117</v>
      </c>
      <c r="M7194" s="10">
        <v>92.421441774491683</v>
      </c>
    </row>
    <row r="7195" spans="11:13" x14ac:dyDescent="0.25">
      <c r="K7195" s="26" t="s">
        <v>109</v>
      </c>
      <c r="L7195" s="27" t="s">
        <v>118</v>
      </c>
      <c r="M7195" s="10">
        <v>162.0614212786646</v>
      </c>
    </row>
    <row r="7196" spans="11:13" x14ac:dyDescent="0.25">
      <c r="K7196" s="26" t="s">
        <v>109</v>
      </c>
      <c r="L7196" s="27" t="s">
        <v>119</v>
      </c>
      <c r="M7196" s="10">
        <v>127.92862437784602</v>
      </c>
    </row>
    <row r="7197" spans="11:13" x14ac:dyDescent="0.25">
      <c r="K7197" s="26" t="s">
        <v>109</v>
      </c>
      <c r="L7197" s="27" t="s">
        <v>115</v>
      </c>
      <c r="M7197" s="10">
        <v>184.84288354898337</v>
      </c>
    </row>
    <row r="7198" spans="11:13" x14ac:dyDescent="0.25">
      <c r="K7198" s="26" t="s">
        <v>109</v>
      </c>
      <c r="L7198" s="27" t="s">
        <v>116</v>
      </c>
      <c r="M7198" s="10">
        <v>26.474637297469023</v>
      </c>
    </row>
    <row r="7199" spans="11:13" x14ac:dyDescent="0.25">
      <c r="K7199" s="26" t="s">
        <v>109</v>
      </c>
      <c r="L7199" s="27" t="s">
        <v>117</v>
      </c>
      <c r="M7199" s="10">
        <v>61.614294516327789</v>
      </c>
    </row>
    <row r="7200" spans="11:13" x14ac:dyDescent="0.25">
      <c r="K7200" s="26" t="s">
        <v>109</v>
      </c>
      <c r="L7200" s="27" t="s">
        <v>118</v>
      </c>
      <c r="M7200" s="10">
        <v>107.82501540357363</v>
      </c>
    </row>
    <row r="7201" spans="11:13" x14ac:dyDescent="0.25">
      <c r="K7201" s="26" t="s">
        <v>109</v>
      </c>
      <c r="L7201" s="27" t="s">
        <v>119</v>
      </c>
      <c r="M7201" s="10">
        <v>92.421441774491683</v>
      </c>
    </row>
    <row r="7202" spans="11:13" x14ac:dyDescent="0.25">
      <c r="K7202" s="26" t="s">
        <v>109</v>
      </c>
      <c r="L7202" s="27" t="s">
        <v>115</v>
      </c>
      <c r="M7202" s="10">
        <v>4.0215088805605346</v>
      </c>
    </row>
    <row r="7203" spans="11:13" x14ac:dyDescent="0.25">
      <c r="K7203" s="26" t="s">
        <v>109</v>
      </c>
      <c r="L7203" s="27" t="s">
        <v>116</v>
      </c>
      <c r="M7203" s="10">
        <v>2.0694150236271796</v>
      </c>
    </row>
    <row r="7204" spans="11:13" x14ac:dyDescent="0.25">
      <c r="K7204" s="26" t="s">
        <v>109</v>
      </c>
      <c r="L7204" s="27" t="s">
        <v>117</v>
      </c>
      <c r="M7204" s="10">
        <v>68.941744226128904</v>
      </c>
    </row>
    <row r="7205" spans="11:13" x14ac:dyDescent="0.25">
      <c r="K7205" s="26" t="s">
        <v>109</v>
      </c>
      <c r="L7205" s="27" t="s">
        <v>118</v>
      </c>
      <c r="M7205" s="10">
        <v>68.941744226128904</v>
      </c>
    </row>
    <row r="7206" spans="11:13" x14ac:dyDescent="0.25">
      <c r="K7206" s="26" t="s">
        <v>109</v>
      </c>
      <c r="L7206" s="27" t="s">
        <v>119</v>
      </c>
      <c r="M7206" s="10">
        <v>68.941744226128904</v>
      </c>
    </row>
    <row r="7207" spans="11:13" x14ac:dyDescent="0.25">
      <c r="K7207" s="26" t="s">
        <v>112</v>
      </c>
      <c r="L7207" s="27" t="s">
        <v>115</v>
      </c>
      <c r="M7207" s="10">
        <v>86.177180282661155</v>
      </c>
    </row>
    <row r="7208" spans="11:13" x14ac:dyDescent="0.25">
      <c r="K7208" s="26" t="s">
        <v>111</v>
      </c>
      <c r="L7208" s="27" t="s">
        <v>116</v>
      </c>
      <c r="M7208" s="10">
        <v>16.890727335401586</v>
      </c>
    </row>
    <row r="7209" spans="11:13" x14ac:dyDescent="0.25">
      <c r="K7209" s="26" t="s">
        <v>112</v>
      </c>
      <c r="L7209" s="27" t="s">
        <v>117</v>
      </c>
      <c r="M7209" s="10">
        <v>11.022927689594356</v>
      </c>
    </row>
    <row r="7210" spans="11:13" x14ac:dyDescent="0.25">
      <c r="K7210" s="26" t="s">
        <v>112</v>
      </c>
      <c r="L7210" s="27" t="s">
        <v>118</v>
      </c>
      <c r="M7210" s="10">
        <v>20.556833219842485</v>
      </c>
    </row>
    <row r="7211" spans="11:13" x14ac:dyDescent="0.25">
      <c r="K7211" s="26" t="s">
        <v>112</v>
      </c>
      <c r="L7211" s="27" t="s">
        <v>119</v>
      </c>
      <c r="M7211" s="10">
        <v>46.210720887245841</v>
      </c>
    </row>
    <row r="7212" spans="11:13" x14ac:dyDescent="0.25">
      <c r="K7212" s="26" t="s">
        <v>109</v>
      </c>
      <c r="L7212" s="27" t="s">
        <v>115</v>
      </c>
      <c r="M7212" s="10">
        <v>92.421441774491683</v>
      </c>
    </row>
    <row r="7213" spans="11:13" x14ac:dyDescent="0.25">
      <c r="K7213" s="26" t="s">
        <v>109</v>
      </c>
      <c r="L7213" s="27" t="s">
        <v>116</v>
      </c>
      <c r="M7213" s="10">
        <v>33.887861983980287</v>
      </c>
    </row>
    <row r="7214" spans="11:13" x14ac:dyDescent="0.25">
      <c r="K7214" s="26" t="s">
        <v>109</v>
      </c>
      <c r="L7214" s="27" t="s">
        <v>117</v>
      </c>
      <c r="M7214" s="10">
        <v>61.614294516327789</v>
      </c>
    </row>
    <row r="7215" spans="11:13" x14ac:dyDescent="0.25">
      <c r="K7215" s="26" t="s">
        <v>109</v>
      </c>
      <c r="L7215" s="27" t="s">
        <v>118</v>
      </c>
      <c r="M7215" s="10">
        <v>73.2687957357561</v>
      </c>
    </row>
    <row r="7216" spans="11:13" x14ac:dyDescent="0.25">
      <c r="K7216" s="26" t="s">
        <v>109</v>
      </c>
      <c r="L7216" s="27" t="s">
        <v>119</v>
      </c>
      <c r="M7216" s="10">
        <v>228.96498667423779</v>
      </c>
    </row>
    <row r="7217" spans="11:13" x14ac:dyDescent="0.25">
      <c r="K7217" s="26" t="s">
        <v>109</v>
      </c>
      <c r="L7217" s="27" t="s">
        <v>115</v>
      </c>
      <c r="M7217" s="10">
        <v>220.45855379188714</v>
      </c>
    </row>
    <row r="7218" spans="11:13" x14ac:dyDescent="0.25">
      <c r="K7218" s="26" t="s">
        <v>109</v>
      </c>
      <c r="L7218" s="27" t="s">
        <v>116</v>
      </c>
      <c r="M7218" s="10">
        <v>630.72612892106167</v>
      </c>
    </row>
    <row r="7219" spans="11:13" x14ac:dyDescent="0.25">
      <c r="K7219" s="26" t="s">
        <v>109</v>
      </c>
      <c r="L7219" s="27" t="s">
        <v>117</v>
      </c>
      <c r="M7219" s="10">
        <v>200</v>
      </c>
    </row>
    <row r="7220" spans="11:13" x14ac:dyDescent="0.25">
      <c r="K7220" s="26" t="s">
        <v>109</v>
      </c>
      <c r="L7220" s="27" t="s">
        <v>118</v>
      </c>
      <c r="M7220" s="10">
        <v>154.03573629081947</v>
      </c>
    </row>
    <row r="7221" spans="11:13" x14ac:dyDescent="0.25">
      <c r="K7221" s="26" t="s">
        <v>109</v>
      </c>
      <c r="L7221" s="27" t="s">
        <v>119</v>
      </c>
      <c r="M7221" s="10">
        <v>123.22858903265558</v>
      </c>
    </row>
    <row r="7222" spans="11:13" x14ac:dyDescent="0.25">
      <c r="K7222" s="26" t="s">
        <v>109</v>
      </c>
      <c r="L7222" s="27" t="s">
        <v>115</v>
      </c>
      <c r="M7222" s="10">
        <v>101.66358595194086</v>
      </c>
    </row>
    <row r="7223" spans="11:13" x14ac:dyDescent="0.25">
      <c r="K7223" s="26" t="s">
        <v>109</v>
      </c>
      <c r="L7223" s="27" t="s">
        <v>116</v>
      </c>
      <c r="M7223" s="10">
        <v>52.5</v>
      </c>
    </row>
    <row r="7224" spans="11:13" x14ac:dyDescent="0.25">
      <c r="K7224" s="26" t="s">
        <v>109</v>
      </c>
      <c r="L7224" s="27" t="s">
        <v>117</v>
      </c>
      <c r="M7224" s="10">
        <v>38.508934072704868</v>
      </c>
    </row>
    <row r="7225" spans="11:13" x14ac:dyDescent="0.25">
      <c r="K7225" s="26" t="s">
        <v>109</v>
      </c>
      <c r="L7225" s="27" t="s">
        <v>118</v>
      </c>
      <c r="M7225" s="10">
        <v>17.235436056532226</v>
      </c>
    </row>
    <row r="7226" spans="11:13" x14ac:dyDescent="0.25">
      <c r="K7226" s="26" t="s">
        <v>109</v>
      </c>
      <c r="L7226" s="27" t="s">
        <v>119</v>
      </c>
      <c r="M7226" s="10">
        <v>15.403573629081947</v>
      </c>
    </row>
    <row r="7227" spans="11:13" x14ac:dyDescent="0.25">
      <c r="K7227" s="26" t="s">
        <v>109</v>
      </c>
      <c r="L7227" s="27" t="s">
        <v>115</v>
      </c>
      <c r="M7227" s="10">
        <v>27.726432532347506</v>
      </c>
    </row>
    <row r="7228" spans="11:13" x14ac:dyDescent="0.25">
      <c r="K7228" s="26" t="s">
        <v>109</v>
      </c>
      <c r="L7228" s="27" t="s">
        <v>116</v>
      </c>
      <c r="M7228" s="10">
        <v>46.210720887245841</v>
      </c>
    </row>
    <row r="7229" spans="11:13" x14ac:dyDescent="0.25">
      <c r="K7229" s="26" t="s">
        <v>109</v>
      </c>
      <c r="L7229" s="27" t="s">
        <v>117</v>
      </c>
      <c r="M7229" s="10">
        <v>46.210720887245841</v>
      </c>
    </row>
    <row r="7230" spans="11:13" x14ac:dyDescent="0.25">
      <c r="K7230" s="26" t="s">
        <v>109</v>
      </c>
      <c r="L7230" s="27" t="s">
        <v>118</v>
      </c>
      <c r="M7230" s="10">
        <v>38.508934072704868</v>
      </c>
    </row>
    <row r="7231" spans="11:13" x14ac:dyDescent="0.25">
      <c r="K7231" s="26" t="s">
        <v>109</v>
      </c>
      <c r="L7231" s="27" t="s">
        <v>119</v>
      </c>
      <c r="M7231" s="10">
        <v>123.22858903265558</v>
      </c>
    </row>
    <row r="7232" spans="11:13" x14ac:dyDescent="0.25">
      <c r="K7232" s="26" t="s">
        <v>109</v>
      </c>
      <c r="L7232" s="27" t="s">
        <v>115</v>
      </c>
      <c r="M7232" s="10">
        <v>61.614294516327789</v>
      </c>
    </row>
    <row r="7233" spans="11:13" x14ac:dyDescent="0.25">
      <c r="K7233" s="26" t="s">
        <v>109</v>
      </c>
      <c r="L7233" s="27" t="s">
        <v>116</v>
      </c>
      <c r="M7233" s="10">
        <v>4.0215088805605346</v>
      </c>
    </row>
    <row r="7234" spans="11:13" x14ac:dyDescent="0.25">
      <c r="K7234" s="26" t="s">
        <v>109</v>
      </c>
      <c r="L7234" s="27" t="s">
        <v>117</v>
      </c>
      <c r="M7234" s="10">
        <v>92.421441774491683</v>
      </c>
    </row>
    <row r="7235" spans="11:13" x14ac:dyDescent="0.25">
      <c r="K7235" s="26" t="s">
        <v>109</v>
      </c>
      <c r="L7235" s="27" t="s">
        <v>118</v>
      </c>
      <c r="M7235" s="10">
        <v>92.421441774491683</v>
      </c>
    </row>
    <row r="7236" spans="11:13" x14ac:dyDescent="0.25">
      <c r="K7236" s="26" t="s">
        <v>109</v>
      </c>
      <c r="L7236" s="27" t="s">
        <v>119</v>
      </c>
      <c r="M7236" s="10">
        <v>92.421441774491683</v>
      </c>
    </row>
    <row r="7237" spans="11:13" x14ac:dyDescent="0.25">
      <c r="K7237" s="26" t="s">
        <v>109</v>
      </c>
      <c r="L7237" s="27" t="s">
        <v>115</v>
      </c>
      <c r="M7237" s="10">
        <v>77.017868145409736</v>
      </c>
    </row>
    <row r="7238" spans="11:13" x14ac:dyDescent="0.25">
      <c r="K7238" s="26" t="s">
        <v>109</v>
      </c>
      <c r="L7238" s="27" t="s">
        <v>116</v>
      </c>
      <c r="M7238" s="10">
        <v>5.9791446208112875</v>
      </c>
    </row>
    <row r="7239" spans="11:13" x14ac:dyDescent="0.25">
      <c r="K7239" s="26" t="s">
        <v>109</v>
      </c>
      <c r="L7239" s="27" t="s">
        <v>117</v>
      </c>
      <c r="M7239" s="10">
        <v>3.6080246913580249</v>
      </c>
    </row>
    <row r="7240" spans="11:13" x14ac:dyDescent="0.25">
      <c r="K7240" s="26" t="s">
        <v>109</v>
      </c>
      <c r="L7240" s="27" t="s">
        <v>118</v>
      </c>
      <c r="M7240" s="10">
        <v>158.84782378481412</v>
      </c>
    </row>
    <row r="7241" spans="11:13" x14ac:dyDescent="0.25">
      <c r="K7241" s="26" t="s">
        <v>109</v>
      </c>
      <c r="L7241" s="27" t="s">
        <v>119</v>
      </c>
      <c r="M7241" s="10">
        <v>154.03573629081947</v>
      </c>
    </row>
    <row r="7242" spans="11:13" x14ac:dyDescent="0.25">
      <c r="K7242" s="26" t="s">
        <v>109</v>
      </c>
      <c r="L7242" s="27" t="s">
        <v>115</v>
      </c>
      <c r="M7242" s="10">
        <v>154.03573629081947</v>
      </c>
    </row>
    <row r="7243" spans="11:13" x14ac:dyDescent="0.25">
      <c r="K7243" s="26" t="s">
        <v>109</v>
      </c>
      <c r="L7243" s="27" t="s">
        <v>116</v>
      </c>
      <c r="M7243" s="10">
        <v>154.03573629081947</v>
      </c>
    </row>
    <row r="7244" spans="11:13" x14ac:dyDescent="0.25">
      <c r="K7244" s="26" t="s">
        <v>109</v>
      </c>
      <c r="L7244" s="27" t="s">
        <v>117</v>
      </c>
      <c r="M7244" s="10">
        <v>42.359419675950441</v>
      </c>
    </row>
    <row r="7245" spans="11:13" x14ac:dyDescent="0.25">
      <c r="K7245" s="26" t="s">
        <v>109</v>
      </c>
      <c r="L7245" s="27" t="s">
        <v>118</v>
      </c>
      <c r="M7245" s="10">
        <v>5.8660583346912167</v>
      </c>
    </row>
    <row r="7246" spans="11:13" x14ac:dyDescent="0.25">
      <c r="K7246" s="26" t="s">
        <v>109</v>
      </c>
      <c r="L7246" s="27" t="s">
        <v>119</v>
      </c>
      <c r="M7246" s="10">
        <v>34.470872113064452</v>
      </c>
    </row>
    <row r="7247" spans="11:13" x14ac:dyDescent="0.25">
      <c r="K7247" s="26" t="s">
        <v>109</v>
      </c>
      <c r="L7247" s="27" t="s">
        <v>115</v>
      </c>
      <c r="M7247" s="10">
        <v>41.365046535677351</v>
      </c>
    </row>
    <row r="7248" spans="11:13" x14ac:dyDescent="0.25">
      <c r="K7248" s="26" t="s">
        <v>109</v>
      </c>
      <c r="L7248" s="27" t="s">
        <v>116</v>
      </c>
      <c r="M7248" s="10">
        <v>34.470872113064452</v>
      </c>
    </row>
    <row r="7249" spans="11:13" x14ac:dyDescent="0.25">
      <c r="K7249" s="26" t="s">
        <v>109</v>
      </c>
      <c r="L7249" s="27" t="s">
        <v>117</v>
      </c>
      <c r="M7249" s="10">
        <v>29.30024129610479</v>
      </c>
    </row>
    <row r="7250" spans="11:13" x14ac:dyDescent="0.25">
      <c r="K7250" s="26" t="s">
        <v>109</v>
      </c>
      <c r="L7250" s="27" t="s">
        <v>118</v>
      </c>
      <c r="M7250" s="10">
        <v>34.470872113064452</v>
      </c>
    </row>
    <row r="7251" spans="11:13" x14ac:dyDescent="0.25">
      <c r="K7251" s="26" t="s">
        <v>109</v>
      </c>
      <c r="L7251" s="27" t="s">
        <v>119</v>
      </c>
      <c r="M7251" s="10">
        <v>34.470872113064452</v>
      </c>
    </row>
    <row r="7252" spans="11:13" x14ac:dyDescent="0.25">
      <c r="K7252" s="26" t="s">
        <v>109</v>
      </c>
      <c r="L7252" s="27" t="s">
        <v>115</v>
      </c>
      <c r="M7252" s="10">
        <v>25.696041524803107</v>
      </c>
    </row>
    <row r="7253" spans="11:13" x14ac:dyDescent="0.25">
      <c r="K7253" s="26" t="s">
        <v>109</v>
      </c>
      <c r="L7253" s="27" t="s">
        <v>116</v>
      </c>
      <c r="M7253" s="10">
        <v>154.03573629081947</v>
      </c>
    </row>
    <row r="7254" spans="11:13" x14ac:dyDescent="0.25">
      <c r="K7254" s="26" t="s">
        <v>109</v>
      </c>
      <c r="L7254" s="27" t="s">
        <v>117</v>
      </c>
      <c r="M7254" s="10">
        <v>154.03573629081947</v>
      </c>
    </row>
    <row r="7255" spans="11:13" x14ac:dyDescent="0.25">
      <c r="K7255" s="26" t="s">
        <v>109</v>
      </c>
      <c r="L7255" s="27" t="s">
        <v>118</v>
      </c>
      <c r="M7255" s="10">
        <v>154.03573629081947</v>
      </c>
    </row>
    <row r="7256" spans="11:13" x14ac:dyDescent="0.25">
      <c r="K7256" s="26" t="s">
        <v>109</v>
      </c>
      <c r="L7256" s="27" t="s">
        <v>119</v>
      </c>
      <c r="M7256" s="10">
        <v>58.533525053348853</v>
      </c>
    </row>
    <row r="7257" spans="11:13" x14ac:dyDescent="0.25">
      <c r="K7257" s="26" t="s">
        <v>109</v>
      </c>
      <c r="L7257" s="27" t="s">
        <v>115</v>
      </c>
      <c r="M7257" s="10">
        <v>63.539129513925651</v>
      </c>
    </row>
    <row r="7258" spans="11:13" x14ac:dyDescent="0.25">
      <c r="K7258" s="26" t="s">
        <v>109</v>
      </c>
      <c r="L7258" s="27" t="s">
        <v>116</v>
      </c>
      <c r="M7258" s="10">
        <v>46.997812170812736</v>
      </c>
    </row>
    <row r="7259" spans="11:13" x14ac:dyDescent="0.25">
      <c r="K7259" s="26" t="s">
        <v>109</v>
      </c>
      <c r="L7259" s="27" t="s">
        <v>117</v>
      </c>
      <c r="M7259" s="10">
        <v>12.154606595899846</v>
      </c>
    </row>
    <row r="7260" spans="11:13" x14ac:dyDescent="0.25">
      <c r="K7260" s="26" t="s">
        <v>109</v>
      </c>
      <c r="L7260" s="27" t="s">
        <v>118</v>
      </c>
      <c r="M7260" s="10">
        <v>13.327684536418447</v>
      </c>
    </row>
    <row r="7261" spans="11:13" x14ac:dyDescent="0.25">
      <c r="K7261" s="26" t="s">
        <v>109</v>
      </c>
      <c r="L7261" s="27" t="s">
        <v>119</v>
      </c>
      <c r="M7261" s="10">
        <v>13.327684536418447</v>
      </c>
    </row>
    <row r="7262" spans="11:13" x14ac:dyDescent="0.25">
      <c r="K7262" s="26" t="s">
        <v>109</v>
      </c>
      <c r="L7262" s="27" t="s">
        <v>115</v>
      </c>
      <c r="M7262" s="10">
        <v>11.406224539677368</v>
      </c>
    </row>
    <row r="7263" spans="11:13" x14ac:dyDescent="0.25">
      <c r="K7263" s="26" t="s">
        <v>109</v>
      </c>
      <c r="L7263" s="27" t="s">
        <v>116</v>
      </c>
      <c r="M7263" s="10">
        <v>2.204585537918871</v>
      </c>
    </row>
    <row r="7264" spans="11:13" x14ac:dyDescent="0.25">
      <c r="K7264" s="26" t="s">
        <v>109</v>
      </c>
      <c r="L7264" s="27" t="s">
        <v>117</v>
      </c>
      <c r="M7264" s="10">
        <v>17.924853498793521</v>
      </c>
    </row>
    <row r="7265" spans="11:13" x14ac:dyDescent="0.25">
      <c r="K7265" s="26" t="s">
        <v>109</v>
      </c>
      <c r="L7265" s="27" t="s">
        <v>118</v>
      </c>
      <c r="M7265" s="10">
        <v>43.706099815157117</v>
      </c>
    </row>
    <row r="7266" spans="11:13" x14ac:dyDescent="0.25">
      <c r="K7266" s="26" t="s">
        <v>109</v>
      </c>
      <c r="L7266" s="27" t="s">
        <v>119</v>
      </c>
      <c r="M7266" s="10">
        <v>61.614294516327789</v>
      </c>
    </row>
    <row r="7267" spans="11:13" x14ac:dyDescent="0.25">
      <c r="K7267" s="26" t="s">
        <v>109</v>
      </c>
      <c r="L7267" s="27" t="s">
        <v>115</v>
      </c>
      <c r="M7267" s="10">
        <v>529.49274594938049</v>
      </c>
    </row>
    <row r="7268" spans="11:13" x14ac:dyDescent="0.25">
      <c r="K7268" s="26" t="s">
        <v>109</v>
      </c>
      <c r="L7268" s="27" t="s">
        <v>116</v>
      </c>
      <c r="M7268" s="10">
        <v>47.80811927720606</v>
      </c>
    </row>
    <row r="7269" spans="11:13" x14ac:dyDescent="0.25">
      <c r="K7269" s="26" t="s">
        <v>109</v>
      </c>
      <c r="L7269" s="27" t="s">
        <v>117</v>
      </c>
      <c r="M7269" s="10">
        <v>84.718839351900883</v>
      </c>
    </row>
    <row r="7270" spans="11:13" x14ac:dyDescent="0.25">
      <c r="K7270" s="26" t="s">
        <v>109</v>
      </c>
      <c r="L7270" s="27" t="s">
        <v>118</v>
      </c>
      <c r="M7270" s="10">
        <v>32.730086915108949</v>
      </c>
    </row>
    <row r="7271" spans="11:13" x14ac:dyDescent="0.25">
      <c r="K7271" s="26" t="s">
        <v>109</v>
      </c>
      <c r="L7271" s="27" t="s">
        <v>119</v>
      </c>
      <c r="M7271" s="10">
        <v>88.183421516754848</v>
      </c>
    </row>
    <row r="7272" spans="11:13" x14ac:dyDescent="0.25">
      <c r="K7272" s="26" t="s">
        <v>109</v>
      </c>
      <c r="L7272" s="27" t="s">
        <v>115</v>
      </c>
      <c r="M7272" s="10">
        <v>10.053772201401337</v>
      </c>
    </row>
    <row r="7273" spans="11:13" x14ac:dyDescent="0.25">
      <c r="K7273" s="26" t="s">
        <v>109</v>
      </c>
      <c r="L7273" s="27" t="s">
        <v>116</v>
      </c>
      <c r="M7273" s="10">
        <v>88.183421516754848</v>
      </c>
    </row>
    <row r="7274" spans="11:13" x14ac:dyDescent="0.25">
      <c r="K7274" s="26" t="s">
        <v>109</v>
      </c>
      <c r="L7274" s="27" t="s">
        <v>117</v>
      </c>
      <c r="M7274" s="10">
        <v>97.767638911520294</v>
      </c>
    </row>
    <row r="7275" spans="11:13" x14ac:dyDescent="0.25">
      <c r="K7275" s="26" t="s">
        <v>109</v>
      </c>
      <c r="L7275" s="27" t="s">
        <v>118</v>
      </c>
      <c r="M7275" s="10">
        <v>246.45717806531115</v>
      </c>
    </row>
    <row r="7276" spans="11:13" x14ac:dyDescent="0.25">
      <c r="K7276" s="26" t="s">
        <v>109</v>
      </c>
      <c r="L7276" s="27" t="s">
        <v>119</v>
      </c>
      <c r="M7276" s="10">
        <v>261.86075169439312</v>
      </c>
    </row>
    <row r="7277" spans="11:13" x14ac:dyDescent="0.25">
      <c r="K7277" s="26" t="s">
        <v>109</v>
      </c>
      <c r="L7277" s="27" t="s">
        <v>115</v>
      </c>
      <c r="M7277" s="10">
        <v>261.86075169439312</v>
      </c>
    </row>
    <row r="7278" spans="11:13" x14ac:dyDescent="0.25">
      <c r="K7278" s="26" t="s">
        <v>109</v>
      </c>
      <c r="L7278" s="27" t="s">
        <v>116</v>
      </c>
      <c r="M7278" s="10">
        <v>246.45717806531115</v>
      </c>
    </row>
    <row r="7279" spans="11:13" x14ac:dyDescent="0.25">
      <c r="K7279" s="26" t="s">
        <v>109</v>
      </c>
      <c r="L7279" s="27" t="s">
        <v>117</v>
      </c>
      <c r="M7279" s="10">
        <v>0</v>
      </c>
    </row>
    <row r="7280" spans="11:13" x14ac:dyDescent="0.25">
      <c r="K7280" s="26" t="s">
        <v>109</v>
      </c>
      <c r="L7280" s="27" t="s">
        <v>118</v>
      </c>
      <c r="M7280" s="10">
        <v>73.471965495995065</v>
      </c>
    </row>
    <row r="7281" spans="11:13" x14ac:dyDescent="0.25">
      <c r="K7281" s="26" t="s">
        <v>109</v>
      </c>
      <c r="L7281" s="27" t="s">
        <v>119</v>
      </c>
      <c r="M7281" s="10">
        <v>51.748527418361057</v>
      </c>
    </row>
    <row r="7282" spans="11:13" x14ac:dyDescent="0.25">
      <c r="K7282" s="26" t="s">
        <v>109</v>
      </c>
      <c r="L7282" s="27" t="s">
        <v>115</v>
      </c>
      <c r="M7282" s="10">
        <v>308.07147258163894</v>
      </c>
    </row>
    <row r="7283" spans="11:13" x14ac:dyDescent="0.25">
      <c r="K7283" s="26" t="s">
        <v>109</v>
      </c>
      <c r="L7283" s="27" t="s">
        <v>116</v>
      </c>
      <c r="M7283" s="10">
        <v>16.943930991990143</v>
      </c>
    </row>
    <row r="7284" spans="11:13" x14ac:dyDescent="0.25">
      <c r="K7284" s="26" t="s">
        <v>109</v>
      </c>
      <c r="L7284" s="27" t="s">
        <v>117</v>
      </c>
      <c r="M7284" s="10">
        <v>27.726432532347506</v>
      </c>
    </row>
    <row r="7285" spans="11:13" x14ac:dyDescent="0.25">
      <c r="K7285" s="26" t="s">
        <v>109</v>
      </c>
      <c r="L7285" s="27" t="s">
        <v>118</v>
      </c>
      <c r="M7285" s="10">
        <v>53.912507701786815</v>
      </c>
    </row>
    <row r="7286" spans="11:13" x14ac:dyDescent="0.25">
      <c r="K7286" s="26" t="s">
        <v>109</v>
      </c>
      <c r="L7286" s="27" t="s">
        <v>119</v>
      </c>
      <c r="M7286" s="10">
        <v>27.726432532347506</v>
      </c>
    </row>
    <row r="7287" spans="11:13" x14ac:dyDescent="0.25">
      <c r="K7287" s="26" t="s">
        <v>109</v>
      </c>
      <c r="L7287" s="27" t="s">
        <v>115</v>
      </c>
      <c r="M7287" s="10">
        <v>261.86075169439312</v>
      </c>
    </row>
    <row r="7288" spans="11:13" x14ac:dyDescent="0.25">
      <c r="K7288" s="26" t="s">
        <v>109</v>
      </c>
      <c r="L7288" s="27" t="s">
        <v>116</v>
      </c>
      <c r="M7288" s="10">
        <v>26.956253850893408</v>
      </c>
    </row>
    <row r="7289" spans="11:13" x14ac:dyDescent="0.25">
      <c r="K7289" s="26" t="s">
        <v>109</v>
      </c>
      <c r="L7289" s="27" t="s">
        <v>117</v>
      </c>
      <c r="M7289" s="10">
        <v>10.012322858903266</v>
      </c>
    </row>
    <row r="7290" spans="11:13" x14ac:dyDescent="0.25">
      <c r="K7290" s="26" t="s">
        <v>109</v>
      </c>
      <c r="L7290" s="27" t="s">
        <v>118</v>
      </c>
      <c r="M7290" s="10">
        <v>150</v>
      </c>
    </row>
    <row r="7291" spans="11:13" x14ac:dyDescent="0.25">
      <c r="K7291" s="26" t="s">
        <v>109</v>
      </c>
      <c r="L7291" s="27" t="s">
        <v>119</v>
      </c>
      <c r="M7291" s="10">
        <v>140.45399963247118</v>
      </c>
    </row>
    <row r="7292" spans="11:13" x14ac:dyDescent="0.25">
      <c r="K7292" s="26" t="s">
        <v>109</v>
      </c>
      <c r="L7292" s="27" t="s">
        <v>115</v>
      </c>
      <c r="M7292" s="10">
        <v>46.065663312647658</v>
      </c>
    </row>
    <row r="7293" spans="11:13" x14ac:dyDescent="0.25">
      <c r="K7293" s="26" t="s">
        <v>109</v>
      </c>
      <c r="L7293" s="27" t="s">
        <v>116</v>
      </c>
      <c r="M7293" s="10">
        <v>47.654347135444247</v>
      </c>
    </row>
    <row r="7294" spans="11:13" x14ac:dyDescent="0.25">
      <c r="K7294" s="26" t="s">
        <v>110</v>
      </c>
      <c r="L7294" s="27" t="s">
        <v>117</v>
      </c>
      <c r="M7294" s="10">
        <v>0.75520622315857711</v>
      </c>
    </row>
    <row r="7295" spans="11:13" x14ac:dyDescent="0.25">
      <c r="K7295" s="26" t="s">
        <v>109</v>
      </c>
      <c r="L7295" s="27" t="s">
        <v>118</v>
      </c>
      <c r="M7295" s="10">
        <v>61.75</v>
      </c>
    </row>
    <row r="7296" spans="11:13" x14ac:dyDescent="0.25">
      <c r="K7296" s="26" t="s">
        <v>109</v>
      </c>
      <c r="L7296" s="27" t="s">
        <v>119</v>
      </c>
      <c r="M7296" s="10">
        <v>11.022927689594356</v>
      </c>
    </row>
    <row r="7297" spans="11:13" x14ac:dyDescent="0.25">
      <c r="K7297" s="26" t="s">
        <v>109</v>
      </c>
      <c r="L7297" s="27" t="s">
        <v>115</v>
      </c>
      <c r="M7297" s="10">
        <v>34.620790667197717</v>
      </c>
    </row>
    <row r="7298" spans="11:13" x14ac:dyDescent="0.25">
      <c r="K7298" s="26" t="s">
        <v>109</v>
      </c>
      <c r="L7298" s="27" t="s">
        <v>116</v>
      </c>
      <c r="M7298" s="10">
        <v>97.767638911520294</v>
      </c>
    </row>
    <row r="7299" spans="11:13" x14ac:dyDescent="0.25">
      <c r="K7299" s="26" t="s">
        <v>109</v>
      </c>
      <c r="L7299" s="27" t="s">
        <v>117</v>
      </c>
      <c r="M7299" s="10">
        <v>150</v>
      </c>
    </row>
    <row r="7300" spans="11:13" x14ac:dyDescent="0.25">
      <c r="K7300" s="26" t="s">
        <v>109</v>
      </c>
      <c r="L7300" s="27" t="s">
        <v>118</v>
      </c>
      <c r="M7300" s="10">
        <v>150</v>
      </c>
    </row>
    <row r="7301" spans="11:13" x14ac:dyDescent="0.25">
      <c r="K7301" s="26" t="s">
        <v>109</v>
      </c>
      <c r="L7301" s="27" t="s">
        <v>119</v>
      </c>
      <c r="M7301" s="10">
        <v>5.1811036382789082</v>
      </c>
    </row>
    <row r="7302" spans="11:13" x14ac:dyDescent="0.25">
      <c r="K7302" s="26" t="s">
        <v>109</v>
      </c>
      <c r="L7302" s="27" t="s">
        <v>115</v>
      </c>
      <c r="M7302" s="10">
        <v>110.22927689594357</v>
      </c>
    </row>
    <row r="7303" spans="11:13" x14ac:dyDescent="0.25">
      <c r="K7303" s="26" t="s">
        <v>109</v>
      </c>
      <c r="L7303" s="27" t="s">
        <v>116</v>
      </c>
      <c r="M7303" s="10">
        <v>25.853154084798344</v>
      </c>
    </row>
    <row r="7304" spans="11:13" x14ac:dyDescent="0.25">
      <c r="K7304" s="26" t="s">
        <v>109</v>
      </c>
      <c r="L7304" s="27" t="s">
        <v>117</v>
      </c>
      <c r="M7304" s="10">
        <v>44.477390659747961</v>
      </c>
    </row>
    <row r="7305" spans="11:13" x14ac:dyDescent="0.25">
      <c r="K7305" s="26" t="s">
        <v>109</v>
      </c>
      <c r="L7305" s="27" t="s">
        <v>118</v>
      </c>
      <c r="M7305" s="10">
        <v>184.84288354898337</v>
      </c>
    </row>
    <row r="7306" spans="11:13" x14ac:dyDescent="0.25">
      <c r="K7306" s="26" t="s">
        <v>109</v>
      </c>
      <c r="L7306" s="27" t="s">
        <v>119</v>
      </c>
      <c r="M7306" s="10">
        <v>46.210720887245841</v>
      </c>
    </row>
    <row r="7307" spans="11:13" x14ac:dyDescent="0.25">
      <c r="K7307" s="26" t="s">
        <v>109</v>
      </c>
      <c r="L7307" s="27" t="s">
        <v>115</v>
      </c>
      <c r="M7307" s="10">
        <v>3.0807147258163896</v>
      </c>
    </row>
    <row r="7308" spans="11:13" x14ac:dyDescent="0.25">
      <c r="K7308" s="26" t="s">
        <v>109</v>
      </c>
      <c r="L7308" s="27" t="s">
        <v>116</v>
      </c>
      <c r="M7308" s="10">
        <v>48.618426383599385</v>
      </c>
    </row>
    <row r="7309" spans="11:13" x14ac:dyDescent="0.25">
      <c r="K7309" s="26" t="s">
        <v>109</v>
      </c>
      <c r="L7309" s="27" t="s">
        <v>117</v>
      </c>
      <c r="M7309" s="10">
        <v>211.79709837975219</v>
      </c>
    </row>
    <row r="7310" spans="11:13" x14ac:dyDescent="0.25">
      <c r="K7310" s="26" t="s">
        <v>109</v>
      </c>
      <c r="L7310" s="27" t="s">
        <v>118</v>
      </c>
      <c r="M7310" s="10">
        <v>89.936145336810867</v>
      </c>
    </row>
    <row r="7311" spans="11:13" x14ac:dyDescent="0.25">
      <c r="K7311" s="26" t="s">
        <v>109</v>
      </c>
      <c r="L7311" s="27" t="s">
        <v>119</v>
      </c>
      <c r="M7311" s="10">
        <v>105.89854918987609</v>
      </c>
    </row>
    <row r="7312" spans="11:13" x14ac:dyDescent="0.25">
      <c r="K7312" s="26" t="s">
        <v>109</v>
      </c>
      <c r="L7312" s="27" t="s">
        <v>115</v>
      </c>
      <c r="M7312" s="10">
        <v>31.769564756962826</v>
      </c>
    </row>
    <row r="7313" spans="11:13" x14ac:dyDescent="0.25">
      <c r="K7313" s="26" t="s">
        <v>109</v>
      </c>
      <c r="L7313" s="27" t="s">
        <v>116</v>
      </c>
      <c r="M7313" s="10">
        <v>231.05360443622922</v>
      </c>
    </row>
    <row r="7314" spans="11:13" x14ac:dyDescent="0.25">
      <c r="K7314" s="26" t="s">
        <v>109</v>
      </c>
      <c r="L7314" s="27" t="s">
        <v>117</v>
      </c>
      <c r="M7314" s="10">
        <v>256.96041524803104</v>
      </c>
    </row>
    <row r="7315" spans="11:13" x14ac:dyDescent="0.25">
      <c r="K7315" s="26" t="s">
        <v>109</v>
      </c>
      <c r="L7315" s="27" t="s">
        <v>118</v>
      </c>
      <c r="M7315" s="10">
        <v>0</v>
      </c>
    </row>
    <row r="7316" spans="11:13" x14ac:dyDescent="0.25">
      <c r="K7316" s="26" t="s">
        <v>109</v>
      </c>
      <c r="L7316" s="27" t="s">
        <v>119</v>
      </c>
      <c r="M7316" s="10">
        <v>45.792997334847563</v>
      </c>
    </row>
    <row r="7317" spans="11:13" x14ac:dyDescent="0.25">
      <c r="K7317" s="26" t="s">
        <v>109</v>
      </c>
      <c r="L7317" s="27" t="s">
        <v>115</v>
      </c>
      <c r="M7317" s="10">
        <v>91.585994669695125</v>
      </c>
    </row>
    <row r="7318" spans="11:13" x14ac:dyDescent="0.25">
      <c r="K7318" s="26" t="s">
        <v>109</v>
      </c>
      <c r="L7318" s="27" t="s">
        <v>116</v>
      </c>
      <c r="M7318" s="10">
        <v>246.45717806531115</v>
      </c>
    </row>
    <row r="7319" spans="11:13" x14ac:dyDescent="0.25">
      <c r="K7319" s="26" t="s">
        <v>109</v>
      </c>
      <c r="L7319" s="27" t="s">
        <v>117</v>
      </c>
      <c r="M7319" s="10">
        <v>231.05360443622922</v>
      </c>
    </row>
    <row r="7320" spans="11:13" x14ac:dyDescent="0.25">
      <c r="K7320" s="26" t="s">
        <v>109</v>
      </c>
      <c r="L7320" s="27" t="s">
        <v>118</v>
      </c>
      <c r="M7320" s="10">
        <v>46.210720887245841</v>
      </c>
    </row>
    <row r="7321" spans="11:13" x14ac:dyDescent="0.25">
      <c r="K7321" s="26" t="s">
        <v>109</v>
      </c>
      <c r="L7321" s="27" t="s">
        <v>119</v>
      </c>
      <c r="M7321" s="10">
        <v>3.0807147258163896</v>
      </c>
    </row>
    <row r="7322" spans="11:13" x14ac:dyDescent="0.25">
      <c r="K7322" s="26" t="s">
        <v>109</v>
      </c>
      <c r="L7322" s="27" t="s">
        <v>115</v>
      </c>
      <c r="M7322" s="10">
        <v>15.403573629081947</v>
      </c>
    </row>
    <row r="7323" spans="11:13" x14ac:dyDescent="0.25">
      <c r="K7323" s="26" t="s">
        <v>109</v>
      </c>
      <c r="L7323" s="27" t="s">
        <v>116</v>
      </c>
      <c r="M7323" s="10">
        <v>15.403573629081947</v>
      </c>
    </row>
    <row r="7324" spans="11:13" x14ac:dyDescent="0.25">
      <c r="K7324" s="26" t="s">
        <v>109</v>
      </c>
      <c r="L7324" s="27" t="s">
        <v>117</v>
      </c>
      <c r="M7324" s="10">
        <v>15.403573629081947</v>
      </c>
    </row>
    <row r="7325" spans="11:13" x14ac:dyDescent="0.25">
      <c r="K7325" s="26" t="s">
        <v>109</v>
      </c>
      <c r="L7325" s="27" t="s">
        <v>118</v>
      </c>
      <c r="M7325" s="10">
        <v>15.403573629081947</v>
      </c>
    </row>
    <row r="7326" spans="11:13" x14ac:dyDescent="0.25">
      <c r="K7326" s="26" t="s">
        <v>109</v>
      </c>
      <c r="L7326" s="27" t="s">
        <v>119</v>
      </c>
      <c r="M7326" s="10">
        <v>45.792997334847563</v>
      </c>
    </row>
    <row r="7327" spans="11:13" x14ac:dyDescent="0.25">
      <c r="K7327" s="26" t="s">
        <v>109</v>
      </c>
      <c r="L7327" s="27" t="s">
        <v>115</v>
      </c>
      <c r="M7327" s="10">
        <v>45.792997334847563</v>
      </c>
    </row>
    <row r="7328" spans="11:13" x14ac:dyDescent="0.25">
      <c r="K7328" s="26" t="s">
        <v>109</v>
      </c>
      <c r="L7328" s="27" t="s">
        <v>116</v>
      </c>
      <c r="M7328" s="10">
        <v>45.792997334847563</v>
      </c>
    </row>
    <row r="7329" spans="11:13" x14ac:dyDescent="0.25">
      <c r="K7329" s="26" t="s">
        <v>109</v>
      </c>
      <c r="L7329" s="27" t="s">
        <v>117</v>
      </c>
      <c r="M7329" s="10">
        <v>81.030710639332298</v>
      </c>
    </row>
    <row r="7330" spans="11:13" x14ac:dyDescent="0.25">
      <c r="K7330" s="26" t="s">
        <v>109</v>
      </c>
      <c r="L7330" s="27" t="s">
        <v>118</v>
      </c>
      <c r="M7330" s="10">
        <v>89.936145336810867</v>
      </c>
    </row>
    <row r="7331" spans="11:13" x14ac:dyDescent="0.25">
      <c r="K7331" s="26" t="s">
        <v>109</v>
      </c>
      <c r="L7331" s="27" t="s">
        <v>119</v>
      </c>
      <c r="M7331" s="10">
        <v>52.949274594938046</v>
      </c>
    </row>
    <row r="7332" spans="11:13" x14ac:dyDescent="0.25">
      <c r="K7332" s="26" t="s">
        <v>109</v>
      </c>
      <c r="L7332" s="27" t="s">
        <v>115</v>
      </c>
      <c r="M7332" s="10">
        <v>154.03573629081947</v>
      </c>
    </row>
    <row r="7333" spans="11:13" x14ac:dyDescent="0.25">
      <c r="K7333" s="26" t="s">
        <v>109</v>
      </c>
      <c r="L7333" s="27" t="s">
        <v>116</v>
      </c>
      <c r="M7333" s="10">
        <v>220.45855379188714</v>
      </c>
    </row>
    <row r="7334" spans="11:13" x14ac:dyDescent="0.25">
      <c r="K7334" s="26" t="s">
        <v>109</v>
      </c>
      <c r="L7334" s="27" t="s">
        <v>117</v>
      </c>
      <c r="M7334" s="10">
        <v>123.22858903265558</v>
      </c>
    </row>
    <row r="7335" spans="11:13" x14ac:dyDescent="0.25">
      <c r="K7335" s="26" t="s">
        <v>109</v>
      </c>
      <c r="L7335" s="27" t="s">
        <v>118</v>
      </c>
      <c r="M7335" s="10">
        <v>60</v>
      </c>
    </row>
    <row r="7336" spans="11:13" x14ac:dyDescent="0.25">
      <c r="K7336" s="26" t="s">
        <v>109</v>
      </c>
      <c r="L7336" s="27" t="s">
        <v>119</v>
      </c>
      <c r="M7336" s="10">
        <v>154.03573629081947</v>
      </c>
    </row>
    <row r="7337" spans="11:13" x14ac:dyDescent="0.25">
      <c r="K7337" s="26" t="s">
        <v>109</v>
      </c>
      <c r="L7337" s="27" t="s">
        <v>115</v>
      </c>
      <c r="M7337" s="10">
        <v>154.03573629081947</v>
      </c>
    </row>
    <row r="7338" spans="11:13" x14ac:dyDescent="0.25">
      <c r="K7338" s="26" t="s">
        <v>109</v>
      </c>
      <c r="L7338" s="27" t="s">
        <v>116</v>
      </c>
      <c r="M7338" s="10">
        <v>154.03573629081947</v>
      </c>
    </row>
    <row r="7339" spans="11:13" x14ac:dyDescent="0.25">
      <c r="K7339" s="26" t="s">
        <v>109</v>
      </c>
      <c r="L7339" s="27" t="s">
        <v>117</v>
      </c>
      <c r="M7339" s="10">
        <v>154.03573629081947</v>
      </c>
    </row>
    <row r="7340" spans="11:13" x14ac:dyDescent="0.25">
      <c r="K7340" s="26" t="s">
        <v>109</v>
      </c>
      <c r="L7340" s="27" t="s">
        <v>118</v>
      </c>
      <c r="M7340" s="10">
        <v>154.03573629081947</v>
      </c>
    </row>
    <row r="7341" spans="11:13" x14ac:dyDescent="0.25">
      <c r="K7341" s="26" t="s">
        <v>109</v>
      </c>
      <c r="L7341" s="27" t="s">
        <v>119</v>
      </c>
      <c r="M7341" s="10">
        <v>154.03573629081947</v>
      </c>
    </row>
    <row r="7342" spans="11:13" x14ac:dyDescent="0.25">
      <c r="K7342" s="26" t="s">
        <v>109</v>
      </c>
      <c r="L7342" s="27" t="s">
        <v>115</v>
      </c>
      <c r="M7342" s="10">
        <v>154.03573629081947</v>
      </c>
    </row>
    <row r="7343" spans="11:13" x14ac:dyDescent="0.25">
      <c r="K7343" s="26" t="s">
        <v>109</v>
      </c>
      <c r="L7343" s="27" t="s">
        <v>116</v>
      </c>
      <c r="M7343" s="10">
        <v>154.03573629081947</v>
      </c>
    </row>
    <row r="7344" spans="11:13" x14ac:dyDescent="0.25">
      <c r="K7344" s="26" t="s">
        <v>109</v>
      </c>
      <c r="L7344" s="27" t="s">
        <v>117</v>
      </c>
      <c r="M7344" s="10">
        <v>162.94606485253382</v>
      </c>
    </row>
    <row r="7345" spans="11:13" x14ac:dyDescent="0.25">
      <c r="K7345" s="26" t="s">
        <v>109</v>
      </c>
      <c r="L7345" s="27" t="s">
        <v>118</v>
      </c>
      <c r="M7345" s="10">
        <v>88.183421516754848</v>
      </c>
    </row>
    <row r="7346" spans="11:13" x14ac:dyDescent="0.25">
      <c r="K7346" s="26" t="s">
        <v>109</v>
      </c>
      <c r="L7346" s="27" t="s">
        <v>119</v>
      </c>
      <c r="M7346" s="10">
        <v>102.78416609921243</v>
      </c>
    </row>
    <row r="7347" spans="11:13" x14ac:dyDescent="0.25">
      <c r="K7347" s="26" t="s">
        <v>109</v>
      </c>
      <c r="L7347" s="27" t="s">
        <v>115</v>
      </c>
      <c r="M7347" s="10">
        <v>220.45855379188714</v>
      </c>
    </row>
    <row r="7348" spans="11:13" x14ac:dyDescent="0.25">
      <c r="K7348" s="26" t="s">
        <v>109</v>
      </c>
      <c r="L7348" s="27" t="s">
        <v>116</v>
      </c>
      <c r="M7348" s="10">
        <v>123.22858903265558</v>
      </c>
    </row>
    <row r="7349" spans="11:13" x14ac:dyDescent="0.25">
      <c r="K7349" s="26" t="s">
        <v>109</v>
      </c>
      <c r="L7349" s="27" t="s">
        <v>117</v>
      </c>
      <c r="M7349" s="10">
        <v>34.470872113064452</v>
      </c>
    </row>
    <row r="7350" spans="11:13" x14ac:dyDescent="0.25">
      <c r="K7350" s="26" t="s">
        <v>109</v>
      </c>
      <c r="L7350" s="27" t="s">
        <v>118</v>
      </c>
      <c r="M7350" s="10">
        <v>77.160493827160494</v>
      </c>
    </row>
    <row r="7351" spans="11:13" x14ac:dyDescent="0.25">
      <c r="K7351" s="26" t="s">
        <v>109</v>
      </c>
      <c r="L7351" s="27" t="s">
        <v>119</v>
      </c>
      <c r="M7351" s="10">
        <v>123.22858903265558</v>
      </c>
    </row>
    <row r="7352" spans="11:13" x14ac:dyDescent="0.25">
      <c r="K7352" s="26" t="s">
        <v>109</v>
      </c>
      <c r="L7352" s="27" t="s">
        <v>115</v>
      </c>
      <c r="M7352" s="10">
        <v>169.43930991990143</v>
      </c>
    </row>
    <row r="7353" spans="11:13" x14ac:dyDescent="0.25">
      <c r="K7353" s="26" t="s">
        <v>109</v>
      </c>
      <c r="L7353" s="27" t="s">
        <v>116</v>
      </c>
      <c r="M7353" s="10">
        <v>92.421441774491683</v>
      </c>
    </row>
    <row r="7354" spans="11:13" x14ac:dyDescent="0.25">
      <c r="K7354" s="26" t="s">
        <v>109</v>
      </c>
      <c r="L7354" s="27" t="s">
        <v>117</v>
      </c>
      <c r="M7354" s="10">
        <v>22.652345406190175</v>
      </c>
    </row>
    <row r="7355" spans="11:13" x14ac:dyDescent="0.25">
      <c r="K7355" s="26" t="s">
        <v>109</v>
      </c>
      <c r="L7355" s="27" t="s">
        <v>118</v>
      </c>
      <c r="M7355" s="10">
        <v>22.652345406190175</v>
      </c>
    </row>
    <row r="7356" spans="11:13" x14ac:dyDescent="0.25">
      <c r="K7356" s="26" t="s">
        <v>109</v>
      </c>
      <c r="L7356" s="27" t="s">
        <v>119</v>
      </c>
      <c r="M7356" s="10">
        <v>154.03573629081947</v>
      </c>
    </row>
    <row r="7357" spans="11:13" x14ac:dyDescent="0.25">
      <c r="K7357" s="26" t="s">
        <v>109</v>
      </c>
      <c r="L7357" s="27" t="s">
        <v>115</v>
      </c>
      <c r="M7357" s="10">
        <v>15.403573629081947</v>
      </c>
    </row>
    <row r="7358" spans="11:13" x14ac:dyDescent="0.25">
      <c r="K7358" s="26" t="s">
        <v>109</v>
      </c>
      <c r="L7358" s="27" t="s">
        <v>116</v>
      </c>
      <c r="M7358" s="10">
        <v>12.322858903265558</v>
      </c>
    </row>
    <row r="7359" spans="11:13" x14ac:dyDescent="0.25">
      <c r="K7359" s="26" t="s">
        <v>109</v>
      </c>
      <c r="L7359" s="27" t="s">
        <v>117</v>
      </c>
      <c r="M7359" s="10">
        <v>15.403573629081947</v>
      </c>
    </row>
    <row r="7360" spans="11:13" x14ac:dyDescent="0.25">
      <c r="K7360" s="26" t="s">
        <v>109</v>
      </c>
      <c r="L7360" s="27" t="s">
        <v>118</v>
      </c>
      <c r="M7360" s="10">
        <v>15.403573629081947</v>
      </c>
    </row>
    <row r="7361" spans="11:13" x14ac:dyDescent="0.25">
      <c r="K7361" s="26" t="s">
        <v>109</v>
      </c>
      <c r="L7361" s="27" t="s">
        <v>119</v>
      </c>
      <c r="M7361" s="10">
        <v>30.807147258163894</v>
      </c>
    </row>
    <row r="7362" spans="11:13" x14ac:dyDescent="0.25">
      <c r="K7362" s="26" t="s">
        <v>109</v>
      </c>
      <c r="L7362" s="27" t="s">
        <v>115</v>
      </c>
      <c r="M7362" s="10">
        <v>329.04045223319753</v>
      </c>
    </row>
    <row r="7363" spans="11:13" x14ac:dyDescent="0.25">
      <c r="K7363" s="26" t="s">
        <v>109</v>
      </c>
      <c r="L7363" s="27" t="s">
        <v>116</v>
      </c>
      <c r="M7363" s="10">
        <v>26.455026455026456</v>
      </c>
    </row>
    <row r="7364" spans="11:13" x14ac:dyDescent="0.25">
      <c r="K7364" s="26" t="s">
        <v>109</v>
      </c>
      <c r="L7364" s="27" t="s">
        <v>117</v>
      </c>
      <c r="M7364" s="10">
        <v>69.316081330868769</v>
      </c>
    </row>
    <row r="7365" spans="11:13" x14ac:dyDescent="0.25">
      <c r="K7365" s="26" t="s">
        <v>109</v>
      </c>
      <c r="L7365" s="27" t="s">
        <v>118</v>
      </c>
      <c r="M7365" s="10">
        <v>476.54347135444243</v>
      </c>
    </row>
    <row r="7366" spans="11:13" x14ac:dyDescent="0.25">
      <c r="K7366" s="26" t="s">
        <v>109</v>
      </c>
      <c r="L7366" s="27" t="s">
        <v>119</v>
      </c>
      <c r="M7366" s="10">
        <v>2.0751543209876546</v>
      </c>
    </row>
    <row r="7367" spans="11:13" x14ac:dyDescent="0.25">
      <c r="K7367" s="26" t="s">
        <v>109</v>
      </c>
      <c r="L7367" s="27" t="s">
        <v>115</v>
      </c>
      <c r="M7367" s="10">
        <v>110.22927689594357</v>
      </c>
    </row>
    <row r="7368" spans="11:13" x14ac:dyDescent="0.25">
      <c r="K7368" s="26" t="s">
        <v>109</v>
      </c>
      <c r="L7368" s="27" t="s">
        <v>116</v>
      </c>
      <c r="M7368" s="10">
        <v>53.912507701786815</v>
      </c>
    </row>
    <row r="7369" spans="11:13" x14ac:dyDescent="0.25">
      <c r="K7369" s="26" t="s">
        <v>109</v>
      </c>
      <c r="L7369" s="27" t="s">
        <v>117</v>
      </c>
      <c r="M7369" s="10">
        <v>46.210720887245841</v>
      </c>
    </row>
    <row r="7370" spans="11:13" x14ac:dyDescent="0.25">
      <c r="K7370" s="26" t="s">
        <v>109</v>
      </c>
      <c r="L7370" s="27" t="s">
        <v>118</v>
      </c>
      <c r="M7370" s="10">
        <v>24.127423822714682</v>
      </c>
    </row>
    <row r="7371" spans="11:13" x14ac:dyDescent="0.25">
      <c r="K7371" s="26" t="s">
        <v>109</v>
      </c>
      <c r="L7371" s="27" t="s">
        <v>119</v>
      </c>
      <c r="M7371" s="10">
        <v>32.589212970506765</v>
      </c>
    </row>
    <row r="7372" spans="11:13" x14ac:dyDescent="0.25">
      <c r="K7372" s="26" t="s">
        <v>109</v>
      </c>
      <c r="L7372" s="27" t="s">
        <v>115</v>
      </c>
      <c r="M7372" s="10">
        <v>4.6646895877464569</v>
      </c>
    </row>
    <row r="7373" spans="11:13" x14ac:dyDescent="0.25">
      <c r="K7373" s="26" t="s">
        <v>109</v>
      </c>
      <c r="L7373" s="27" t="s">
        <v>116</v>
      </c>
      <c r="M7373" s="10">
        <v>31.769564756962826</v>
      </c>
    </row>
    <row r="7374" spans="11:13" x14ac:dyDescent="0.25">
      <c r="K7374" s="26" t="s">
        <v>109</v>
      </c>
      <c r="L7374" s="27" t="s">
        <v>117</v>
      </c>
      <c r="M7374" s="10">
        <v>24.645717806531117</v>
      </c>
    </row>
    <row r="7375" spans="11:13" x14ac:dyDescent="0.25">
      <c r="K7375" s="26" t="s">
        <v>109</v>
      </c>
      <c r="L7375" s="27" t="s">
        <v>118</v>
      </c>
      <c r="M7375" s="10">
        <v>184.84288354898337</v>
      </c>
    </row>
    <row r="7376" spans="11:13" x14ac:dyDescent="0.25">
      <c r="K7376" s="26" t="s">
        <v>109</v>
      </c>
      <c r="L7376" s="27" t="s">
        <v>119</v>
      </c>
      <c r="M7376" s="10">
        <v>231.05360443622922</v>
      </c>
    </row>
    <row r="7377" spans="11:13" x14ac:dyDescent="0.25">
      <c r="K7377" s="26" t="s">
        <v>109</v>
      </c>
      <c r="L7377" s="27" t="s">
        <v>115</v>
      </c>
      <c r="M7377" s="10">
        <v>77.017868145409736</v>
      </c>
    </row>
    <row r="7378" spans="11:13" x14ac:dyDescent="0.25">
      <c r="K7378" s="26" t="s">
        <v>109</v>
      </c>
      <c r="L7378" s="27" t="s">
        <v>116</v>
      </c>
      <c r="M7378" s="10">
        <v>107.82501540357363</v>
      </c>
    </row>
    <row r="7379" spans="11:13" x14ac:dyDescent="0.25">
      <c r="K7379" s="26" t="s">
        <v>109</v>
      </c>
      <c r="L7379" s="27" t="s">
        <v>117</v>
      </c>
      <c r="M7379" s="10">
        <v>123.22858903265558</v>
      </c>
    </row>
    <row r="7380" spans="11:13" x14ac:dyDescent="0.25">
      <c r="K7380" s="26" t="s">
        <v>109</v>
      </c>
      <c r="L7380" s="27" t="s">
        <v>118</v>
      </c>
      <c r="M7380" s="10">
        <v>39.682539682539684</v>
      </c>
    </row>
    <row r="7381" spans="11:13" x14ac:dyDescent="0.25">
      <c r="K7381" s="26" t="s">
        <v>109</v>
      </c>
      <c r="L7381" s="27" t="s">
        <v>119</v>
      </c>
      <c r="M7381" s="10">
        <v>28.148606811145513</v>
      </c>
    </row>
    <row r="7382" spans="11:13" x14ac:dyDescent="0.25">
      <c r="K7382" s="26" t="s">
        <v>109</v>
      </c>
      <c r="L7382" s="27" t="s">
        <v>115</v>
      </c>
      <c r="M7382" s="10">
        <v>49.291435613062234</v>
      </c>
    </row>
    <row r="7383" spans="11:13" x14ac:dyDescent="0.25">
      <c r="K7383" s="26" t="s">
        <v>109</v>
      </c>
      <c r="L7383" s="27" t="s">
        <v>116</v>
      </c>
      <c r="M7383" s="10">
        <v>12.322858903265558</v>
      </c>
    </row>
    <row r="7384" spans="11:13" x14ac:dyDescent="0.25">
      <c r="K7384" s="26" t="s">
        <v>110</v>
      </c>
      <c r="L7384" s="27" t="s">
        <v>117</v>
      </c>
      <c r="M7384" s="10">
        <v>33.078417107583775</v>
      </c>
    </row>
    <row r="7385" spans="11:13" x14ac:dyDescent="0.25">
      <c r="K7385" s="26" t="s">
        <v>112</v>
      </c>
      <c r="L7385" s="27" t="s">
        <v>118</v>
      </c>
      <c r="M7385" s="10">
        <v>165.34391534391534</v>
      </c>
    </row>
    <row r="7386" spans="11:13" x14ac:dyDescent="0.25">
      <c r="K7386" s="26" t="s">
        <v>109</v>
      </c>
      <c r="L7386" s="27" t="s">
        <v>119</v>
      </c>
      <c r="M7386" s="10">
        <v>92.421441774491683</v>
      </c>
    </row>
    <row r="7387" spans="11:13" x14ac:dyDescent="0.25">
      <c r="K7387" s="26" t="s">
        <v>109</v>
      </c>
      <c r="L7387" s="27" t="s">
        <v>115</v>
      </c>
      <c r="M7387" s="10">
        <v>92.421441774491683</v>
      </c>
    </row>
    <row r="7388" spans="11:13" x14ac:dyDescent="0.25">
      <c r="K7388" s="26" t="s">
        <v>109</v>
      </c>
      <c r="L7388" s="27" t="s">
        <v>116</v>
      </c>
      <c r="M7388" s="10">
        <v>77.017868145409736</v>
      </c>
    </row>
    <row r="7389" spans="11:13" x14ac:dyDescent="0.25">
      <c r="K7389" s="26" t="s">
        <v>109</v>
      </c>
      <c r="L7389" s="27" t="s">
        <v>117</v>
      </c>
      <c r="M7389" s="10">
        <v>770.17868145409739</v>
      </c>
    </row>
    <row r="7390" spans="11:13" x14ac:dyDescent="0.25">
      <c r="K7390" s="26" t="s">
        <v>109</v>
      </c>
      <c r="L7390" s="27" t="s">
        <v>118</v>
      </c>
      <c r="M7390" s="10">
        <v>100</v>
      </c>
    </row>
    <row r="7391" spans="11:13" x14ac:dyDescent="0.25">
      <c r="K7391" s="26" t="s">
        <v>109</v>
      </c>
      <c r="L7391" s="27" t="s">
        <v>119</v>
      </c>
      <c r="M7391" s="10">
        <v>0.1</v>
      </c>
    </row>
    <row r="7392" spans="11:13" x14ac:dyDescent="0.25">
      <c r="K7392" s="26" t="s">
        <v>109</v>
      </c>
      <c r="L7392" s="27" t="s">
        <v>115</v>
      </c>
      <c r="M7392" s="10">
        <v>0.1</v>
      </c>
    </row>
    <row r="7393" spans="11:13" x14ac:dyDescent="0.25">
      <c r="K7393" s="26" t="s">
        <v>109</v>
      </c>
      <c r="L7393" s="27" t="s">
        <v>116</v>
      </c>
      <c r="M7393" s="10">
        <v>250</v>
      </c>
    </row>
    <row r="7394" spans="11:13" x14ac:dyDescent="0.25">
      <c r="K7394" s="26" t="s">
        <v>109</v>
      </c>
      <c r="L7394" s="27" t="s">
        <v>117</v>
      </c>
      <c r="M7394" s="10">
        <v>200</v>
      </c>
    </row>
    <row r="7395" spans="11:13" x14ac:dyDescent="0.25">
      <c r="K7395" s="26" t="s">
        <v>109</v>
      </c>
      <c r="L7395" s="27" t="s">
        <v>118</v>
      </c>
      <c r="M7395" s="10">
        <v>100</v>
      </c>
    </row>
    <row r="7396" spans="11:13" x14ac:dyDescent="0.25">
      <c r="K7396" s="26" t="s">
        <v>109</v>
      </c>
      <c r="L7396" s="27" t="s">
        <v>119</v>
      </c>
      <c r="M7396" s="10">
        <v>6.1614294516327786E-2</v>
      </c>
    </row>
    <row r="7397" spans="11:13" x14ac:dyDescent="0.25">
      <c r="K7397" s="26" t="s">
        <v>109</v>
      </c>
      <c r="L7397" s="27" t="s">
        <v>115</v>
      </c>
      <c r="M7397" s="10">
        <v>137.37899200454268</v>
      </c>
    </row>
    <row r="7398" spans="11:13" x14ac:dyDescent="0.25">
      <c r="K7398" s="26" t="s">
        <v>109</v>
      </c>
      <c r="L7398" s="27" t="s">
        <v>116</v>
      </c>
      <c r="M7398" s="10">
        <v>38.508934072704868</v>
      </c>
    </row>
    <row r="7399" spans="11:13" x14ac:dyDescent="0.25">
      <c r="K7399" s="26" t="s">
        <v>109</v>
      </c>
      <c r="L7399" s="27" t="s">
        <v>117</v>
      </c>
      <c r="M7399" s="10">
        <v>385.08934072704869</v>
      </c>
    </row>
    <row r="7400" spans="11:13" x14ac:dyDescent="0.25">
      <c r="K7400" s="26" t="s">
        <v>109</v>
      </c>
      <c r="L7400" s="27" t="s">
        <v>118</v>
      </c>
      <c r="M7400" s="10">
        <v>184.65699853348542</v>
      </c>
    </row>
    <row r="7401" spans="11:13" x14ac:dyDescent="0.25">
      <c r="K7401" s="26" t="s">
        <v>109</v>
      </c>
      <c r="L7401" s="27" t="s">
        <v>119</v>
      </c>
      <c r="M7401" s="10">
        <v>493.56067834979632</v>
      </c>
    </row>
    <row r="7402" spans="11:13" x14ac:dyDescent="0.25">
      <c r="K7402" s="26" t="s">
        <v>109</v>
      </c>
      <c r="L7402" s="27" t="s">
        <v>115</v>
      </c>
      <c r="M7402" s="10">
        <v>51.706308169596689</v>
      </c>
    </row>
    <row r="7403" spans="11:13" x14ac:dyDescent="0.25">
      <c r="K7403" s="26" t="s">
        <v>109</v>
      </c>
      <c r="L7403" s="27" t="s">
        <v>116</v>
      </c>
      <c r="M7403" s="10">
        <v>244.83553791887127</v>
      </c>
    </row>
    <row r="7404" spans="11:13" x14ac:dyDescent="0.25">
      <c r="K7404" s="26" t="s">
        <v>109</v>
      </c>
      <c r="L7404" s="27" t="s">
        <v>117</v>
      </c>
      <c r="M7404" s="10">
        <v>47.654347135444247</v>
      </c>
    </row>
    <row r="7405" spans="11:13" x14ac:dyDescent="0.25">
      <c r="K7405" s="26" t="s">
        <v>109</v>
      </c>
      <c r="L7405" s="27" t="s">
        <v>118</v>
      </c>
      <c r="M7405" s="10">
        <v>100</v>
      </c>
    </row>
    <row r="7406" spans="11:13" x14ac:dyDescent="0.25">
      <c r="K7406" s="26" t="s">
        <v>109</v>
      </c>
      <c r="L7406" s="27" t="s">
        <v>119</v>
      </c>
      <c r="M7406" s="10">
        <v>88.183421516754848</v>
      </c>
    </row>
    <row r="7407" spans="11:13" x14ac:dyDescent="0.25">
      <c r="K7407" s="26" t="s">
        <v>110</v>
      </c>
      <c r="L7407" s="27" t="s">
        <v>115</v>
      </c>
      <c r="M7407" s="10">
        <v>110.22927689594357</v>
      </c>
    </row>
    <row r="7408" spans="11:13" x14ac:dyDescent="0.25">
      <c r="K7408" s="26" t="s">
        <v>109</v>
      </c>
      <c r="L7408" s="27" t="s">
        <v>116</v>
      </c>
      <c r="M7408" s="10">
        <v>9.7767638911520294</v>
      </c>
    </row>
    <row r="7409" spans="11:13" x14ac:dyDescent="0.25">
      <c r="K7409" s="26" t="s">
        <v>109</v>
      </c>
      <c r="L7409" s="27" t="s">
        <v>117</v>
      </c>
      <c r="M7409" s="10">
        <v>105.89854918987609</v>
      </c>
    </row>
    <row r="7410" spans="11:13" x14ac:dyDescent="0.25">
      <c r="K7410" s="26" t="s">
        <v>109</v>
      </c>
      <c r="L7410" s="27" t="s">
        <v>118</v>
      </c>
      <c r="M7410" s="10">
        <v>783.47372134038801</v>
      </c>
    </row>
    <row r="7411" spans="11:13" x14ac:dyDescent="0.25">
      <c r="K7411" s="26" t="s">
        <v>109</v>
      </c>
      <c r="L7411" s="27" t="s">
        <v>119</v>
      </c>
      <c r="M7411" s="10">
        <v>26.071370376405412</v>
      </c>
    </row>
    <row r="7412" spans="11:13" x14ac:dyDescent="0.25">
      <c r="K7412" s="26" t="s">
        <v>109</v>
      </c>
      <c r="L7412" s="27" t="s">
        <v>115</v>
      </c>
      <c r="M7412" s="10">
        <v>31.023784901758013</v>
      </c>
    </row>
    <row r="7413" spans="11:13" x14ac:dyDescent="0.25">
      <c r="K7413" s="26" t="s">
        <v>109</v>
      </c>
      <c r="L7413" s="27" t="s">
        <v>116</v>
      </c>
      <c r="M7413" s="10">
        <v>41.365046535677351</v>
      </c>
    </row>
    <row r="7414" spans="11:13" x14ac:dyDescent="0.25">
      <c r="K7414" s="26" t="s">
        <v>109</v>
      </c>
      <c r="L7414" s="27" t="s">
        <v>117</v>
      </c>
      <c r="M7414" s="10">
        <v>41.365046535677351</v>
      </c>
    </row>
    <row r="7415" spans="11:13" x14ac:dyDescent="0.25">
      <c r="K7415" s="26" t="s">
        <v>109</v>
      </c>
      <c r="L7415" s="27" t="s">
        <v>118</v>
      </c>
      <c r="M7415" s="10">
        <v>62.047569803516026</v>
      </c>
    </row>
    <row r="7416" spans="11:13" x14ac:dyDescent="0.25">
      <c r="K7416" s="26" t="s">
        <v>109</v>
      </c>
      <c r="L7416" s="27" t="s">
        <v>119</v>
      </c>
      <c r="M7416" s="10">
        <v>33.781454670803171</v>
      </c>
    </row>
    <row r="7417" spans="11:13" x14ac:dyDescent="0.25">
      <c r="K7417" s="26" t="s">
        <v>109</v>
      </c>
      <c r="L7417" s="27" t="s">
        <v>115</v>
      </c>
      <c r="M7417" s="10">
        <v>51.706308169596689</v>
      </c>
    </row>
    <row r="7418" spans="11:13" x14ac:dyDescent="0.25">
      <c r="K7418" s="26" t="s">
        <v>109</v>
      </c>
      <c r="L7418" s="27" t="s">
        <v>116</v>
      </c>
      <c r="M7418" s="10">
        <v>62.047569803516026</v>
      </c>
    </row>
    <row r="7419" spans="11:13" x14ac:dyDescent="0.25">
      <c r="K7419" s="26" t="s">
        <v>109</v>
      </c>
      <c r="L7419" s="27" t="s">
        <v>117</v>
      </c>
      <c r="M7419" s="10">
        <v>100</v>
      </c>
    </row>
    <row r="7420" spans="11:13" x14ac:dyDescent="0.25">
      <c r="K7420" s="26" t="s">
        <v>109</v>
      </c>
      <c r="L7420" s="27" t="s">
        <v>118</v>
      </c>
      <c r="M7420" s="10">
        <v>105.89854918987609</v>
      </c>
    </row>
    <row r="7421" spans="11:13" x14ac:dyDescent="0.25">
      <c r="K7421" s="26" t="s">
        <v>109</v>
      </c>
      <c r="L7421" s="27" t="s">
        <v>119</v>
      </c>
      <c r="M7421" s="10">
        <v>264.74637297469025</v>
      </c>
    </row>
    <row r="7422" spans="11:13" x14ac:dyDescent="0.25">
      <c r="K7422" s="26" t="s">
        <v>109</v>
      </c>
      <c r="L7422" s="27" t="s">
        <v>115</v>
      </c>
      <c r="M7422" s="10">
        <v>51.706308169596689</v>
      </c>
    </row>
    <row r="7423" spans="11:13" x14ac:dyDescent="0.25">
      <c r="K7423" s="26" t="s">
        <v>109</v>
      </c>
      <c r="L7423" s="27" t="s">
        <v>116</v>
      </c>
      <c r="M7423" s="10">
        <v>34.470872113064452</v>
      </c>
    </row>
    <row r="7424" spans="11:13" x14ac:dyDescent="0.25">
      <c r="K7424" s="26" t="s">
        <v>109</v>
      </c>
      <c r="L7424" s="27" t="s">
        <v>117</v>
      </c>
      <c r="M7424" s="10">
        <v>160</v>
      </c>
    </row>
    <row r="7425" spans="11:13" x14ac:dyDescent="0.25">
      <c r="K7425" s="26" t="s">
        <v>109</v>
      </c>
      <c r="L7425" s="27" t="s">
        <v>118</v>
      </c>
      <c r="M7425" s="10">
        <v>158.73015873015873</v>
      </c>
    </row>
    <row r="7426" spans="11:13" x14ac:dyDescent="0.25">
      <c r="K7426" s="26" t="s">
        <v>109</v>
      </c>
      <c r="L7426" s="27" t="s">
        <v>119</v>
      </c>
      <c r="M7426" s="10">
        <v>61.614294516327789</v>
      </c>
    </row>
    <row r="7427" spans="11:13" x14ac:dyDescent="0.25">
      <c r="K7427" s="26" t="s">
        <v>113</v>
      </c>
      <c r="L7427" s="27" t="s">
        <v>115</v>
      </c>
      <c r="M7427" s="10">
        <v>17.079999999999998</v>
      </c>
    </row>
    <row r="7428" spans="11:13" x14ac:dyDescent="0.25">
      <c r="K7428" s="26" t="s">
        <v>109</v>
      </c>
      <c r="L7428" s="27" t="s">
        <v>116</v>
      </c>
      <c r="M7428" s="10">
        <v>26.474637297469023</v>
      </c>
    </row>
    <row r="7429" spans="11:13" x14ac:dyDescent="0.25">
      <c r="K7429" s="26" t="s">
        <v>110</v>
      </c>
      <c r="L7429" s="27" t="s">
        <v>117</v>
      </c>
      <c r="M7429" s="10">
        <v>183.17198933939025</v>
      </c>
    </row>
    <row r="7430" spans="11:13" x14ac:dyDescent="0.25">
      <c r="K7430" s="26" t="s">
        <v>113</v>
      </c>
      <c r="L7430" s="27" t="s">
        <v>118</v>
      </c>
      <c r="M7430" s="10">
        <v>11.906179307060365</v>
      </c>
    </row>
    <row r="7431" spans="11:13" x14ac:dyDescent="0.25">
      <c r="K7431" s="26" t="s">
        <v>109</v>
      </c>
      <c r="L7431" s="27" t="s">
        <v>119</v>
      </c>
      <c r="M7431" s="10">
        <v>154.03573629081947</v>
      </c>
    </row>
    <row r="7432" spans="11:13" x14ac:dyDescent="0.25">
      <c r="K7432" s="26" t="s">
        <v>109</v>
      </c>
      <c r="L7432" s="27" t="s">
        <v>115</v>
      </c>
      <c r="M7432" s="10">
        <v>10.341261633919338</v>
      </c>
    </row>
    <row r="7433" spans="11:13" x14ac:dyDescent="0.25">
      <c r="K7433" s="26" t="s">
        <v>109</v>
      </c>
      <c r="L7433" s="27" t="s">
        <v>116</v>
      </c>
      <c r="M7433" s="10">
        <v>51.392083049606214</v>
      </c>
    </row>
    <row r="7434" spans="11:13" x14ac:dyDescent="0.25">
      <c r="K7434" s="26" t="s">
        <v>112</v>
      </c>
      <c r="L7434" s="27" t="s">
        <v>117</v>
      </c>
      <c r="M7434" s="10">
        <v>21.179709837975221</v>
      </c>
    </row>
    <row r="7435" spans="11:13" x14ac:dyDescent="0.25">
      <c r="K7435" s="26" t="s">
        <v>112</v>
      </c>
      <c r="L7435" s="27" t="s">
        <v>118</v>
      </c>
      <c r="M7435" s="10">
        <v>66.137566137566139</v>
      </c>
    </row>
    <row r="7436" spans="11:13" x14ac:dyDescent="0.25">
      <c r="K7436" s="26" t="s">
        <v>109</v>
      </c>
      <c r="L7436" s="27" t="s">
        <v>119</v>
      </c>
      <c r="M7436" s="10">
        <v>661.37566137566137</v>
      </c>
    </row>
    <row r="7437" spans="11:13" x14ac:dyDescent="0.25">
      <c r="K7437" s="26" t="s">
        <v>109</v>
      </c>
      <c r="L7437" s="27" t="s">
        <v>115</v>
      </c>
      <c r="M7437" s="10">
        <v>38.508934072704868</v>
      </c>
    </row>
    <row r="7438" spans="11:13" x14ac:dyDescent="0.25">
      <c r="K7438" s="26" t="s">
        <v>112</v>
      </c>
      <c r="L7438" s="27" t="s">
        <v>116</v>
      </c>
      <c r="M7438" s="10">
        <v>18.484288354898336</v>
      </c>
    </row>
    <row r="7439" spans="11:13" x14ac:dyDescent="0.25">
      <c r="K7439" s="26" t="s">
        <v>111</v>
      </c>
      <c r="L7439" s="27" t="s">
        <v>117</v>
      </c>
      <c r="M7439" s="10">
        <v>23.105360443622921</v>
      </c>
    </row>
    <row r="7440" spans="11:13" x14ac:dyDescent="0.25">
      <c r="K7440" s="26" t="s">
        <v>109</v>
      </c>
      <c r="L7440" s="27" t="s">
        <v>118</v>
      </c>
      <c r="M7440" s="10">
        <v>500</v>
      </c>
    </row>
    <row r="7441" spans="11:13" x14ac:dyDescent="0.25">
      <c r="K7441" s="26" t="s">
        <v>110</v>
      </c>
      <c r="L7441" s="27" t="s">
        <v>119</v>
      </c>
      <c r="M7441" s="10">
        <v>27.475798400908538</v>
      </c>
    </row>
    <row r="7442" spans="11:13" x14ac:dyDescent="0.25">
      <c r="K7442" s="26" t="s">
        <v>111</v>
      </c>
      <c r="L7442" s="27" t="s">
        <v>115</v>
      </c>
      <c r="M7442" s="10">
        <v>107.82501540357363</v>
      </c>
    </row>
    <row r="7443" spans="11:13" x14ac:dyDescent="0.25">
      <c r="K7443" s="26" t="s">
        <v>112</v>
      </c>
      <c r="L7443" s="27" t="s">
        <v>116</v>
      </c>
      <c r="M7443" s="10">
        <v>15.4320987654321</v>
      </c>
    </row>
    <row r="7444" spans="11:13" x14ac:dyDescent="0.25">
      <c r="K7444" s="26" t="s">
        <v>109</v>
      </c>
      <c r="L7444" s="27" t="s">
        <v>117</v>
      </c>
      <c r="M7444" s="10">
        <v>66.137566137566139</v>
      </c>
    </row>
    <row r="7445" spans="11:13" x14ac:dyDescent="0.25">
      <c r="K7445" s="26" t="s">
        <v>109</v>
      </c>
      <c r="L7445" s="27" t="s">
        <v>118</v>
      </c>
      <c r="M7445" s="10">
        <v>66.137566137566139</v>
      </c>
    </row>
    <row r="7446" spans="11:13" x14ac:dyDescent="0.25">
      <c r="K7446" s="26" t="s">
        <v>109</v>
      </c>
      <c r="L7446" s="27" t="s">
        <v>119</v>
      </c>
      <c r="M7446" s="10">
        <v>220.45855379188714</v>
      </c>
    </row>
    <row r="7447" spans="11:13" x14ac:dyDescent="0.25">
      <c r="K7447" s="26" t="s">
        <v>109</v>
      </c>
      <c r="L7447" s="27" t="s">
        <v>115</v>
      </c>
      <c r="M7447" s="10">
        <v>52.949274594938046</v>
      </c>
    </row>
    <row r="7448" spans="11:13" x14ac:dyDescent="0.25">
      <c r="K7448" s="26" t="s">
        <v>112</v>
      </c>
      <c r="L7448" s="27" t="s">
        <v>116</v>
      </c>
      <c r="M7448" s="10">
        <v>104.31</v>
      </c>
    </row>
    <row r="7449" spans="11:13" x14ac:dyDescent="0.25">
      <c r="K7449" s="26" t="s">
        <v>111</v>
      </c>
      <c r="L7449" s="27" t="s">
        <v>117</v>
      </c>
      <c r="M7449" s="10">
        <v>176.3668430335097</v>
      </c>
    </row>
    <row r="7450" spans="11:13" x14ac:dyDescent="0.25">
      <c r="K7450" s="26" t="s">
        <v>109</v>
      </c>
      <c r="L7450" s="27" t="s">
        <v>118</v>
      </c>
      <c r="M7450" s="10">
        <v>66.137566137566139</v>
      </c>
    </row>
    <row r="7451" spans="11:13" x14ac:dyDescent="0.25">
      <c r="K7451" s="26" t="s">
        <v>109</v>
      </c>
      <c r="L7451" s="27" t="s">
        <v>119</v>
      </c>
      <c r="M7451" s="10">
        <v>4.0215088805605346</v>
      </c>
    </row>
    <row r="7452" spans="11:13" x14ac:dyDescent="0.25">
      <c r="K7452" s="26" t="s">
        <v>109</v>
      </c>
      <c r="L7452" s="27" t="s">
        <v>115</v>
      </c>
      <c r="M7452" s="10">
        <v>49.291435613062234</v>
      </c>
    </row>
    <row r="7453" spans="11:13" x14ac:dyDescent="0.25">
      <c r="K7453" s="26" t="s">
        <v>109</v>
      </c>
      <c r="L7453" s="27" t="s">
        <v>116</v>
      </c>
      <c r="M7453" s="10">
        <v>24.645717806531117</v>
      </c>
    </row>
    <row r="7454" spans="11:13" x14ac:dyDescent="0.25">
      <c r="K7454" s="26" t="s">
        <v>109</v>
      </c>
      <c r="L7454" s="27" t="s">
        <v>117</v>
      </c>
      <c r="M7454" s="10">
        <v>110.22927689594357</v>
      </c>
    </row>
    <row r="7455" spans="11:13" x14ac:dyDescent="0.25">
      <c r="K7455" s="26" t="s">
        <v>109</v>
      </c>
      <c r="L7455" s="27" t="s">
        <v>118</v>
      </c>
      <c r="M7455" s="10">
        <v>49.291435613062234</v>
      </c>
    </row>
    <row r="7456" spans="11:13" x14ac:dyDescent="0.25">
      <c r="K7456" s="26" t="s">
        <v>109</v>
      </c>
      <c r="L7456" s="27" t="s">
        <v>119</v>
      </c>
      <c r="M7456" s="10">
        <v>9.1585994669695108E-6</v>
      </c>
    </row>
    <row r="7457" spans="11:13" x14ac:dyDescent="0.25">
      <c r="K7457" s="26" t="s">
        <v>109</v>
      </c>
      <c r="L7457" s="27" t="s">
        <v>115</v>
      </c>
      <c r="M7457" s="10">
        <v>6.2278476375392682</v>
      </c>
    </row>
    <row r="7458" spans="11:13" x14ac:dyDescent="0.25">
      <c r="K7458" s="26" t="s">
        <v>109</v>
      </c>
      <c r="L7458" s="27" t="s">
        <v>116</v>
      </c>
      <c r="M7458" s="10">
        <v>88.183421516754848</v>
      </c>
    </row>
    <row r="7459" spans="11:13" x14ac:dyDescent="0.25">
      <c r="K7459" s="26" t="s">
        <v>109</v>
      </c>
      <c r="L7459" s="27" t="s">
        <v>117</v>
      </c>
      <c r="M7459" s="10">
        <v>50.325000000000003</v>
      </c>
    </row>
    <row r="7460" spans="11:13" x14ac:dyDescent="0.25">
      <c r="K7460" s="26" t="s">
        <v>109</v>
      </c>
      <c r="L7460" s="27" t="s">
        <v>118</v>
      </c>
      <c r="M7460" s="10">
        <v>924.21441774491689</v>
      </c>
    </row>
    <row r="7461" spans="11:13" x14ac:dyDescent="0.25">
      <c r="K7461" s="26" t="s">
        <v>109</v>
      </c>
      <c r="L7461" s="27" t="s">
        <v>119</v>
      </c>
      <c r="M7461" s="10">
        <v>66.137566137566139</v>
      </c>
    </row>
    <row r="7462" spans="11:13" x14ac:dyDescent="0.25">
      <c r="K7462" s="26" t="s">
        <v>109</v>
      </c>
      <c r="L7462" s="27" t="s">
        <v>115</v>
      </c>
      <c r="M7462" s="10">
        <v>162.0614212786646</v>
      </c>
    </row>
    <row r="7463" spans="11:13" x14ac:dyDescent="0.25">
      <c r="K7463" s="26" t="s">
        <v>109</v>
      </c>
      <c r="L7463" s="27" t="s">
        <v>116</v>
      </c>
      <c r="M7463" s="10">
        <v>9.1585994669695116E-7</v>
      </c>
    </row>
    <row r="7464" spans="11:13" x14ac:dyDescent="0.25">
      <c r="K7464" s="26" t="s">
        <v>109</v>
      </c>
      <c r="L7464" s="27" t="s">
        <v>117</v>
      </c>
      <c r="M7464" s="10">
        <v>137.66811394683893</v>
      </c>
    </row>
    <row r="7465" spans="11:13" x14ac:dyDescent="0.25">
      <c r="K7465" s="26" t="s">
        <v>109</v>
      </c>
      <c r="L7465" s="27" t="s">
        <v>118</v>
      </c>
      <c r="M7465" s="10">
        <v>123.22858903265558</v>
      </c>
    </row>
    <row r="7466" spans="11:13" x14ac:dyDescent="0.25">
      <c r="K7466" s="26" t="s">
        <v>109</v>
      </c>
      <c r="L7466" s="27" t="s">
        <v>119</v>
      </c>
      <c r="M7466" s="10">
        <v>79.423911892407062</v>
      </c>
    </row>
    <row r="7467" spans="11:13" x14ac:dyDescent="0.25">
      <c r="K7467" s="26" t="s">
        <v>109</v>
      </c>
      <c r="L7467" s="27" t="s">
        <v>115</v>
      </c>
      <c r="M7467" s="10">
        <v>88.183421516754848</v>
      </c>
    </row>
    <row r="7468" spans="11:13" x14ac:dyDescent="0.25">
      <c r="K7468" s="26" t="s">
        <v>109</v>
      </c>
      <c r="L7468" s="27" t="s">
        <v>116</v>
      </c>
      <c r="M7468" s="10">
        <v>84.411583487369072</v>
      </c>
    </row>
    <row r="7469" spans="11:13" x14ac:dyDescent="0.25">
      <c r="K7469" s="26" t="s">
        <v>109</v>
      </c>
      <c r="L7469" s="27" t="s">
        <v>117</v>
      </c>
      <c r="M7469" s="10">
        <v>220.45855379188714</v>
      </c>
    </row>
    <row r="7470" spans="11:13" x14ac:dyDescent="0.25">
      <c r="K7470" s="26" t="s">
        <v>109</v>
      </c>
      <c r="L7470" s="27" t="s">
        <v>118</v>
      </c>
      <c r="M7470" s="10">
        <v>369.68576709796673</v>
      </c>
    </row>
    <row r="7471" spans="11:13" x14ac:dyDescent="0.25">
      <c r="K7471" s="26" t="s">
        <v>109</v>
      </c>
      <c r="L7471" s="27" t="s">
        <v>119</v>
      </c>
      <c r="M7471" s="10">
        <v>41.213697601362803</v>
      </c>
    </row>
    <row r="7472" spans="11:13" x14ac:dyDescent="0.25">
      <c r="K7472" s="26" t="s">
        <v>112</v>
      </c>
      <c r="L7472" s="27" t="s">
        <v>115</v>
      </c>
      <c r="M7472" s="10">
        <v>60.362173038229372</v>
      </c>
    </row>
    <row r="7473" spans="11:13" x14ac:dyDescent="0.25">
      <c r="K7473" s="26" t="s">
        <v>109</v>
      </c>
      <c r="L7473" s="27" t="s">
        <v>116</v>
      </c>
      <c r="M7473" s="10">
        <v>48.500881834215171</v>
      </c>
    </row>
    <row r="7474" spans="11:13" x14ac:dyDescent="0.25">
      <c r="K7474" s="26" t="s">
        <v>110</v>
      </c>
      <c r="L7474" s="27" t="s">
        <v>117</v>
      </c>
      <c r="M7474" s="10">
        <v>158.84782378481412</v>
      </c>
    </row>
    <row r="7475" spans="11:13" x14ac:dyDescent="0.25">
      <c r="K7475" s="26" t="s">
        <v>109</v>
      </c>
      <c r="L7475" s="27" t="s">
        <v>118</v>
      </c>
      <c r="M7475" s="10">
        <v>264.74637297469025</v>
      </c>
    </row>
    <row r="7476" spans="11:13" x14ac:dyDescent="0.25">
      <c r="K7476" s="26" t="s">
        <v>109</v>
      </c>
      <c r="L7476" s="27" t="s">
        <v>119</v>
      </c>
      <c r="M7476" s="10">
        <v>154.03573629081947</v>
      </c>
    </row>
    <row r="7477" spans="11:13" x14ac:dyDescent="0.25">
      <c r="K7477" s="26" t="s">
        <v>109</v>
      </c>
      <c r="L7477" s="27" t="s">
        <v>115</v>
      </c>
      <c r="M7477" s="10">
        <v>112.4748490945674</v>
      </c>
    </row>
    <row r="7478" spans="11:13" x14ac:dyDescent="0.25">
      <c r="K7478" s="26" t="s">
        <v>109</v>
      </c>
      <c r="L7478" s="27" t="s">
        <v>116</v>
      </c>
      <c r="M7478" s="10">
        <v>100</v>
      </c>
    </row>
    <row r="7479" spans="11:13" x14ac:dyDescent="0.25">
      <c r="K7479" s="26" t="s">
        <v>109</v>
      </c>
      <c r="L7479" s="27" t="s">
        <v>117</v>
      </c>
      <c r="M7479" s="10">
        <v>98.712135669959252</v>
      </c>
    </row>
    <row r="7480" spans="11:13" x14ac:dyDescent="0.25">
      <c r="K7480" s="26" t="s">
        <v>109</v>
      </c>
      <c r="L7480" s="27" t="s">
        <v>118</v>
      </c>
      <c r="M7480" s="10">
        <v>264.55026455026456</v>
      </c>
    </row>
    <row r="7481" spans="11:13" x14ac:dyDescent="0.25">
      <c r="K7481" s="26" t="s">
        <v>109</v>
      </c>
      <c r="L7481" s="27" t="s">
        <v>119</v>
      </c>
      <c r="M7481" s="10">
        <v>77.160493827160494</v>
      </c>
    </row>
    <row r="7482" spans="11:13" x14ac:dyDescent="0.25">
      <c r="K7482" s="26" t="s">
        <v>109</v>
      </c>
      <c r="L7482" s="27" t="s">
        <v>115</v>
      </c>
      <c r="M7482" s="10">
        <v>103.41261633919338</v>
      </c>
    </row>
    <row r="7483" spans="11:13" x14ac:dyDescent="0.25">
      <c r="K7483" s="26" t="s">
        <v>109</v>
      </c>
      <c r="L7483" s="27" t="s">
        <v>116</v>
      </c>
      <c r="M7483" s="10">
        <v>103.41261633919338</v>
      </c>
    </row>
    <row r="7484" spans="11:13" x14ac:dyDescent="0.25">
      <c r="K7484" s="26" t="s">
        <v>109</v>
      </c>
      <c r="L7484" s="27" t="s">
        <v>117</v>
      </c>
      <c r="M7484" s="10">
        <v>25.696041524803107</v>
      </c>
    </row>
    <row r="7485" spans="11:13" x14ac:dyDescent="0.25">
      <c r="K7485" s="26" t="s">
        <v>109</v>
      </c>
      <c r="L7485" s="27" t="s">
        <v>118</v>
      </c>
      <c r="M7485" s="10">
        <v>2.5696041524803106</v>
      </c>
    </row>
    <row r="7486" spans="11:13" x14ac:dyDescent="0.25">
      <c r="K7486" s="26" t="s">
        <v>109</v>
      </c>
      <c r="L7486" s="27" t="s">
        <v>119</v>
      </c>
      <c r="M7486" s="10">
        <v>33.06878306878307</v>
      </c>
    </row>
    <row r="7487" spans="11:13" x14ac:dyDescent="0.25">
      <c r="K7487" s="26" t="s">
        <v>109</v>
      </c>
      <c r="L7487" s="27" t="s">
        <v>115</v>
      </c>
      <c r="M7487" s="10">
        <v>344.70872113064462</v>
      </c>
    </row>
    <row r="7488" spans="11:13" x14ac:dyDescent="0.25">
      <c r="K7488" s="26" t="s">
        <v>109</v>
      </c>
      <c r="L7488" s="27" t="s">
        <v>116</v>
      </c>
      <c r="M7488" s="10">
        <v>22.045855379188712</v>
      </c>
    </row>
    <row r="7489" spans="11:13" x14ac:dyDescent="0.25">
      <c r="K7489" s="26" t="s">
        <v>109</v>
      </c>
      <c r="L7489" s="27" t="s">
        <v>117</v>
      </c>
      <c r="M7489" s="10">
        <v>47.654347135444247</v>
      </c>
    </row>
    <row r="7490" spans="11:13" x14ac:dyDescent="0.25">
      <c r="K7490" s="26" t="s">
        <v>109</v>
      </c>
      <c r="L7490" s="27" t="s">
        <v>118</v>
      </c>
      <c r="M7490" s="10">
        <v>5.9540492097115854</v>
      </c>
    </row>
    <row r="7491" spans="11:13" x14ac:dyDescent="0.25">
      <c r="K7491" s="26" t="s">
        <v>109</v>
      </c>
      <c r="L7491" s="27" t="s">
        <v>119</v>
      </c>
      <c r="M7491" s="10">
        <v>6.8046276682418121</v>
      </c>
    </row>
    <row r="7492" spans="11:13" x14ac:dyDescent="0.25">
      <c r="K7492" s="26" t="s">
        <v>109</v>
      </c>
      <c r="L7492" s="27" t="s">
        <v>115</v>
      </c>
      <c r="M7492" s="10">
        <v>30.807147258163894</v>
      </c>
    </row>
    <row r="7493" spans="11:13" x14ac:dyDescent="0.25">
      <c r="K7493" s="26" t="s">
        <v>109</v>
      </c>
      <c r="L7493" s="27" t="s">
        <v>116</v>
      </c>
      <c r="M7493" s="10">
        <v>183.17198933939025</v>
      </c>
    </row>
    <row r="7494" spans="11:13" x14ac:dyDescent="0.25">
      <c r="K7494" s="26" t="s">
        <v>109</v>
      </c>
      <c r="L7494" s="27" t="s">
        <v>117</v>
      </c>
      <c r="M7494" s="10">
        <v>51.392083049606214</v>
      </c>
    </row>
    <row r="7495" spans="11:13" x14ac:dyDescent="0.25">
      <c r="K7495" s="26" t="s">
        <v>109</v>
      </c>
      <c r="L7495" s="27" t="s">
        <v>118</v>
      </c>
      <c r="M7495" s="10">
        <v>80</v>
      </c>
    </row>
    <row r="7496" spans="11:13" x14ac:dyDescent="0.25">
      <c r="K7496" s="26" t="s">
        <v>109</v>
      </c>
      <c r="L7496" s="27" t="s">
        <v>119</v>
      </c>
      <c r="M7496" s="10">
        <v>136.10081541882874</v>
      </c>
    </row>
    <row r="7497" spans="11:13" x14ac:dyDescent="0.25">
      <c r="K7497" s="26" t="s">
        <v>109</v>
      </c>
      <c r="L7497" s="27" t="s">
        <v>115</v>
      </c>
      <c r="M7497" s="10">
        <v>423.59419675950437</v>
      </c>
    </row>
    <row r="7498" spans="11:13" x14ac:dyDescent="0.25">
      <c r="K7498" s="26" t="s">
        <v>109</v>
      </c>
      <c r="L7498" s="27" t="s">
        <v>116</v>
      </c>
      <c r="M7498" s="10">
        <v>317.69564756962825</v>
      </c>
    </row>
    <row r="7499" spans="11:13" x14ac:dyDescent="0.25">
      <c r="K7499" s="26" t="s">
        <v>109</v>
      </c>
      <c r="L7499" s="27" t="s">
        <v>117</v>
      </c>
      <c r="M7499" s="10">
        <v>104.71781305114638</v>
      </c>
    </row>
    <row r="7500" spans="11:13" x14ac:dyDescent="0.25">
      <c r="K7500" s="26" t="s">
        <v>109</v>
      </c>
      <c r="L7500" s="27" t="s">
        <v>118</v>
      </c>
      <c r="M7500" s="10">
        <v>30.807147258163894</v>
      </c>
    </row>
    <row r="7501" spans="11:13" x14ac:dyDescent="0.25">
      <c r="K7501" s="26" t="s">
        <v>109</v>
      </c>
      <c r="L7501" s="27" t="s">
        <v>119</v>
      </c>
      <c r="M7501" s="10">
        <v>23.105360443622921</v>
      </c>
    </row>
    <row r="7502" spans="11:13" x14ac:dyDescent="0.25">
      <c r="K7502" s="26" t="s">
        <v>109</v>
      </c>
      <c r="L7502" s="27" t="s">
        <v>115</v>
      </c>
      <c r="M7502" s="10">
        <v>47.654347135444247</v>
      </c>
    </row>
    <row r="7503" spans="11:13" x14ac:dyDescent="0.25">
      <c r="K7503" s="26" t="s">
        <v>109</v>
      </c>
      <c r="L7503" s="27" t="s">
        <v>116</v>
      </c>
      <c r="M7503" s="10">
        <v>84.719654959950716</v>
      </c>
    </row>
    <row r="7504" spans="11:13" x14ac:dyDescent="0.25">
      <c r="K7504" s="26" t="s">
        <v>109</v>
      </c>
      <c r="L7504" s="27" t="s">
        <v>117</v>
      </c>
      <c r="M7504" s="10">
        <v>30.807147258163894</v>
      </c>
    </row>
    <row r="7505" spans="11:13" x14ac:dyDescent="0.25">
      <c r="K7505" s="26" t="s">
        <v>109</v>
      </c>
      <c r="L7505" s="27" t="s">
        <v>118</v>
      </c>
      <c r="M7505" s="10">
        <v>64.24010381200776</v>
      </c>
    </row>
    <row r="7506" spans="11:13" x14ac:dyDescent="0.25">
      <c r="K7506" s="26" t="s">
        <v>109</v>
      </c>
      <c r="L7506" s="27" t="s">
        <v>119</v>
      </c>
      <c r="M7506" s="10">
        <v>46.210720887245841</v>
      </c>
    </row>
    <row r="7507" spans="11:13" x14ac:dyDescent="0.25">
      <c r="K7507" s="26" t="s">
        <v>109</v>
      </c>
      <c r="L7507" s="27" t="s">
        <v>115</v>
      </c>
      <c r="M7507" s="10">
        <v>44.091710758377424</v>
      </c>
    </row>
    <row r="7508" spans="11:13" x14ac:dyDescent="0.25">
      <c r="K7508" s="26" t="s">
        <v>109</v>
      </c>
      <c r="L7508" s="27" t="s">
        <v>116</v>
      </c>
      <c r="M7508" s="10">
        <v>216.54135338345861</v>
      </c>
    </row>
    <row r="7509" spans="11:13" x14ac:dyDescent="0.25">
      <c r="K7509" s="26" t="s">
        <v>109</v>
      </c>
      <c r="L7509" s="27" t="s">
        <v>117</v>
      </c>
      <c r="M7509" s="10">
        <v>60.1829561868079</v>
      </c>
    </row>
    <row r="7510" spans="11:13" x14ac:dyDescent="0.25">
      <c r="K7510" s="26" t="s">
        <v>109</v>
      </c>
      <c r="L7510" s="27" t="s">
        <v>118</v>
      </c>
      <c r="M7510" s="10">
        <v>802.43941582410525</v>
      </c>
    </row>
    <row r="7511" spans="11:13" x14ac:dyDescent="0.25">
      <c r="K7511" s="26" t="s">
        <v>109</v>
      </c>
      <c r="L7511" s="27" t="s">
        <v>119</v>
      </c>
      <c r="M7511" s="10">
        <v>149.91181657848324</v>
      </c>
    </row>
    <row r="7512" spans="11:13" x14ac:dyDescent="0.25">
      <c r="K7512" s="26" t="s">
        <v>109</v>
      </c>
      <c r="L7512" s="27" t="s">
        <v>115</v>
      </c>
      <c r="M7512" s="10">
        <v>24</v>
      </c>
    </row>
    <row r="7513" spans="11:13" x14ac:dyDescent="0.25">
      <c r="K7513" s="26" t="s">
        <v>109</v>
      </c>
      <c r="L7513" s="27" t="s">
        <v>116</v>
      </c>
      <c r="M7513" s="10">
        <v>65.808090446639511</v>
      </c>
    </row>
    <row r="7514" spans="11:13" x14ac:dyDescent="0.25">
      <c r="K7514" s="26" t="s">
        <v>109</v>
      </c>
      <c r="L7514" s="27" t="s">
        <v>117</v>
      </c>
      <c r="M7514" s="10">
        <v>154.03573629081947</v>
      </c>
    </row>
    <row r="7515" spans="11:13" x14ac:dyDescent="0.25">
      <c r="K7515" s="26" t="s">
        <v>109</v>
      </c>
      <c r="L7515" s="27" t="s">
        <v>118</v>
      </c>
      <c r="M7515" s="10">
        <v>261.86075169439312</v>
      </c>
    </row>
    <row r="7516" spans="11:13" x14ac:dyDescent="0.25">
      <c r="K7516" s="26" t="s">
        <v>110</v>
      </c>
      <c r="L7516" s="27" t="s">
        <v>119</v>
      </c>
      <c r="M7516" s="10">
        <v>123.22858903265558</v>
      </c>
    </row>
    <row r="7517" spans="11:13" x14ac:dyDescent="0.25">
      <c r="K7517" s="26" t="s">
        <v>110</v>
      </c>
      <c r="L7517" s="27" t="s">
        <v>115</v>
      </c>
      <c r="M7517" s="10">
        <v>274.75798400908536</v>
      </c>
    </row>
    <row r="7518" spans="11:13" x14ac:dyDescent="0.25">
      <c r="K7518" s="26" t="s">
        <v>109</v>
      </c>
      <c r="L7518" s="27" t="s">
        <v>116</v>
      </c>
      <c r="M7518" s="10">
        <v>15.403573629081947</v>
      </c>
    </row>
    <row r="7519" spans="11:13" x14ac:dyDescent="0.25">
      <c r="K7519" s="26" t="s">
        <v>109</v>
      </c>
      <c r="L7519" s="27" t="s">
        <v>117</v>
      </c>
      <c r="M7519" s="10">
        <v>91.585994669695125</v>
      </c>
    </row>
    <row r="7520" spans="11:13" x14ac:dyDescent="0.25">
      <c r="K7520" s="26" t="s">
        <v>109</v>
      </c>
      <c r="L7520" s="27" t="s">
        <v>118</v>
      </c>
      <c r="M7520" s="10">
        <v>15.403573629081947</v>
      </c>
    </row>
    <row r="7521" spans="11:13" x14ac:dyDescent="0.25">
      <c r="K7521" s="26" t="s">
        <v>109</v>
      </c>
      <c r="L7521" s="27" t="s">
        <v>119</v>
      </c>
      <c r="M7521" s="10">
        <v>15.403573629081947</v>
      </c>
    </row>
    <row r="7522" spans="11:13" x14ac:dyDescent="0.25">
      <c r="K7522" s="26" t="s">
        <v>109</v>
      </c>
      <c r="L7522" s="27" t="s">
        <v>115</v>
      </c>
      <c r="M7522" s="10">
        <v>200</v>
      </c>
    </row>
    <row r="7523" spans="11:13" x14ac:dyDescent="0.25">
      <c r="K7523" s="26" t="s">
        <v>109</v>
      </c>
      <c r="L7523" s="27" t="s">
        <v>116</v>
      </c>
      <c r="M7523" s="10">
        <v>110.22927689594357</v>
      </c>
    </row>
    <row r="7524" spans="11:13" x14ac:dyDescent="0.25">
      <c r="K7524" s="26" t="s">
        <v>109</v>
      </c>
      <c r="L7524" s="27" t="s">
        <v>117</v>
      </c>
      <c r="M7524" s="10">
        <v>15.403573629081947</v>
      </c>
    </row>
    <row r="7525" spans="11:13" x14ac:dyDescent="0.25">
      <c r="K7525" s="26" t="s">
        <v>109</v>
      </c>
      <c r="L7525" s="27" t="s">
        <v>118</v>
      </c>
      <c r="M7525" s="10">
        <v>15.403573629081947</v>
      </c>
    </row>
    <row r="7526" spans="11:13" x14ac:dyDescent="0.25">
      <c r="K7526" s="26" t="s">
        <v>109</v>
      </c>
      <c r="L7526" s="27" t="s">
        <v>119</v>
      </c>
      <c r="M7526" s="10">
        <v>15.403573629081947</v>
      </c>
    </row>
    <row r="7527" spans="11:13" x14ac:dyDescent="0.25">
      <c r="K7527" s="26" t="s">
        <v>109</v>
      </c>
      <c r="L7527" s="27" t="s">
        <v>115</v>
      </c>
      <c r="M7527" s="10">
        <v>15.403573629081947</v>
      </c>
    </row>
    <row r="7528" spans="11:13" x14ac:dyDescent="0.25">
      <c r="K7528" s="26" t="s">
        <v>109</v>
      </c>
      <c r="L7528" s="27" t="s">
        <v>116</v>
      </c>
      <c r="M7528" s="10">
        <v>15.403573629081947</v>
      </c>
    </row>
    <row r="7529" spans="11:13" x14ac:dyDescent="0.25">
      <c r="K7529" s="26" t="s">
        <v>109</v>
      </c>
      <c r="L7529" s="27" t="s">
        <v>117</v>
      </c>
      <c r="M7529" s="10">
        <v>15.403573629081947</v>
      </c>
    </row>
    <row r="7530" spans="11:13" x14ac:dyDescent="0.25">
      <c r="K7530" s="26" t="s">
        <v>109</v>
      </c>
      <c r="L7530" s="27" t="s">
        <v>118</v>
      </c>
      <c r="M7530" s="10">
        <v>15.403573629081947</v>
      </c>
    </row>
    <row r="7531" spans="11:13" x14ac:dyDescent="0.25">
      <c r="K7531" s="26" t="s">
        <v>109</v>
      </c>
      <c r="L7531" s="27" t="s">
        <v>119</v>
      </c>
      <c r="M7531" s="10">
        <v>15.403573629081947</v>
      </c>
    </row>
    <row r="7532" spans="11:13" x14ac:dyDescent="0.25">
      <c r="K7532" s="26" t="s">
        <v>109</v>
      </c>
      <c r="L7532" s="27" t="s">
        <v>115</v>
      </c>
      <c r="M7532" s="10">
        <v>53.912507701786815</v>
      </c>
    </row>
    <row r="7533" spans="11:13" x14ac:dyDescent="0.25">
      <c r="K7533" s="26" t="s">
        <v>109</v>
      </c>
      <c r="L7533" s="27" t="s">
        <v>116</v>
      </c>
      <c r="M7533" s="10">
        <v>15.403573629081947</v>
      </c>
    </row>
    <row r="7534" spans="11:13" x14ac:dyDescent="0.25">
      <c r="K7534" s="26" t="s">
        <v>110</v>
      </c>
      <c r="L7534" s="27" t="s">
        <v>117</v>
      </c>
      <c r="M7534" s="10">
        <v>200</v>
      </c>
    </row>
    <row r="7535" spans="11:13" x14ac:dyDescent="0.25">
      <c r="K7535" s="26" t="s">
        <v>110</v>
      </c>
      <c r="L7535" s="27" t="s">
        <v>118</v>
      </c>
      <c r="M7535" s="10">
        <v>30</v>
      </c>
    </row>
    <row r="7536" spans="11:13" x14ac:dyDescent="0.25">
      <c r="K7536" s="26" t="s">
        <v>110</v>
      </c>
      <c r="L7536" s="27" t="s">
        <v>119</v>
      </c>
      <c r="M7536" s="10">
        <v>15.403573629081947</v>
      </c>
    </row>
    <row r="7537" spans="11:13" x14ac:dyDescent="0.25">
      <c r="K7537" s="26" t="s">
        <v>109</v>
      </c>
      <c r="L7537" s="27" t="s">
        <v>115</v>
      </c>
      <c r="M7537" s="10">
        <v>15.403573629081947</v>
      </c>
    </row>
    <row r="7538" spans="11:13" x14ac:dyDescent="0.25">
      <c r="K7538" s="26" t="s">
        <v>112</v>
      </c>
      <c r="L7538" s="27" t="s">
        <v>116</v>
      </c>
      <c r="M7538" s="10">
        <v>15.403573629081947</v>
      </c>
    </row>
    <row r="7539" spans="11:13" x14ac:dyDescent="0.25">
      <c r="K7539" s="26" t="s">
        <v>110</v>
      </c>
      <c r="L7539" s="27" t="s">
        <v>117</v>
      </c>
      <c r="M7539" s="10">
        <v>0.55114638447971775</v>
      </c>
    </row>
    <row r="7540" spans="11:13" x14ac:dyDescent="0.25">
      <c r="K7540" s="26" t="s">
        <v>110</v>
      </c>
      <c r="L7540" s="27" t="s">
        <v>118</v>
      </c>
      <c r="M7540" s="10">
        <v>46.210720887245841</v>
      </c>
    </row>
    <row r="7541" spans="11:13" x14ac:dyDescent="0.25">
      <c r="K7541" s="26" t="s">
        <v>109</v>
      </c>
      <c r="L7541" s="27" t="s">
        <v>119</v>
      </c>
      <c r="M7541" s="10">
        <v>15.403573629081947</v>
      </c>
    </row>
    <row r="7542" spans="11:13" x14ac:dyDescent="0.25">
      <c r="K7542" s="26" t="s">
        <v>109</v>
      </c>
      <c r="L7542" s="27" t="s">
        <v>115</v>
      </c>
      <c r="M7542" s="10">
        <v>15.403573629081947</v>
      </c>
    </row>
    <row r="7543" spans="11:13" x14ac:dyDescent="0.25">
      <c r="K7543" s="26" t="s">
        <v>109</v>
      </c>
      <c r="L7543" s="27" t="s">
        <v>116</v>
      </c>
      <c r="M7543" s="10">
        <v>123.22858903265558</v>
      </c>
    </row>
    <row r="7544" spans="11:13" x14ac:dyDescent="0.25">
      <c r="K7544" s="26" t="s">
        <v>109</v>
      </c>
      <c r="L7544" s="27" t="s">
        <v>117</v>
      </c>
      <c r="M7544" s="10">
        <v>97.767638911520294</v>
      </c>
    </row>
    <row r="7545" spans="11:13" x14ac:dyDescent="0.25">
      <c r="K7545" s="26" t="s">
        <v>109</v>
      </c>
      <c r="L7545" s="27" t="s">
        <v>118</v>
      </c>
      <c r="M7545" s="10">
        <v>15.403573629081947</v>
      </c>
    </row>
    <row r="7546" spans="11:13" x14ac:dyDescent="0.25">
      <c r="K7546" s="26" t="s">
        <v>109</v>
      </c>
      <c r="L7546" s="27" t="s">
        <v>119</v>
      </c>
      <c r="M7546" s="10">
        <v>15.403573629081947</v>
      </c>
    </row>
    <row r="7547" spans="11:13" x14ac:dyDescent="0.25">
      <c r="K7547" s="26" t="s">
        <v>109</v>
      </c>
      <c r="L7547" s="27" t="s">
        <v>115</v>
      </c>
      <c r="M7547" s="10">
        <v>15.403573629081947</v>
      </c>
    </row>
    <row r="7548" spans="11:13" x14ac:dyDescent="0.25">
      <c r="K7548" s="26" t="s">
        <v>109</v>
      </c>
      <c r="L7548" s="27" t="s">
        <v>116</v>
      </c>
      <c r="M7548" s="10">
        <v>15.403573629081947</v>
      </c>
    </row>
    <row r="7549" spans="11:13" x14ac:dyDescent="0.25">
      <c r="K7549" s="26" t="s">
        <v>109</v>
      </c>
      <c r="L7549" s="27" t="s">
        <v>117</v>
      </c>
      <c r="M7549" s="10">
        <v>15.403573629081947</v>
      </c>
    </row>
    <row r="7550" spans="11:13" x14ac:dyDescent="0.25">
      <c r="K7550" s="26" t="s">
        <v>109</v>
      </c>
      <c r="L7550" s="27" t="s">
        <v>118</v>
      </c>
      <c r="M7550" s="10">
        <v>15.403573629081947</v>
      </c>
    </row>
    <row r="7551" spans="11:13" x14ac:dyDescent="0.25">
      <c r="K7551" s="26" t="s">
        <v>109</v>
      </c>
      <c r="L7551" s="27" t="s">
        <v>119</v>
      </c>
      <c r="M7551" s="10">
        <v>15.403573629081947</v>
      </c>
    </row>
    <row r="7552" spans="11:13" x14ac:dyDescent="0.25">
      <c r="K7552" s="26" t="s">
        <v>109</v>
      </c>
      <c r="L7552" s="27" t="s">
        <v>115</v>
      </c>
      <c r="M7552" s="10">
        <v>15.403573629081947</v>
      </c>
    </row>
    <row r="7553" spans="11:13" x14ac:dyDescent="0.25">
      <c r="K7553" s="26" t="s">
        <v>109</v>
      </c>
      <c r="L7553" s="27" t="s">
        <v>116</v>
      </c>
      <c r="M7553" s="10">
        <v>15.403573629081947</v>
      </c>
    </row>
    <row r="7554" spans="11:13" x14ac:dyDescent="0.25">
      <c r="K7554" s="26" t="s">
        <v>109</v>
      </c>
      <c r="L7554" s="27" t="s">
        <v>117</v>
      </c>
      <c r="M7554" s="10">
        <v>220.45855379188714</v>
      </c>
    </row>
    <row r="7555" spans="11:13" x14ac:dyDescent="0.25">
      <c r="K7555" s="26" t="s">
        <v>109</v>
      </c>
      <c r="L7555" s="27" t="s">
        <v>118</v>
      </c>
      <c r="M7555" s="10">
        <v>100</v>
      </c>
    </row>
    <row r="7556" spans="11:13" x14ac:dyDescent="0.25">
      <c r="K7556" s="26" t="s">
        <v>109</v>
      </c>
      <c r="L7556" s="27" t="s">
        <v>119</v>
      </c>
      <c r="M7556" s="10">
        <v>68.971224584103524</v>
      </c>
    </row>
    <row r="7557" spans="11:13" x14ac:dyDescent="0.25">
      <c r="K7557" s="26" t="s">
        <v>109</v>
      </c>
      <c r="L7557" s="27" t="s">
        <v>115</v>
      </c>
      <c r="M7557" s="10">
        <v>427.59565619223656</v>
      </c>
    </row>
    <row r="7558" spans="11:13" x14ac:dyDescent="0.25">
      <c r="K7558" s="26" t="s">
        <v>109</v>
      </c>
      <c r="L7558" s="27" t="s">
        <v>116</v>
      </c>
      <c r="M7558" s="10">
        <v>1.5403573629081948</v>
      </c>
    </row>
    <row r="7559" spans="11:13" x14ac:dyDescent="0.25">
      <c r="K7559" s="26" t="s">
        <v>109</v>
      </c>
      <c r="L7559" s="27" t="s">
        <v>117</v>
      </c>
      <c r="M7559" s="10">
        <v>200</v>
      </c>
    </row>
    <row r="7560" spans="11:13" x14ac:dyDescent="0.25">
      <c r="K7560" s="26" t="s">
        <v>112</v>
      </c>
      <c r="L7560" s="27" t="s">
        <v>118</v>
      </c>
      <c r="M7560" s="10">
        <v>15.403573629081947</v>
      </c>
    </row>
    <row r="7561" spans="11:13" x14ac:dyDescent="0.25">
      <c r="K7561" s="26" t="s">
        <v>112</v>
      </c>
      <c r="L7561" s="27" t="s">
        <v>119</v>
      </c>
      <c r="M7561" s="10">
        <v>15.86</v>
      </c>
    </row>
    <row r="7562" spans="11:13" x14ac:dyDescent="0.25">
      <c r="K7562" s="26" t="s">
        <v>110</v>
      </c>
      <c r="L7562" s="27" t="s">
        <v>115</v>
      </c>
      <c r="M7562" s="10">
        <v>953.08694270888486</v>
      </c>
    </row>
    <row r="7563" spans="11:13" x14ac:dyDescent="0.25">
      <c r="K7563" s="26" t="s">
        <v>109</v>
      </c>
      <c r="L7563" s="27" t="s">
        <v>116</v>
      </c>
      <c r="M7563" s="10">
        <v>15.403573629081947</v>
      </c>
    </row>
    <row r="7564" spans="11:13" x14ac:dyDescent="0.25">
      <c r="K7564" s="26" t="s">
        <v>109</v>
      </c>
      <c r="L7564" s="27" t="s">
        <v>117</v>
      </c>
      <c r="M7564" s="10">
        <v>15.403573629081947</v>
      </c>
    </row>
    <row r="7565" spans="11:13" x14ac:dyDescent="0.25">
      <c r="K7565" s="26" t="s">
        <v>109</v>
      </c>
      <c r="L7565" s="27" t="s">
        <v>118</v>
      </c>
      <c r="M7565" s="10">
        <v>641.33949476278497</v>
      </c>
    </row>
    <row r="7566" spans="11:13" x14ac:dyDescent="0.25">
      <c r="K7566" s="26" t="s">
        <v>109</v>
      </c>
      <c r="L7566" s="27" t="s">
        <v>119</v>
      </c>
      <c r="M7566" s="10">
        <v>77.017868145409736</v>
      </c>
    </row>
    <row r="7567" spans="11:13" x14ac:dyDescent="0.25">
      <c r="K7567" s="26" t="s">
        <v>109</v>
      </c>
      <c r="L7567" s="27" t="s">
        <v>115</v>
      </c>
      <c r="M7567" s="10">
        <v>300</v>
      </c>
    </row>
    <row r="7568" spans="11:13" x14ac:dyDescent="0.25">
      <c r="K7568" s="26" t="s">
        <v>109</v>
      </c>
      <c r="L7568" s="27" t="s">
        <v>116</v>
      </c>
      <c r="M7568" s="10">
        <v>51.195594620353702</v>
      </c>
    </row>
    <row r="7569" spans="11:13" x14ac:dyDescent="0.25">
      <c r="K7569" s="26" t="s">
        <v>109</v>
      </c>
      <c r="L7569" s="27" t="s">
        <v>117</v>
      </c>
      <c r="M7569" s="10">
        <v>48.618426383599385</v>
      </c>
    </row>
    <row r="7570" spans="11:13" x14ac:dyDescent="0.25">
      <c r="K7570" s="26" t="s">
        <v>109</v>
      </c>
      <c r="L7570" s="27" t="s">
        <v>118</v>
      </c>
      <c r="M7570" s="10">
        <v>64.24010381200776</v>
      </c>
    </row>
    <row r="7571" spans="11:13" x14ac:dyDescent="0.25">
      <c r="K7571" s="26" t="s">
        <v>109</v>
      </c>
      <c r="L7571" s="27" t="s">
        <v>119</v>
      </c>
      <c r="M7571" s="10">
        <v>10.98256477106078</v>
      </c>
    </row>
    <row r="7572" spans="11:13" x14ac:dyDescent="0.25">
      <c r="K7572" s="26" t="s">
        <v>109</v>
      </c>
      <c r="L7572" s="27" t="s">
        <v>115</v>
      </c>
      <c r="M7572" s="10">
        <v>34.470872113064452</v>
      </c>
    </row>
    <row r="7573" spans="11:13" x14ac:dyDescent="0.25">
      <c r="K7573" s="26" t="s">
        <v>109</v>
      </c>
      <c r="L7573" s="27" t="s">
        <v>116</v>
      </c>
      <c r="M7573" s="10">
        <v>15.888300433317285</v>
      </c>
    </row>
    <row r="7574" spans="11:13" x14ac:dyDescent="0.25">
      <c r="K7574" s="26" t="s">
        <v>109</v>
      </c>
      <c r="L7574" s="27" t="s">
        <v>117</v>
      </c>
      <c r="M7574" s="10">
        <v>35</v>
      </c>
    </row>
    <row r="7575" spans="11:13" x14ac:dyDescent="0.25">
      <c r="K7575" s="26" t="s">
        <v>112</v>
      </c>
      <c r="L7575" s="27" t="s">
        <v>118</v>
      </c>
      <c r="M7575" s="10">
        <v>45.792997334847563</v>
      </c>
    </row>
    <row r="7576" spans="11:13" x14ac:dyDescent="0.25">
      <c r="K7576" s="26" t="s">
        <v>110</v>
      </c>
      <c r="L7576" s="27" t="s">
        <v>119</v>
      </c>
      <c r="M7576" s="10">
        <v>130.93037584719656</v>
      </c>
    </row>
    <row r="7577" spans="11:13" x14ac:dyDescent="0.25">
      <c r="K7577" s="26" t="s">
        <v>112</v>
      </c>
      <c r="L7577" s="27" t="s">
        <v>115</v>
      </c>
      <c r="M7577" s="10">
        <v>154.03573629081947</v>
      </c>
    </row>
    <row r="7578" spans="11:13" x14ac:dyDescent="0.25">
      <c r="K7578" s="26" t="s">
        <v>110</v>
      </c>
      <c r="L7578" s="27" t="s">
        <v>116</v>
      </c>
      <c r="M7578" s="10">
        <v>53.853843502240608</v>
      </c>
    </row>
    <row r="7579" spans="11:13" x14ac:dyDescent="0.25">
      <c r="K7579" s="26" t="s">
        <v>109</v>
      </c>
      <c r="L7579" s="27" t="s">
        <v>117</v>
      </c>
      <c r="M7579" s="10">
        <v>20.107544402802674</v>
      </c>
    </row>
    <row r="7580" spans="11:13" x14ac:dyDescent="0.25">
      <c r="K7580" s="26" t="s">
        <v>109</v>
      </c>
      <c r="L7580" s="27" t="s">
        <v>118</v>
      </c>
      <c r="M7580" s="10">
        <v>92.421441774491683</v>
      </c>
    </row>
    <row r="7581" spans="11:13" x14ac:dyDescent="0.25">
      <c r="K7581" s="26" t="s">
        <v>109</v>
      </c>
      <c r="L7581" s="27" t="s">
        <v>119</v>
      </c>
      <c r="M7581" s="10">
        <v>154.03573629081947</v>
      </c>
    </row>
    <row r="7582" spans="11:13" x14ac:dyDescent="0.25">
      <c r="K7582" s="26" t="s">
        <v>109</v>
      </c>
      <c r="L7582" s="27" t="s">
        <v>115</v>
      </c>
      <c r="M7582" s="10">
        <v>85.4</v>
      </c>
    </row>
    <row r="7583" spans="11:13" x14ac:dyDescent="0.25">
      <c r="K7583" s="26" t="s">
        <v>109</v>
      </c>
      <c r="L7583" s="27" t="s">
        <v>116</v>
      </c>
      <c r="M7583" s="10">
        <v>100</v>
      </c>
    </row>
    <row r="7584" spans="11:13" x14ac:dyDescent="0.25">
      <c r="K7584" s="26" t="s">
        <v>109</v>
      </c>
      <c r="L7584" s="27" t="s">
        <v>117</v>
      </c>
      <c r="M7584" s="10">
        <v>100</v>
      </c>
    </row>
    <row r="7585" spans="11:13" x14ac:dyDescent="0.25">
      <c r="K7585" s="26" t="s">
        <v>109</v>
      </c>
      <c r="L7585" s="27" t="s">
        <v>118</v>
      </c>
      <c r="M7585" s="10">
        <v>60.773032979499227</v>
      </c>
    </row>
    <row r="7586" spans="11:13" x14ac:dyDescent="0.25">
      <c r="K7586" s="26" t="s">
        <v>109</v>
      </c>
      <c r="L7586" s="27" t="s">
        <v>119</v>
      </c>
      <c r="M7586" s="10">
        <v>31.769564756962826</v>
      </c>
    </row>
    <row r="7587" spans="11:13" x14ac:dyDescent="0.25">
      <c r="K7587" s="26" t="s">
        <v>109</v>
      </c>
      <c r="L7587" s="27" t="s">
        <v>115</v>
      </c>
      <c r="M7587" s="10">
        <v>48.259220958290243</v>
      </c>
    </row>
    <row r="7588" spans="11:13" x14ac:dyDescent="0.25">
      <c r="K7588" s="26" t="s">
        <v>109</v>
      </c>
      <c r="L7588" s="27" t="s">
        <v>116</v>
      </c>
      <c r="M7588" s="10">
        <v>83.795440542205796</v>
      </c>
    </row>
    <row r="7589" spans="11:13" x14ac:dyDescent="0.25">
      <c r="K7589" s="26" t="s">
        <v>113</v>
      </c>
      <c r="L7589" s="27" t="s">
        <v>117</v>
      </c>
      <c r="M7589" s="10">
        <v>32.589212970506765</v>
      </c>
    </row>
    <row r="7590" spans="11:13" x14ac:dyDescent="0.25">
      <c r="K7590" s="26" t="s">
        <v>113</v>
      </c>
      <c r="L7590" s="27" t="s">
        <v>118</v>
      </c>
      <c r="M7590" s="10">
        <v>46.210720887245841</v>
      </c>
    </row>
    <row r="7591" spans="11:13" x14ac:dyDescent="0.25">
      <c r="K7591" s="26" t="s">
        <v>110</v>
      </c>
      <c r="L7591" s="27" t="s">
        <v>119</v>
      </c>
      <c r="M7591" s="10">
        <v>21.228000000000002</v>
      </c>
    </row>
    <row r="7592" spans="11:13" x14ac:dyDescent="0.25">
      <c r="K7592" s="26" t="s">
        <v>112</v>
      </c>
      <c r="L7592" s="27" t="s">
        <v>115</v>
      </c>
      <c r="M7592" s="10">
        <v>48.883819455760147</v>
      </c>
    </row>
    <row r="7593" spans="11:13" x14ac:dyDescent="0.25">
      <c r="K7593" s="26" t="s">
        <v>110</v>
      </c>
      <c r="L7593" s="27" t="s">
        <v>116</v>
      </c>
      <c r="M7593" s="10">
        <v>42.7</v>
      </c>
    </row>
    <row r="7594" spans="11:13" x14ac:dyDescent="0.25">
      <c r="K7594" s="26" t="s">
        <v>109</v>
      </c>
      <c r="L7594" s="27" t="s">
        <v>117</v>
      </c>
      <c r="M7594" s="10">
        <v>100</v>
      </c>
    </row>
    <row r="7595" spans="11:13" x14ac:dyDescent="0.25">
      <c r="K7595" s="26" t="s">
        <v>109</v>
      </c>
      <c r="L7595" s="27" t="s">
        <v>118</v>
      </c>
      <c r="M7595" s="10">
        <v>150</v>
      </c>
    </row>
    <row r="7596" spans="11:13" x14ac:dyDescent="0.25">
      <c r="K7596" s="26" t="s">
        <v>109</v>
      </c>
      <c r="L7596" s="27" t="s">
        <v>119</v>
      </c>
      <c r="M7596" s="10">
        <v>12.848020762401553</v>
      </c>
    </row>
    <row r="7597" spans="11:13" x14ac:dyDescent="0.25">
      <c r="K7597" s="26" t="s">
        <v>109</v>
      </c>
      <c r="L7597" s="27" t="s">
        <v>115</v>
      </c>
      <c r="M7597" s="10">
        <v>64.529280948850996</v>
      </c>
    </row>
    <row r="7598" spans="11:13" x14ac:dyDescent="0.25">
      <c r="K7598" s="26" t="s">
        <v>113</v>
      </c>
      <c r="L7598" s="27" t="s">
        <v>116</v>
      </c>
      <c r="M7598" s="10">
        <v>34.470872113064452</v>
      </c>
    </row>
    <row r="7599" spans="11:13" x14ac:dyDescent="0.25">
      <c r="K7599" s="26" t="s">
        <v>113</v>
      </c>
      <c r="L7599" s="27" t="s">
        <v>117</v>
      </c>
      <c r="M7599" s="10">
        <v>34.470872113064452</v>
      </c>
    </row>
    <row r="7600" spans="11:13" x14ac:dyDescent="0.25">
      <c r="K7600" s="26" t="s">
        <v>110</v>
      </c>
      <c r="L7600" s="27" t="s">
        <v>118</v>
      </c>
      <c r="M7600" s="10">
        <v>23.452676366843033</v>
      </c>
    </row>
    <row r="7601" spans="11:13" x14ac:dyDescent="0.25">
      <c r="K7601" s="26" t="s">
        <v>112</v>
      </c>
      <c r="L7601" s="27" t="s">
        <v>119</v>
      </c>
      <c r="M7601" s="10">
        <v>255.80853542306468</v>
      </c>
    </row>
    <row r="7602" spans="11:13" x14ac:dyDescent="0.25">
      <c r="K7602" s="26" t="s">
        <v>110</v>
      </c>
      <c r="L7602" s="27" t="s">
        <v>115</v>
      </c>
      <c r="M7602" s="10">
        <v>616.14294516327789</v>
      </c>
    </row>
    <row r="7603" spans="11:13" x14ac:dyDescent="0.25">
      <c r="K7603" s="26" t="s">
        <v>112</v>
      </c>
      <c r="L7603" s="27" t="s">
        <v>116</v>
      </c>
      <c r="M7603" s="10">
        <v>80</v>
      </c>
    </row>
    <row r="7604" spans="11:13" x14ac:dyDescent="0.25">
      <c r="K7604" s="26" t="s">
        <v>112</v>
      </c>
      <c r="L7604" s="27" t="s">
        <v>117</v>
      </c>
      <c r="M7604" s="10">
        <v>25.696041524803107</v>
      </c>
    </row>
    <row r="7605" spans="11:13" x14ac:dyDescent="0.25">
      <c r="K7605" s="26" t="s">
        <v>112</v>
      </c>
      <c r="L7605" s="27" t="s">
        <v>118</v>
      </c>
      <c r="M7605" s="10">
        <v>25.696041524803107</v>
      </c>
    </row>
    <row r="7606" spans="11:13" x14ac:dyDescent="0.25">
      <c r="K7606" s="26" t="s">
        <v>109</v>
      </c>
      <c r="L7606" s="27" t="s">
        <v>119</v>
      </c>
      <c r="M7606" s="10">
        <v>52.949274594938046</v>
      </c>
    </row>
    <row r="7607" spans="11:13" x14ac:dyDescent="0.25">
      <c r="K7607" s="26" t="s">
        <v>113</v>
      </c>
      <c r="L7607" s="27" t="s">
        <v>115</v>
      </c>
      <c r="M7607" s="10">
        <v>110.22927689594357</v>
      </c>
    </row>
    <row r="7608" spans="11:13" x14ac:dyDescent="0.25">
      <c r="K7608" s="26" t="s">
        <v>113</v>
      </c>
      <c r="L7608" s="27" t="s">
        <v>116</v>
      </c>
      <c r="M7608" s="10">
        <v>25.853154084798344</v>
      </c>
    </row>
    <row r="7609" spans="11:13" x14ac:dyDescent="0.25">
      <c r="K7609" s="26" t="s">
        <v>110</v>
      </c>
      <c r="L7609" s="27" t="s">
        <v>117</v>
      </c>
      <c r="M7609" s="10">
        <v>391.73677248677251</v>
      </c>
    </row>
    <row r="7610" spans="11:13" x14ac:dyDescent="0.25">
      <c r="K7610" s="26" t="s">
        <v>112</v>
      </c>
      <c r="L7610" s="27" t="s">
        <v>118</v>
      </c>
      <c r="M7610" s="10">
        <v>11.489327032752161</v>
      </c>
    </row>
    <row r="7611" spans="11:13" x14ac:dyDescent="0.25">
      <c r="K7611" s="26" t="s">
        <v>110</v>
      </c>
      <c r="L7611" s="27" t="s">
        <v>119</v>
      </c>
      <c r="M7611" s="10">
        <v>23.259611992945327</v>
      </c>
    </row>
    <row r="7612" spans="11:13" x14ac:dyDescent="0.25">
      <c r="K7612" s="26" t="s">
        <v>110</v>
      </c>
      <c r="L7612" s="27" t="s">
        <v>115</v>
      </c>
      <c r="M7612" s="10">
        <v>39.3819777079689</v>
      </c>
    </row>
    <row r="7613" spans="11:13" x14ac:dyDescent="0.25">
      <c r="K7613" s="26" t="s">
        <v>109</v>
      </c>
      <c r="L7613" s="27" t="s">
        <v>116</v>
      </c>
      <c r="M7613" s="10">
        <v>60</v>
      </c>
    </row>
    <row r="7614" spans="11:13" x14ac:dyDescent="0.25">
      <c r="K7614" s="26" t="s">
        <v>109</v>
      </c>
      <c r="L7614" s="27" t="s">
        <v>117</v>
      </c>
      <c r="M7614" s="10">
        <v>423.59419675950437</v>
      </c>
    </row>
    <row r="7615" spans="11:13" x14ac:dyDescent="0.25">
      <c r="K7615" s="26" t="s">
        <v>109</v>
      </c>
      <c r="L7615" s="27" t="s">
        <v>118</v>
      </c>
      <c r="M7615" s="10">
        <v>46.210720887245841</v>
      </c>
    </row>
    <row r="7616" spans="11:13" x14ac:dyDescent="0.25">
      <c r="K7616" s="26" t="s">
        <v>113</v>
      </c>
      <c r="L7616" s="27" t="s">
        <v>119</v>
      </c>
      <c r="M7616" s="10">
        <v>36.968576709796672</v>
      </c>
    </row>
    <row r="7617" spans="11:13" x14ac:dyDescent="0.25">
      <c r="K7617" s="26" t="s">
        <v>113</v>
      </c>
      <c r="L7617" s="27" t="s">
        <v>115</v>
      </c>
      <c r="M7617" s="10">
        <v>140.8344805676162</v>
      </c>
    </row>
    <row r="7618" spans="11:13" x14ac:dyDescent="0.25">
      <c r="K7618" s="26" t="s">
        <v>110</v>
      </c>
      <c r="L7618" s="27" t="s">
        <v>116</v>
      </c>
      <c r="M7618" s="10">
        <v>54.951596801817075</v>
      </c>
    </row>
    <row r="7619" spans="11:13" x14ac:dyDescent="0.25">
      <c r="K7619" s="26" t="s">
        <v>110</v>
      </c>
      <c r="L7619" s="27" t="s">
        <v>117</v>
      </c>
      <c r="M7619" s="10">
        <v>50</v>
      </c>
    </row>
    <row r="7620" spans="11:13" x14ac:dyDescent="0.25">
      <c r="K7620" s="26" t="s">
        <v>109</v>
      </c>
      <c r="L7620" s="27" t="s">
        <v>118</v>
      </c>
      <c r="M7620" s="10">
        <v>48.967151675485006</v>
      </c>
    </row>
    <row r="7621" spans="11:13" x14ac:dyDescent="0.25">
      <c r="K7621" s="26" t="s">
        <v>109</v>
      </c>
      <c r="L7621" s="27" t="s">
        <v>119</v>
      </c>
      <c r="M7621" s="10">
        <v>42.359419675950441</v>
      </c>
    </row>
    <row r="7622" spans="11:13" x14ac:dyDescent="0.25">
      <c r="K7622" s="26" t="s">
        <v>109</v>
      </c>
      <c r="L7622" s="27" t="s">
        <v>115</v>
      </c>
      <c r="M7622" s="10">
        <v>21.179709837975221</v>
      </c>
    </row>
    <row r="7623" spans="11:13" x14ac:dyDescent="0.25">
      <c r="K7623" s="26" t="s">
        <v>109</v>
      </c>
      <c r="L7623" s="27" t="s">
        <v>116</v>
      </c>
      <c r="M7623" s="10">
        <v>52.949274594938046</v>
      </c>
    </row>
    <row r="7624" spans="11:13" x14ac:dyDescent="0.25">
      <c r="K7624" s="26" t="s">
        <v>110</v>
      </c>
      <c r="L7624" s="27" t="s">
        <v>117</v>
      </c>
      <c r="M7624" s="10">
        <v>52.949274594938046</v>
      </c>
    </row>
    <row r="7625" spans="11:13" x14ac:dyDescent="0.25">
      <c r="K7625" s="26" t="s">
        <v>112</v>
      </c>
      <c r="L7625" s="27" t="s">
        <v>118</v>
      </c>
      <c r="M7625" s="10">
        <v>52.949274594938046</v>
      </c>
    </row>
    <row r="7626" spans="11:13" x14ac:dyDescent="0.25">
      <c r="K7626" s="26" t="s">
        <v>112</v>
      </c>
      <c r="L7626" s="27" t="s">
        <v>119</v>
      </c>
      <c r="M7626" s="10">
        <v>52.949274594938046</v>
      </c>
    </row>
    <row r="7627" spans="11:13" x14ac:dyDescent="0.25">
      <c r="K7627" s="26" t="s">
        <v>112</v>
      </c>
      <c r="L7627" s="27" t="s">
        <v>115</v>
      </c>
      <c r="M7627" s="10">
        <v>46.210720887245841</v>
      </c>
    </row>
    <row r="7628" spans="11:13" x14ac:dyDescent="0.25">
      <c r="K7628" s="26" t="s">
        <v>112</v>
      </c>
      <c r="L7628" s="27" t="s">
        <v>116</v>
      </c>
      <c r="M7628" s="10">
        <v>52.949274594938046</v>
      </c>
    </row>
    <row r="7629" spans="11:13" x14ac:dyDescent="0.25">
      <c r="K7629" s="26" t="s">
        <v>110</v>
      </c>
      <c r="L7629" s="27" t="s">
        <v>117</v>
      </c>
      <c r="M7629" s="10">
        <v>110.22927689594357</v>
      </c>
    </row>
    <row r="7630" spans="11:13" x14ac:dyDescent="0.25">
      <c r="K7630" s="26" t="s">
        <v>110</v>
      </c>
      <c r="L7630" s="27" t="s">
        <v>118</v>
      </c>
      <c r="M7630" s="10">
        <v>23.983599999999999</v>
      </c>
    </row>
    <row r="7631" spans="11:13" x14ac:dyDescent="0.25">
      <c r="K7631" s="26" t="s">
        <v>109</v>
      </c>
      <c r="L7631" s="27" t="s">
        <v>119</v>
      </c>
      <c r="M7631" s="10">
        <v>52.949274594938046</v>
      </c>
    </row>
    <row r="7632" spans="11:13" x14ac:dyDescent="0.25">
      <c r="K7632" s="26" t="s">
        <v>110</v>
      </c>
      <c r="L7632" s="27" t="s">
        <v>115</v>
      </c>
      <c r="M7632" s="10">
        <v>81.330868761552694</v>
      </c>
    </row>
    <row r="7633" spans="11:13" x14ac:dyDescent="0.25">
      <c r="K7633" s="26" t="s">
        <v>110</v>
      </c>
      <c r="L7633" s="27" t="s">
        <v>116</v>
      </c>
      <c r="M7633" s="10">
        <v>91.497227356746762</v>
      </c>
    </row>
    <row r="7634" spans="11:13" x14ac:dyDescent="0.25">
      <c r="K7634" s="26" t="s">
        <v>112</v>
      </c>
      <c r="L7634" s="27" t="s">
        <v>117</v>
      </c>
      <c r="M7634" s="10">
        <v>616.14294516327789</v>
      </c>
    </row>
    <row r="7635" spans="11:13" x14ac:dyDescent="0.25">
      <c r="K7635" s="26" t="s">
        <v>112</v>
      </c>
      <c r="L7635" s="27" t="s">
        <v>118</v>
      </c>
      <c r="M7635" s="10">
        <v>1540.3573629081948</v>
      </c>
    </row>
    <row r="7636" spans="11:13" x14ac:dyDescent="0.25">
      <c r="K7636" s="26" t="s">
        <v>112</v>
      </c>
      <c r="L7636" s="27" t="s">
        <v>119</v>
      </c>
      <c r="M7636" s="10">
        <v>91.585994669695125</v>
      </c>
    </row>
    <row r="7637" spans="11:13" x14ac:dyDescent="0.25">
      <c r="K7637" s="26" t="s">
        <v>112</v>
      </c>
      <c r="L7637" s="27" t="s">
        <v>115</v>
      </c>
      <c r="M7637" s="10">
        <v>20.106240834283852</v>
      </c>
    </row>
    <row r="7638" spans="11:13" x14ac:dyDescent="0.25">
      <c r="K7638" s="26" t="s">
        <v>112</v>
      </c>
      <c r="L7638" s="27" t="s">
        <v>116</v>
      </c>
      <c r="M7638" s="10">
        <v>770.17868145409739</v>
      </c>
    </row>
    <row r="7639" spans="11:13" x14ac:dyDescent="0.25">
      <c r="K7639" s="26" t="s">
        <v>112</v>
      </c>
      <c r="L7639" s="27" t="s">
        <v>117</v>
      </c>
      <c r="M7639" s="10">
        <v>130.35685188202706</v>
      </c>
    </row>
    <row r="7640" spans="11:13" x14ac:dyDescent="0.25">
      <c r="K7640" s="26" t="s">
        <v>110</v>
      </c>
      <c r="L7640" s="27" t="s">
        <v>118</v>
      </c>
      <c r="M7640" s="10">
        <v>30.223378240999391</v>
      </c>
    </row>
    <row r="7641" spans="11:13" x14ac:dyDescent="0.25">
      <c r="K7641" s="26" t="s">
        <v>110</v>
      </c>
      <c r="L7641" s="27" t="s">
        <v>119</v>
      </c>
      <c r="M7641" s="10">
        <v>462.10720887245844</v>
      </c>
    </row>
    <row r="7642" spans="11:13" x14ac:dyDescent="0.25">
      <c r="K7642" s="26" t="s">
        <v>110</v>
      </c>
      <c r="L7642" s="27" t="s">
        <v>115</v>
      </c>
      <c r="M7642" s="10">
        <v>400.49291435613065</v>
      </c>
    </row>
    <row r="7643" spans="11:13" x14ac:dyDescent="0.25">
      <c r="K7643" s="26" t="s">
        <v>112</v>
      </c>
      <c r="L7643" s="27" t="s">
        <v>116</v>
      </c>
      <c r="M7643" s="10">
        <v>117.20096518441916</v>
      </c>
    </row>
    <row r="7644" spans="11:13" x14ac:dyDescent="0.25">
      <c r="K7644" s="26" t="s">
        <v>112</v>
      </c>
      <c r="L7644" s="27" t="s">
        <v>117</v>
      </c>
      <c r="M7644" s="10">
        <v>308.07147258163894</v>
      </c>
    </row>
    <row r="7645" spans="11:13" x14ac:dyDescent="0.25">
      <c r="K7645" s="26" t="s">
        <v>112</v>
      </c>
      <c r="L7645" s="27" t="s">
        <v>118</v>
      </c>
      <c r="M7645" s="10">
        <v>154.03573629081947</v>
      </c>
    </row>
    <row r="7646" spans="11:13" x14ac:dyDescent="0.25">
      <c r="K7646" s="26" t="s">
        <v>112</v>
      </c>
      <c r="L7646" s="27" t="s">
        <v>119</v>
      </c>
      <c r="M7646" s="10">
        <v>12.06354896529249</v>
      </c>
    </row>
    <row r="7647" spans="11:13" x14ac:dyDescent="0.25">
      <c r="K7647" s="26" t="s">
        <v>112</v>
      </c>
      <c r="L7647" s="27" t="s">
        <v>115</v>
      </c>
      <c r="M7647" s="10">
        <v>280.85379553843683</v>
      </c>
    </row>
    <row r="7648" spans="11:13" x14ac:dyDescent="0.25">
      <c r="K7648" s="26" t="s">
        <v>110</v>
      </c>
      <c r="L7648" s="27" t="s">
        <v>116</v>
      </c>
      <c r="M7648" s="10">
        <v>77.160493827160494</v>
      </c>
    </row>
    <row r="7649" spans="11:13" x14ac:dyDescent="0.25">
      <c r="K7649" s="26" t="s">
        <v>110</v>
      </c>
      <c r="L7649" s="27" t="s">
        <v>117</v>
      </c>
      <c r="M7649" s="10">
        <v>375.33881563835166</v>
      </c>
    </row>
    <row r="7650" spans="11:13" x14ac:dyDescent="0.25">
      <c r="K7650" s="26" t="s">
        <v>110</v>
      </c>
      <c r="L7650" s="27" t="s">
        <v>118</v>
      </c>
      <c r="M7650" s="10">
        <v>64.110196268786581</v>
      </c>
    </row>
    <row r="7651" spans="11:13" x14ac:dyDescent="0.25">
      <c r="K7651" s="26" t="s">
        <v>110</v>
      </c>
      <c r="L7651" s="27" t="s">
        <v>119</v>
      </c>
      <c r="M7651" s="10">
        <v>154.03573629081947</v>
      </c>
    </row>
    <row r="7652" spans="11:13" x14ac:dyDescent="0.25">
      <c r="K7652" s="26" t="s">
        <v>110</v>
      </c>
      <c r="L7652" s="27" t="s">
        <v>115</v>
      </c>
      <c r="M7652" s="10">
        <v>64.110196268786581</v>
      </c>
    </row>
    <row r="7653" spans="11:13" x14ac:dyDescent="0.25">
      <c r="K7653" s="26" t="s">
        <v>112</v>
      </c>
      <c r="L7653" s="27" t="s">
        <v>116</v>
      </c>
      <c r="M7653" s="10">
        <v>154.03573629081947</v>
      </c>
    </row>
    <row r="7654" spans="11:13" x14ac:dyDescent="0.25">
      <c r="K7654" s="26" t="s">
        <v>112</v>
      </c>
      <c r="L7654" s="27" t="s">
        <v>117</v>
      </c>
      <c r="M7654" s="10">
        <v>385.44062287204662</v>
      </c>
    </row>
    <row r="7655" spans="11:13" x14ac:dyDescent="0.25">
      <c r="K7655" s="26" t="s">
        <v>110</v>
      </c>
      <c r="L7655" s="27" t="s">
        <v>118</v>
      </c>
      <c r="M7655" s="10">
        <v>142.94200000000001</v>
      </c>
    </row>
    <row r="7656" spans="11:13" x14ac:dyDescent="0.25">
      <c r="K7656" s="26" t="s">
        <v>110</v>
      </c>
      <c r="L7656" s="27" t="s">
        <v>119</v>
      </c>
      <c r="M7656" s="10">
        <v>142.94200000000001</v>
      </c>
    </row>
    <row r="7657" spans="11:13" x14ac:dyDescent="0.25">
      <c r="K7657" s="26" t="s">
        <v>109</v>
      </c>
      <c r="L7657" s="27" t="s">
        <v>115</v>
      </c>
      <c r="M7657" s="10">
        <v>61.614294516327789</v>
      </c>
    </row>
    <row r="7658" spans="11:13" x14ac:dyDescent="0.25">
      <c r="K7658" s="26" t="s">
        <v>109</v>
      </c>
      <c r="L7658" s="27" t="s">
        <v>116</v>
      </c>
      <c r="M7658" s="10">
        <v>77.017868145409736</v>
      </c>
    </row>
    <row r="7659" spans="11:13" x14ac:dyDescent="0.25">
      <c r="K7659" s="26" t="s">
        <v>110</v>
      </c>
      <c r="L7659" s="27" t="s">
        <v>117</v>
      </c>
      <c r="M7659" s="10">
        <v>34.470872113064452</v>
      </c>
    </row>
    <row r="7660" spans="11:13" x14ac:dyDescent="0.25">
      <c r="K7660" s="26" t="s">
        <v>112</v>
      </c>
      <c r="L7660" s="27" t="s">
        <v>118</v>
      </c>
      <c r="M7660" s="10">
        <v>1232.2858903265558</v>
      </c>
    </row>
    <row r="7661" spans="11:13" x14ac:dyDescent="0.25">
      <c r="K7661" s="26" t="s">
        <v>109</v>
      </c>
      <c r="L7661" s="27" t="s">
        <v>119</v>
      </c>
      <c r="M7661" s="10">
        <v>549.51596801817072</v>
      </c>
    </row>
    <row r="7662" spans="11:13" x14ac:dyDescent="0.25">
      <c r="K7662" s="26" t="s">
        <v>110</v>
      </c>
      <c r="L7662" s="27" t="s">
        <v>115</v>
      </c>
      <c r="M7662" s="10">
        <v>66.137566137566139</v>
      </c>
    </row>
    <row r="7663" spans="11:13" x14ac:dyDescent="0.25">
      <c r="K7663" s="26" t="s">
        <v>110</v>
      </c>
      <c r="L7663" s="27" t="s">
        <v>116</v>
      </c>
      <c r="M7663" s="10">
        <v>81.006549465701482</v>
      </c>
    </row>
    <row r="7664" spans="11:13" x14ac:dyDescent="0.25">
      <c r="K7664" s="26" t="s">
        <v>110</v>
      </c>
      <c r="L7664" s="27" t="s">
        <v>117</v>
      </c>
      <c r="M7664" s="10">
        <v>13.227513227513228</v>
      </c>
    </row>
    <row r="7665" spans="11:13" x14ac:dyDescent="0.25">
      <c r="K7665" s="26" t="s">
        <v>109</v>
      </c>
      <c r="L7665" s="27" t="s">
        <v>118</v>
      </c>
      <c r="M7665" s="10">
        <v>88.183421516754848</v>
      </c>
    </row>
    <row r="7666" spans="11:13" x14ac:dyDescent="0.25">
      <c r="K7666" s="26" t="s">
        <v>109</v>
      </c>
      <c r="L7666" s="27" t="s">
        <v>119</v>
      </c>
      <c r="M7666" s="10">
        <v>3.8508934072704868</v>
      </c>
    </row>
    <row r="7667" spans="11:13" x14ac:dyDescent="0.25">
      <c r="K7667" s="26" t="s">
        <v>110</v>
      </c>
      <c r="L7667" s="27" t="s">
        <v>115</v>
      </c>
      <c r="M7667" s="10">
        <v>31.023784901758013</v>
      </c>
    </row>
    <row r="7668" spans="11:13" x14ac:dyDescent="0.25">
      <c r="K7668" s="26" t="s">
        <v>110</v>
      </c>
      <c r="L7668" s="27" t="s">
        <v>116</v>
      </c>
      <c r="M7668" s="10">
        <v>2.7576697690451564</v>
      </c>
    </row>
    <row r="7669" spans="11:13" x14ac:dyDescent="0.25">
      <c r="K7669" s="26" t="s">
        <v>110</v>
      </c>
      <c r="L7669" s="27" t="s">
        <v>117</v>
      </c>
      <c r="M7669" s="10">
        <v>137.88348845225781</v>
      </c>
    </row>
    <row r="7670" spans="11:13" x14ac:dyDescent="0.25">
      <c r="K7670" s="26" t="s">
        <v>110</v>
      </c>
      <c r="L7670" s="27" t="s">
        <v>118</v>
      </c>
      <c r="M7670" s="10">
        <v>354.28219346888477</v>
      </c>
    </row>
    <row r="7671" spans="11:13" x14ac:dyDescent="0.25">
      <c r="K7671" s="26" t="s">
        <v>110</v>
      </c>
      <c r="L7671" s="27" t="s">
        <v>119</v>
      </c>
      <c r="M7671" s="10">
        <v>1102.2927689594355</v>
      </c>
    </row>
    <row r="7672" spans="11:13" x14ac:dyDescent="0.25">
      <c r="K7672" s="26" t="s">
        <v>110</v>
      </c>
      <c r="L7672" s="27" t="s">
        <v>115</v>
      </c>
      <c r="M7672" s="10">
        <v>46.210720887245841</v>
      </c>
    </row>
    <row r="7673" spans="11:13" x14ac:dyDescent="0.25">
      <c r="K7673" s="26" t="s">
        <v>112</v>
      </c>
      <c r="L7673" s="27" t="s">
        <v>116</v>
      </c>
      <c r="M7673" s="10">
        <v>76.258758350985829</v>
      </c>
    </row>
    <row r="7674" spans="11:13" x14ac:dyDescent="0.25">
      <c r="K7674" s="26" t="s">
        <v>112</v>
      </c>
      <c r="L7674" s="27" t="s">
        <v>117</v>
      </c>
      <c r="M7674" s="10">
        <v>231.05360443622922</v>
      </c>
    </row>
    <row r="7675" spans="11:13" x14ac:dyDescent="0.25">
      <c r="K7675" s="26" t="s">
        <v>112</v>
      </c>
      <c r="L7675" s="27" t="s">
        <v>118</v>
      </c>
      <c r="M7675" s="10">
        <v>184.84288354898337</v>
      </c>
    </row>
    <row r="7676" spans="11:13" x14ac:dyDescent="0.25">
      <c r="K7676" s="26" t="s">
        <v>110</v>
      </c>
      <c r="L7676" s="27" t="s">
        <v>119</v>
      </c>
      <c r="M7676" s="10">
        <v>84.718839351900883</v>
      </c>
    </row>
    <row r="7677" spans="11:13" x14ac:dyDescent="0.25">
      <c r="K7677" s="26" t="s">
        <v>110</v>
      </c>
      <c r="L7677" s="27" t="s">
        <v>115</v>
      </c>
      <c r="M7677" s="10">
        <v>92.421441774491683</v>
      </c>
    </row>
    <row r="7678" spans="11:13" x14ac:dyDescent="0.25">
      <c r="K7678" s="26" t="s">
        <v>110</v>
      </c>
      <c r="L7678" s="27" t="s">
        <v>116</v>
      </c>
      <c r="M7678" s="10">
        <v>123.22858903265558</v>
      </c>
    </row>
    <row r="7679" spans="11:13" x14ac:dyDescent="0.25">
      <c r="K7679" s="26" t="s">
        <v>112</v>
      </c>
      <c r="L7679" s="27" t="s">
        <v>117</v>
      </c>
      <c r="M7679" s="10">
        <v>1.7580144777662874</v>
      </c>
    </row>
    <row r="7680" spans="11:13" x14ac:dyDescent="0.25">
      <c r="K7680" s="26" t="s">
        <v>110</v>
      </c>
      <c r="L7680" s="27" t="s">
        <v>118</v>
      </c>
      <c r="M7680" s="10">
        <v>69.316081330868769</v>
      </c>
    </row>
    <row r="7681" spans="11:13" x14ac:dyDescent="0.25">
      <c r="K7681" s="26" t="s">
        <v>110</v>
      </c>
      <c r="L7681" s="27" t="s">
        <v>119</v>
      </c>
      <c r="M7681" s="10">
        <v>13.788348845225784</v>
      </c>
    </row>
    <row r="7682" spans="11:13" x14ac:dyDescent="0.25">
      <c r="K7682" s="26" t="s">
        <v>110</v>
      </c>
      <c r="L7682" s="27" t="s">
        <v>115</v>
      </c>
      <c r="M7682" s="10">
        <v>25</v>
      </c>
    </row>
    <row r="7683" spans="11:13" x14ac:dyDescent="0.25">
      <c r="K7683" s="26" t="s">
        <v>110</v>
      </c>
      <c r="L7683" s="27" t="s">
        <v>116</v>
      </c>
      <c r="M7683" s="10">
        <v>123.22858903265558</v>
      </c>
    </row>
    <row r="7684" spans="11:13" x14ac:dyDescent="0.25">
      <c r="K7684" s="26" t="s">
        <v>110</v>
      </c>
      <c r="L7684" s="27" t="s">
        <v>117</v>
      </c>
      <c r="M7684" s="10">
        <v>440.91710758377428</v>
      </c>
    </row>
    <row r="7685" spans="11:13" x14ac:dyDescent="0.25">
      <c r="K7685" s="26" t="s">
        <v>110</v>
      </c>
      <c r="L7685" s="27" t="s">
        <v>118</v>
      </c>
      <c r="M7685" s="10">
        <v>433.43653250773997</v>
      </c>
    </row>
    <row r="7686" spans="11:13" x14ac:dyDescent="0.25">
      <c r="K7686" s="26" t="s">
        <v>110</v>
      </c>
      <c r="L7686" s="27" t="s">
        <v>119</v>
      </c>
      <c r="M7686" s="10">
        <v>77.017868145409736</v>
      </c>
    </row>
    <row r="7687" spans="11:13" x14ac:dyDescent="0.25">
      <c r="K7687" s="26" t="s">
        <v>109</v>
      </c>
      <c r="L7687" s="27" t="s">
        <v>115</v>
      </c>
      <c r="M7687" s="10">
        <v>12.707825902785132</v>
      </c>
    </row>
    <row r="7688" spans="11:13" x14ac:dyDescent="0.25">
      <c r="K7688" s="26" t="s">
        <v>111</v>
      </c>
      <c r="L7688" s="27" t="s">
        <v>116</v>
      </c>
      <c r="M7688" s="10">
        <v>308.21426930674875</v>
      </c>
    </row>
    <row r="7689" spans="11:13" x14ac:dyDescent="0.25">
      <c r="K7689" s="26" t="s">
        <v>109</v>
      </c>
      <c r="L7689" s="27" t="s">
        <v>117</v>
      </c>
      <c r="M7689" s="10">
        <v>183.17198933939025</v>
      </c>
    </row>
    <row r="7690" spans="11:13" x14ac:dyDescent="0.25">
      <c r="K7690" s="26" t="s">
        <v>114</v>
      </c>
      <c r="L7690" s="27" t="s">
        <v>118</v>
      </c>
      <c r="M7690" s="10">
        <v>183.17198933939025</v>
      </c>
    </row>
    <row r="7691" spans="11:13" x14ac:dyDescent="0.25">
      <c r="K7691" s="26" t="s">
        <v>110</v>
      </c>
      <c r="L7691" s="27" t="s">
        <v>119</v>
      </c>
      <c r="M7691" s="10">
        <v>150</v>
      </c>
    </row>
    <row r="7692" spans="11:13" x14ac:dyDescent="0.25">
      <c r="K7692" s="26" t="s">
        <v>109</v>
      </c>
      <c r="L7692" s="27" t="s">
        <v>115</v>
      </c>
      <c r="M7692" s="10">
        <v>14.425340151349685</v>
      </c>
    </row>
    <row r="7693" spans="11:13" x14ac:dyDescent="0.25">
      <c r="K7693" s="26" t="s">
        <v>112</v>
      </c>
      <c r="L7693" s="27" t="s">
        <v>116</v>
      </c>
      <c r="M7693" s="10">
        <v>184.84288354898337</v>
      </c>
    </row>
    <row r="7694" spans="11:13" x14ac:dyDescent="0.25">
      <c r="K7694" s="26" t="s">
        <v>113</v>
      </c>
      <c r="L7694" s="27" t="s">
        <v>117</v>
      </c>
      <c r="M7694" s="10">
        <v>79.423911892407062</v>
      </c>
    </row>
    <row r="7695" spans="11:13" x14ac:dyDescent="0.25">
      <c r="K7695" s="26" t="s">
        <v>113</v>
      </c>
      <c r="L7695" s="27" t="s">
        <v>118</v>
      </c>
      <c r="M7695" s="10">
        <v>15.403573629081947</v>
      </c>
    </row>
    <row r="7696" spans="11:13" x14ac:dyDescent="0.25">
      <c r="K7696" s="26" t="s">
        <v>113</v>
      </c>
      <c r="L7696" s="27" t="s">
        <v>119</v>
      </c>
      <c r="M7696" s="10">
        <v>7.7017868145409736</v>
      </c>
    </row>
    <row r="7697" spans="11:13" x14ac:dyDescent="0.25">
      <c r="K7697" s="26" t="s">
        <v>113</v>
      </c>
      <c r="L7697" s="27" t="s">
        <v>115</v>
      </c>
      <c r="M7697" s="10">
        <v>7.7017868145409736</v>
      </c>
    </row>
    <row r="7698" spans="11:13" x14ac:dyDescent="0.25">
      <c r="K7698" s="26" t="s">
        <v>113</v>
      </c>
      <c r="L7698" s="27" t="s">
        <v>116</v>
      </c>
      <c r="M7698" s="10">
        <v>7.7017868145409736</v>
      </c>
    </row>
    <row r="7699" spans="11:13" x14ac:dyDescent="0.25">
      <c r="K7699" s="26" t="s">
        <v>109</v>
      </c>
      <c r="L7699" s="27" t="s">
        <v>117</v>
      </c>
      <c r="M7699" s="10">
        <v>385.80246913580248</v>
      </c>
    </row>
    <row r="7700" spans="11:13" x14ac:dyDescent="0.25">
      <c r="K7700" s="26" t="s">
        <v>110</v>
      </c>
      <c r="L7700" s="27" t="s">
        <v>118</v>
      </c>
      <c r="M7700" s="10">
        <v>980.27999999999986</v>
      </c>
    </row>
    <row r="7701" spans="11:13" x14ac:dyDescent="0.25">
      <c r="K7701" s="26" t="s">
        <v>110</v>
      </c>
      <c r="L7701" s="27" t="s">
        <v>119</v>
      </c>
      <c r="M7701" s="10">
        <v>44.670363524337645</v>
      </c>
    </row>
    <row r="7702" spans="11:13" x14ac:dyDescent="0.25">
      <c r="K7702" s="26" t="s">
        <v>112</v>
      </c>
      <c r="L7702" s="27" t="s">
        <v>115</v>
      </c>
      <c r="M7702" s="10">
        <v>165.4601861427094</v>
      </c>
    </row>
    <row r="7703" spans="11:13" x14ac:dyDescent="0.25">
      <c r="K7703" s="26" t="s">
        <v>112</v>
      </c>
      <c r="L7703" s="27" t="s">
        <v>116</v>
      </c>
      <c r="M7703" s="10">
        <v>123.22858903265558</v>
      </c>
    </row>
    <row r="7704" spans="11:13" x14ac:dyDescent="0.25">
      <c r="K7704" s="26" t="s">
        <v>110</v>
      </c>
      <c r="L7704" s="27" t="s">
        <v>117</v>
      </c>
      <c r="M7704" s="10">
        <v>77.160493827160494</v>
      </c>
    </row>
    <row r="7705" spans="11:13" x14ac:dyDescent="0.25">
      <c r="K7705" s="26" t="s">
        <v>112</v>
      </c>
      <c r="L7705" s="27" t="s">
        <v>118</v>
      </c>
      <c r="M7705" s="10">
        <v>92.421441774491683</v>
      </c>
    </row>
    <row r="7706" spans="11:13" x14ac:dyDescent="0.25">
      <c r="K7706" s="26" t="s">
        <v>111</v>
      </c>
      <c r="L7706" s="27" t="s">
        <v>119</v>
      </c>
      <c r="M7706" s="10">
        <v>308.07147258163894</v>
      </c>
    </row>
    <row r="7707" spans="11:13" x14ac:dyDescent="0.25">
      <c r="K7707" s="26" t="s">
        <v>109</v>
      </c>
      <c r="L7707" s="27" t="s">
        <v>115</v>
      </c>
      <c r="M7707" s="10">
        <v>8.1030710639332302</v>
      </c>
    </row>
    <row r="7708" spans="11:13" x14ac:dyDescent="0.25">
      <c r="K7708" s="26" t="s">
        <v>110</v>
      </c>
      <c r="L7708" s="27" t="s">
        <v>116</v>
      </c>
      <c r="M7708" s="10">
        <v>231.05360443622922</v>
      </c>
    </row>
    <row r="7709" spans="11:13" x14ac:dyDescent="0.25">
      <c r="K7709" s="26" t="s">
        <v>110</v>
      </c>
      <c r="L7709" s="27" t="s">
        <v>117</v>
      </c>
      <c r="M7709" s="10">
        <v>154.03573629081947</v>
      </c>
    </row>
    <row r="7710" spans="11:13" x14ac:dyDescent="0.25">
      <c r="K7710" s="26" t="s">
        <v>110</v>
      </c>
      <c r="L7710" s="27" t="s">
        <v>118</v>
      </c>
      <c r="M7710" s="10">
        <v>10</v>
      </c>
    </row>
    <row r="7711" spans="11:13" x14ac:dyDescent="0.25">
      <c r="K7711" s="26" t="s">
        <v>113</v>
      </c>
      <c r="L7711" s="27" t="s">
        <v>119</v>
      </c>
      <c r="M7711" s="10">
        <v>25</v>
      </c>
    </row>
    <row r="7712" spans="11:13" x14ac:dyDescent="0.25">
      <c r="K7712" s="26" t="s">
        <v>113</v>
      </c>
      <c r="L7712" s="27" t="s">
        <v>115</v>
      </c>
      <c r="M7712" s="10">
        <v>10</v>
      </c>
    </row>
    <row r="7713" spans="11:13" x14ac:dyDescent="0.25">
      <c r="K7713" s="26" t="s">
        <v>113</v>
      </c>
      <c r="L7713" s="27" t="s">
        <v>116</v>
      </c>
      <c r="M7713" s="10">
        <v>46.210720887245841</v>
      </c>
    </row>
    <row r="7714" spans="11:13" x14ac:dyDescent="0.25">
      <c r="K7714" s="26" t="s">
        <v>113</v>
      </c>
      <c r="L7714" s="27" t="s">
        <v>117</v>
      </c>
      <c r="M7714" s="10">
        <v>23.105360443622921</v>
      </c>
    </row>
    <row r="7715" spans="11:13" x14ac:dyDescent="0.25">
      <c r="K7715" s="26" t="s">
        <v>113</v>
      </c>
      <c r="L7715" s="27" t="s">
        <v>118</v>
      </c>
      <c r="M7715" s="10">
        <v>200</v>
      </c>
    </row>
    <row r="7716" spans="11:13" x14ac:dyDescent="0.25">
      <c r="K7716" s="26" t="s">
        <v>113</v>
      </c>
      <c r="L7716" s="27" t="s">
        <v>119</v>
      </c>
      <c r="M7716" s="10">
        <v>12.322858903265558</v>
      </c>
    </row>
    <row r="7717" spans="11:13" x14ac:dyDescent="0.25">
      <c r="K7717" s="26" t="s">
        <v>111</v>
      </c>
      <c r="L7717" s="27" t="s">
        <v>115</v>
      </c>
      <c r="M7717" s="10">
        <v>7.1649029982363315</v>
      </c>
    </row>
    <row r="7718" spans="11:13" x14ac:dyDescent="0.25">
      <c r="K7718" s="26" t="s">
        <v>109</v>
      </c>
      <c r="L7718" s="27" t="s">
        <v>116</v>
      </c>
      <c r="M7718" s="10">
        <v>450.0688340569734</v>
      </c>
    </row>
    <row r="7719" spans="11:13" x14ac:dyDescent="0.25">
      <c r="K7719" s="26" t="s">
        <v>110</v>
      </c>
      <c r="L7719" s="27" t="s">
        <v>117</v>
      </c>
      <c r="M7719" s="10">
        <v>77.017868145409736</v>
      </c>
    </row>
    <row r="7720" spans="11:13" x14ac:dyDescent="0.25">
      <c r="K7720" s="26" t="s">
        <v>110</v>
      </c>
      <c r="L7720" s="27" t="s">
        <v>118</v>
      </c>
      <c r="M7720" s="10">
        <v>79.085335797905103</v>
      </c>
    </row>
    <row r="7721" spans="11:13" x14ac:dyDescent="0.25">
      <c r="K7721" s="26" t="s">
        <v>113</v>
      </c>
      <c r="L7721" s="27" t="s">
        <v>119</v>
      </c>
      <c r="M7721" s="10">
        <v>141.95829173802744</v>
      </c>
    </row>
    <row r="7722" spans="11:13" x14ac:dyDescent="0.25">
      <c r="K7722" s="26" t="s">
        <v>111</v>
      </c>
      <c r="L7722" s="27" t="s">
        <v>115</v>
      </c>
      <c r="M7722" s="10">
        <v>146.32694368377187</v>
      </c>
    </row>
    <row r="7723" spans="11:13" x14ac:dyDescent="0.25">
      <c r="K7723" s="26" t="s">
        <v>110</v>
      </c>
      <c r="L7723" s="27" t="s">
        <v>116</v>
      </c>
      <c r="M7723" s="10">
        <v>211.79709837975219</v>
      </c>
    </row>
    <row r="7724" spans="11:13" x14ac:dyDescent="0.25">
      <c r="K7724" s="26" t="s">
        <v>110</v>
      </c>
      <c r="L7724" s="27" t="s">
        <v>117</v>
      </c>
      <c r="M7724" s="10">
        <v>92.421441774491683</v>
      </c>
    </row>
    <row r="7725" spans="11:13" x14ac:dyDescent="0.25">
      <c r="K7725" s="26" t="s">
        <v>113</v>
      </c>
      <c r="L7725" s="27" t="s">
        <v>118</v>
      </c>
      <c r="M7725" s="10">
        <v>30.807147258163894</v>
      </c>
    </row>
    <row r="7726" spans="11:13" x14ac:dyDescent="0.25">
      <c r="K7726" s="26" t="s">
        <v>113</v>
      </c>
      <c r="L7726" s="27" t="s">
        <v>119</v>
      </c>
      <c r="M7726" s="10">
        <v>308.07147258163894</v>
      </c>
    </row>
    <row r="7727" spans="11:13" x14ac:dyDescent="0.25">
      <c r="K7727" s="26" t="s">
        <v>113</v>
      </c>
      <c r="L7727" s="27" t="s">
        <v>115</v>
      </c>
      <c r="M7727" s="10">
        <v>26.076180627369872</v>
      </c>
    </row>
    <row r="7728" spans="11:13" x14ac:dyDescent="0.25">
      <c r="K7728" s="26" t="s">
        <v>113</v>
      </c>
      <c r="L7728" s="27" t="s">
        <v>116</v>
      </c>
      <c r="M7728" s="10">
        <v>61.614294516327789</v>
      </c>
    </row>
    <row r="7729" spans="11:13" x14ac:dyDescent="0.25">
      <c r="K7729" s="26" t="s">
        <v>113</v>
      </c>
      <c r="L7729" s="27" t="s">
        <v>117</v>
      </c>
      <c r="M7729" s="10">
        <v>16.294606485253382</v>
      </c>
    </row>
    <row r="7730" spans="11:13" x14ac:dyDescent="0.25">
      <c r="K7730" s="26" t="s">
        <v>113</v>
      </c>
      <c r="L7730" s="27" t="s">
        <v>118</v>
      </c>
      <c r="M7730" s="10">
        <v>462.10720887245844</v>
      </c>
    </row>
    <row r="7731" spans="11:13" x14ac:dyDescent="0.25">
      <c r="K7731" s="26" t="s">
        <v>113</v>
      </c>
      <c r="L7731" s="27" t="s">
        <v>119</v>
      </c>
      <c r="M7731" s="10">
        <v>34.470872113064452</v>
      </c>
    </row>
    <row r="7732" spans="11:13" x14ac:dyDescent="0.25">
      <c r="K7732" s="26" t="s">
        <v>113</v>
      </c>
      <c r="L7732" s="27" t="s">
        <v>115</v>
      </c>
      <c r="M7732" s="10">
        <v>203.32717190388172</v>
      </c>
    </row>
    <row r="7733" spans="11:13" x14ac:dyDescent="0.25">
      <c r="K7733" s="26" t="s">
        <v>113</v>
      </c>
      <c r="L7733" s="27" t="s">
        <v>116</v>
      </c>
      <c r="M7733" s="10">
        <v>154.32098765432099</v>
      </c>
    </row>
    <row r="7734" spans="11:13" x14ac:dyDescent="0.25">
      <c r="K7734" s="26" t="s">
        <v>113</v>
      </c>
      <c r="L7734" s="27" t="s">
        <v>117</v>
      </c>
      <c r="M7734" s="10">
        <v>6.8941744226128918</v>
      </c>
    </row>
    <row r="7735" spans="11:13" x14ac:dyDescent="0.25">
      <c r="K7735" s="26" t="s">
        <v>113</v>
      </c>
      <c r="L7735" s="27" t="s">
        <v>118</v>
      </c>
      <c r="M7735" s="10">
        <v>308.07147258163894</v>
      </c>
    </row>
    <row r="7736" spans="11:13" x14ac:dyDescent="0.25">
      <c r="K7736" s="26" t="s">
        <v>113</v>
      </c>
      <c r="L7736" s="27" t="s">
        <v>119</v>
      </c>
      <c r="M7736" s="10">
        <v>308.07147258163894</v>
      </c>
    </row>
    <row r="7737" spans="11:13" x14ac:dyDescent="0.25">
      <c r="K7737" s="26" t="s">
        <v>113</v>
      </c>
      <c r="L7737" s="27" t="s">
        <v>115</v>
      </c>
      <c r="M7737" s="10">
        <v>23.105360443622921</v>
      </c>
    </row>
    <row r="7738" spans="11:13" x14ac:dyDescent="0.25">
      <c r="K7738" s="26" t="s">
        <v>113</v>
      </c>
      <c r="L7738" s="27" t="s">
        <v>116</v>
      </c>
      <c r="M7738" s="10">
        <v>1.5403573629081947E-2</v>
      </c>
    </row>
    <row r="7739" spans="11:13" x14ac:dyDescent="0.25">
      <c r="K7739" s="26" t="s">
        <v>113</v>
      </c>
      <c r="L7739" s="27" t="s">
        <v>117</v>
      </c>
      <c r="M7739" s="10">
        <v>31.769564756962826</v>
      </c>
    </row>
    <row r="7740" spans="11:13" x14ac:dyDescent="0.25">
      <c r="K7740" s="26" t="s">
        <v>113</v>
      </c>
      <c r="L7740" s="27" t="s">
        <v>118</v>
      </c>
      <c r="M7740" s="10">
        <v>22</v>
      </c>
    </row>
    <row r="7741" spans="11:13" x14ac:dyDescent="0.25">
      <c r="K7741" s="26" t="s">
        <v>113</v>
      </c>
      <c r="L7741" s="27" t="s">
        <v>119</v>
      </c>
      <c r="M7741" s="10">
        <v>46.210720887245841</v>
      </c>
    </row>
    <row r="7742" spans="11:13" x14ac:dyDescent="0.25">
      <c r="K7742" s="26" t="s">
        <v>113</v>
      </c>
      <c r="L7742" s="27" t="s">
        <v>115</v>
      </c>
      <c r="M7742" s="10">
        <v>242.50440917107585</v>
      </c>
    </row>
    <row r="7743" spans="11:13" x14ac:dyDescent="0.25">
      <c r="K7743" s="26" t="s">
        <v>113</v>
      </c>
      <c r="L7743" s="27" t="s">
        <v>116</v>
      </c>
      <c r="M7743" s="10">
        <v>0</v>
      </c>
    </row>
    <row r="7744" spans="11:13" x14ac:dyDescent="0.25">
      <c r="K7744" s="26" t="s">
        <v>113</v>
      </c>
      <c r="L7744" s="27" t="s">
        <v>117</v>
      </c>
      <c r="M7744" s="10">
        <v>23.105360443622921</v>
      </c>
    </row>
    <row r="7745" spans="11:13" x14ac:dyDescent="0.25">
      <c r="K7745" s="26" t="s">
        <v>111</v>
      </c>
      <c r="L7745" s="27" t="s">
        <v>118</v>
      </c>
      <c r="M7745" s="10">
        <v>64.195153265928425</v>
      </c>
    </row>
    <row r="7746" spans="11:13" x14ac:dyDescent="0.25">
      <c r="K7746" s="26" t="s">
        <v>109</v>
      </c>
      <c r="L7746" s="27" t="s">
        <v>119</v>
      </c>
      <c r="M7746" s="10">
        <v>183.17198933939025</v>
      </c>
    </row>
    <row r="7747" spans="11:13" x14ac:dyDescent="0.25">
      <c r="K7747" s="26" t="s">
        <v>113</v>
      </c>
      <c r="L7747" s="27" t="s">
        <v>115</v>
      </c>
      <c r="M7747" s="10">
        <v>20.042912389346419</v>
      </c>
    </row>
    <row r="7748" spans="11:13" x14ac:dyDescent="0.25">
      <c r="K7748" s="26" t="s">
        <v>113</v>
      </c>
      <c r="L7748" s="27" t="s">
        <v>116</v>
      </c>
      <c r="M7748" s="10">
        <v>54.951596801817075</v>
      </c>
    </row>
    <row r="7749" spans="11:13" x14ac:dyDescent="0.25">
      <c r="K7749" s="26" t="s">
        <v>113</v>
      </c>
      <c r="L7749" s="27" t="s">
        <v>117</v>
      </c>
      <c r="M7749" s="10">
        <v>0</v>
      </c>
    </row>
    <row r="7750" spans="11:13" x14ac:dyDescent="0.25">
      <c r="K7750" s="26" t="s">
        <v>113</v>
      </c>
      <c r="L7750" s="27" t="s">
        <v>118</v>
      </c>
      <c r="M7750" s="10">
        <v>86.177180282661155</v>
      </c>
    </row>
    <row r="7751" spans="11:13" x14ac:dyDescent="0.25">
      <c r="K7751" s="26" t="s">
        <v>113</v>
      </c>
      <c r="L7751" s="27" t="s">
        <v>119</v>
      </c>
      <c r="M7751" s="10">
        <v>105.89854918987609</v>
      </c>
    </row>
    <row r="7752" spans="11:13" x14ac:dyDescent="0.25">
      <c r="K7752" s="26" t="s">
        <v>113</v>
      </c>
      <c r="L7752" s="27" t="s">
        <v>115</v>
      </c>
      <c r="M7752" s="10">
        <v>5.8660583346912167</v>
      </c>
    </row>
    <row r="7753" spans="11:13" x14ac:dyDescent="0.25">
      <c r="K7753" s="26" t="s">
        <v>113</v>
      </c>
      <c r="L7753" s="27" t="s">
        <v>116</v>
      </c>
      <c r="M7753" s="10">
        <v>385.44062287204662</v>
      </c>
    </row>
    <row r="7754" spans="11:13" x14ac:dyDescent="0.25">
      <c r="K7754" s="26" t="s">
        <v>113</v>
      </c>
      <c r="L7754" s="27" t="s">
        <v>117</v>
      </c>
      <c r="M7754" s="10">
        <v>75.435291955712771</v>
      </c>
    </row>
    <row r="7755" spans="11:13" x14ac:dyDescent="0.25">
      <c r="K7755" s="26" t="s">
        <v>113</v>
      </c>
      <c r="L7755" s="27" t="s">
        <v>118</v>
      </c>
      <c r="M7755" s="10">
        <v>15.511892450879007</v>
      </c>
    </row>
    <row r="7756" spans="11:13" x14ac:dyDescent="0.25">
      <c r="K7756" s="26" t="s">
        <v>113</v>
      </c>
      <c r="L7756" s="27" t="s">
        <v>119</v>
      </c>
      <c r="M7756" s="10">
        <v>154.03573629081947</v>
      </c>
    </row>
    <row r="7757" spans="11:13" x14ac:dyDescent="0.25">
      <c r="K7757" s="26" t="s">
        <v>113</v>
      </c>
      <c r="L7757" s="27" t="s">
        <v>115</v>
      </c>
      <c r="M7757" s="10">
        <v>61.614294516327789</v>
      </c>
    </row>
    <row r="7758" spans="11:13" x14ac:dyDescent="0.25">
      <c r="K7758" s="26" t="s">
        <v>113</v>
      </c>
      <c r="L7758" s="27" t="s">
        <v>116</v>
      </c>
      <c r="M7758" s="10">
        <v>12.125220458553793</v>
      </c>
    </row>
    <row r="7759" spans="11:13" x14ac:dyDescent="0.25">
      <c r="K7759" s="26" t="s">
        <v>113</v>
      </c>
      <c r="L7759" s="27" t="s">
        <v>117</v>
      </c>
      <c r="M7759" s="10">
        <v>16.173752310536045</v>
      </c>
    </row>
    <row r="7760" spans="11:13" x14ac:dyDescent="0.25">
      <c r="K7760" s="26" t="s">
        <v>113</v>
      </c>
      <c r="L7760" s="27" t="s">
        <v>118</v>
      </c>
      <c r="M7760" s="10">
        <v>92.421441774491683</v>
      </c>
    </row>
    <row r="7761" spans="11:13" x14ac:dyDescent="0.25">
      <c r="K7761" s="26" t="s">
        <v>113</v>
      </c>
      <c r="L7761" s="27" t="s">
        <v>119</v>
      </c>
      <c r="M7761" s="10">
        <v>92.421441774491683</v>
      </c>
    </row>
    <row r="7762" spans="11:13" x14ac:dyDescent="0.25">
      <c r="K7762" s="26" t="s">
        <v>113</v>
      </c>
      <c r="L7762" s="27" t="s">
        <v>115</v>
      </c>
      <c r="M7762" s="10">
        <v>8.1030710639332302</v>
      </c>
    </row>
    <row r="7763" spans="11:13" x14ac:dyDescent="0.25">
      <c r="K7763" s="26" t="s">
        <v>113</v>
      </c>
      <c r="L7763" s="27" t="s">
        <v>116</v>
      </c>
      <c r="M7763" s="10">
        <v>53.912507701786815</v>
      </c>
    </row>
    <row r="7764" spans="11:13" x14ac:dyDescent="0.25">
      <c r="K7764" s="26" t="s">
        <v>113</v>
      </c>
      <c r="L7764" s="27" t="s">
        <v>117</v>
      </c>
      <c r="M7764" s="10">
        <v>549.51596801817072</v>
      </c>
    </row>
    <row r="7765" spans="11:13" x14ac:dyDescent="0.25">
      <c r="K7765" s="26" t="s">
        <v>113</v>
      </c>
      <c r="L7765" s="27" t="s">
        <v>118</v>
      </c>
      <c r="M7765" s="10">
        <v>308.07147258163894</v>
      </c>
    </row>
    <row r="7766" spans="11:13" x14ac:dyDescent="0.25">
      <c r="K7766" s="26" t="s">
        <v>113</v>
      </c>
      <c r="L7766" s="27" t="s">
        <v>119</v>
      </c>
      <c r="M7766" s="10">
        <v>68.941744226128904</v>
      </c>
    </row>
    <row r="7767" spans="11:13" x14ac:dyDescent="0.25">
      <c r="K7767" s="26" t="s">
        <v>109</v>
      </c>
      <c r="L7767" s="27" t="s">
        <v>115</v>
      </c>
      <c r="M7767" s="10">
        <v>131.38572905894517</v>
      </c>
    </row>
    <row r="7768" spans="11:13" x14ac:dyDescent="0.25">
      <c r="K7768" s="26" t="s">
        <v>113</v>
      </c>
      <c r="L7768" s="27" t="s">
        <v>116</v>
      </c>
      <c r="M7768" s="10">
        <v>61.614294516327789</v>
      </c>
    </row>
    <row r="7769" spans="11:13" x14ac:dyDescent="0.25">
      <c r="K7769" s="26" t="s">
        <v>113</v>
      </c>
      <c r="L7769" s="27" t="s">
        <v>117</v>
      </c>
      <c r="M7769" s="10">
        <v>176.3668430335097</v>
      </c>
    </row>
    <row r="7770" spans="11:13" x14ac:dyDescent="0.25">
      <c r="K7770" s="26" t="s">
        <v>113</v>
      </c>
      <c r="L7770" s="27" t="s">
        <v>118</v>
      </c>
      <c r="M7770" s="10">
        <v>3.6080246913580249</v>
      </c>
    </row>
    <row r="7771" spans="11:13" x14ac:dyDescent="0.25">
      <c r="K7771" s="26" t="s">
        <v>113</v>
      </c>
      <c r="L7771" s="27" t="s">
        <v>119</v>
      </c>
      <c r="M7771" s="10">
        <v>27.576697690451567</v>
      </c>
    </row>
    <row r="7772" spans="11:13" x14ac:dyDescent="0.25">
      <c r="K7772" s="26" t="s">
        <v>113</v>
      </c>
      <c r="L7772" s="27" t="s">
        <v>115</v>
      </c>
      <c r="M7772" s="10">
        <v>154.03573629081947</v>
      </c>
    </row>
    <row r="7773" spans="11:13" x14ac:dyDescent="0.25">
      <c r="K7773" s="26" t="s">
        <v>113</v>
      </c>
      <c r="L7773" s="27" t="s">
        <v>116</v>
      </c>
      <c r="M7773" s="10">
        <v>41.365046535677351</v>
      </c>
    </row>
    <row r="7774" spans="11:13" x14ac:dyDescent="0.25">
      <c r="K7774" s="26" t="s">
        <v>113</v>
      </c>
      <c r="L7774" s="27" t="s">
        <v>117</v>
      </c>
      <c r="M7774" s="10">
        <v>154.03573629081947</v>
      </c>
    </row>
    <row r="7775" spans="11:13" x14ac:dyDescent="0.25">
      <c r="K7775" s="26" t="s">
        <v>113</v>
      </c>
      <c r="L7775" s="27" t="s">
        <v>118</v>
      </c>
      <c r="M7775" s="10">
        <v>154.03573629081947</v>
      </c>
    </row>
    <row r="7776" spans="11:13" x14ac:dyDescent="0.25">
      <c r="K7776" s="26" t="s">
        <v>113</v>
      </c>
      <c r="L7776" s="27" t="s">
        <v>119</v>
      </c>
      <c r="M7776" s="10">
        <v>154.03573629081947</v>
      </c>
    </row>
    <row r="7777" spans="11:13" x14ac:dyDescent="0.25">
      <c r="K7777" s="26" t="s">
        <v>113</v>
      </c>
      <c r="L7777" s="27" t="s">
        <v>115</v>
      </c>
      <c r="M7777" s="10">
        <v>123.22858903265558</v>
      </c>
    </row>
    <row r="7778" spans="11:13" x14ac:dyDescent="0.25">
      <c r="K7778" s="26" t="s">
        <v>113</v>
      </c>
      <c r="L7778" s="27" t="s">
        <v>116</v>
      </c>
      <c r="M7778" s="10">
        <v>123.22858903265558</v>
      </c>
    </row>
    <row r="7779" spans="11:13" x14ac:dyDescent="0.25">
      <c r="K7779" s="26" t="s">
        <v>113</v>
      </c>
      <c r="L7779" s="27" t="s">
        <v>117</v>
      </c>
      <c r="M7779" s="10">
        <v>0</v>
      </c>
    </row>
    <row r="7780" spans="11:13" x14ac:dyDescent="0.25">
      <c r="K7780" s="26" t="s">
        <v>113</v>
      </c>
      <c r="L7780" s="27" t="s">
        <v>118</v>
      </c>
      <c r="M7780" s="10">
        <v>36.463819787699542</v>
      </c>
    </row>
    <row r="7781" spans="11:13" x14ac:dyDescent="0.25">
      <c r="K7781" s="26" t="s">
        <v>113</v>
      </c>
      <c r="L7781" s="27" t="s">
        <v>119</v>
      </c>
      <c r="M7781" s="10">
        <v>152.81690140845072</v>
      </c>
    </row>
    <row r="7782" spans="11:13" x14ac:dyDescent="0.25">
      <c r="K7782" s="26" t="s">
        <v>113</v>
      </c>
      <c r="L7782" s="27" t="s">
        <v>115</v>
      </c>
      <c r="M7782" s="10">
        <v>8.8183421516754841</v>
      </c>
    </row>
    <row r="7783" spans="11:13" x14ac:dyDescent="0.25">
      <c r="K7783" s="26" t="s">
        <v>113</v>
      </c>
      <c r="L7783" s="27" t="s">
        <v>116</v>
      </c>
      <c r="M7783" s="10">
        <v>123.22858903265558</v>
      </c>
    </row>
    <row r="7784" spans="11:13" x14ac:dyDescent="0.25">
      <c r="K7784" s="26" t="s">
        <v>113</v>
      </c>
      <c r="L7784" s="27" t="s">
        <v>117</v>
      </c>
      <c r="M7784" s="10">
        <v>92.421441774491683</v>
      </c>
    </row>
    <row r="7785" spans="11:13" x14ac:dyDescent="0.25">
      <c r="K7785" s="26" t="s">
        <v>113</v>
      </c>
      <c r="L7785" s="27" t="s">
        <v>118</v>
      </c>
      <c r="M7785" s="10">
        <v>39.275737954152056</v>
      </c>
    </row>
    <row r="7786" spans="11:13" x14ac:dyDescent="0.25">
      <c r="K7786" s="26" t="s">
        <v>113</v>
      </c>
      <c r="L7786" s="27" t="s">
        <v>119</v>
      </c>
      <c r="M7786" s="10">
        <v>8.8183421516754841</v>
      </c>
    </row>
    <row r="7787" spans="11:13" x14ac:dyDescent="0.25">
      <c r="K7787" s="26" t="s">
        <v>109</v>
      </c>
      <c r="L7787" s="27" t="s">
        <v>115</v>
      </c>
      <c r="M7787" s="10">
        <v>88.183421516754848</v>
      </c>
    </row>
    <row r="7788" spans="11:13" x14ac:dyDescent="0.25">
      <c r="K7788" s="26" t="s">
        <v>110</v>
      </c>
      <c r="L7788" s="27" t="s">
        <v>116</v>
      </c>
      <c r="M7788" s="10">
        <v>25.696041524803107</v>
      </c>
    </row>
    <row r="7789" spans="11:13" x14ac:dyDescent="0.25">
      <c r="K7789" s="26" t="s">
        <v>110</v>
      </c>
      <c r="L7789" s="27" t="s">
        <v>117</v>
      </c>
      <c r="M7789" s="10">
        <v>74.910967344423895</v>
      </c>
    </row>
    <row r="7790" spans="11:13" x14ac:dyDescent="0.25">
      <c r="K7790" s="26" t="s">
        <v>113</v>
      </c>
      <c r="L7790" s="27" t="s">
        <v>118</v>
      </c>
      <c r="M7790" s="10">
        <v>75.659272951324709</v>
      </c>
    </row>
    <row r="7791" spans="11:13" x14ac:dyDescent="0.25">
      <c r="K7791" s="26" t="s">
        <v>113</v>
      </c>
      <c r="L7791" s="27" t="s">
        <v>119</v>
      </c>
      <c r="M7791" s="10">
        <v>65.494657014822465</v>
      </c>
    </row>
    <row r="7792" spans="11:13" x14ac:dyDescent="0.25">
      <c r="K7792" s="26" t="s">
        <v>113</v>
      </c>
      <c r="L7792" s="27" t="s">
        <v>115</v>
      </c>
      <c r="M7792" s="10">
        <v>97.64754467036353</v>
      </c>
    </row>
    <row r="7793" spans="11:13" x14ac:dyDescent="0.25">
      <c r="K7793" s="26" t="s">
        <v>113</v>
      </c>
      <c r="L7793" s="27" t="s">
        <v>116</v>
      </c>
      <c r="M7793" s="10">
        <v>30.807147258163894</v>
      </c>
    </row>
    <row r="7794" spans="11:13" x14ac:dyDescent="0.25">
      <c r="K7794" s="26" t="s">
        <v>113</v>
      </c>
      <c r="L7794" s="27" t="s">
        <v>117</v>
      </c>
      <c r="M7794" s="10">
        <v>100</v>
      </c>
    </row>
    <row r="7795" spans="11:13" x14ac:dyDescent="0.25">
      <c r="K7795" s="26" t="s">
        <v>113</v>
      </c>
      <c r="L7795" s="27" t="s">
        <v>118</v>
      </c>
      <c r="M7795" s="10">
        <v>215.65003080714726</v>
      </c>
    </row>
    <row r="7796" spans="11:13" x14ac:dyDescent="0.25">
      <c r="K7796" s="26" t="s">
        <v>113</v>
      </c>
      <c r="L7796" s="27" t="s">
        <v>119</v>
      </c>
      <c r="M7796" s="10">
        <v>206.82523267838675</v>
      </c>
    </row>
    <row r="7797" spans="11:13" x14ac:dyDescent="0.25">
      <c r="K7797" s="26" t="s">
        <v>113</v>
      </c>
      <c r="L7797" s="27" t="s">
        <v>115</v>
      </c>
      <c r="M7797" s="10">
        <v>154.03573629081947</v>
      </c>
    </row>
    <row r="7798" spans="11:13" x14ac:dyDescent="0.25">
      <c r="K7798" s="26" t="s">
        <v>113</v>
      </c>
      <c r="L7798" s="27" t="s">
        <v>116</v>
      </c>
      <c r="M7798" s="10">
        <v>30.807147258163894</v>
      </c>
    </row>
    <row r="7799" spans="11:13" x14ac:dyDescent="0.25">
      <c r="K7799" s="26" t="s">
        <v>113</v>
      </c>
      <c r="L7799" s="27" t="s">
        <v>117</v>
      </c>
      <c r="M7799" s="10">
        <v>66.137566137566139</v>
      </c>
    </row>
    <row r="7800" spans="11:13" x14ac:dyDescent="0.25">
      <c r="K7800" s="26" t="s">
        <v>113</v>
      </c>
      <c r="L7800" s="27" t="s">
        <v>118</v>
      </c>
      <c r="M7800" s="10">
        <v>154.03573629081947</v>
      </c>
    </row>
    <row r="7801" spans="11:13" x14ac:dyDescent="0.25">
      <c r="K7801" s="26" t="s">
        <v>113</v>
      </c>
      <c r="L7801" s="27" t="s">
        <v>119</v>
      </c>
      <c r="M7801" s="10">
        <v>154.03573629081947</v>
      </c>
    </row>
    <row r="7802" spans="11:13" x14ac:dyDescent="0.25">
      <c r="K7802" s="26" t="s">
        <v>113</v>
      </c>
      <c r="L7802" s="27" t="s">
        <v>115</v>
      </c>
      <c r="M7802" s="10">
        <v>154.03573629081947</v>
      </c>
    </row>
    <row r="7803" spans="11:13" x14ac:dyDescent="0.25">
      <c r="K7803" s="26" t="s">
        <v>113</v>
      </c>
      <c r="L7803" s="27" t="s">
        <v>116</v>
      </c>
      <c r="M7803" s="10">
        <v>150</v>
      </c>
    </row>
    <row r="7804" spans="11:13" x14ac:dyDescent="0.25">
      <c r="K7804" s="26" t="s">
        <v>110</v>
      </c>
      <c r="L7804" s="27" t="s">
        <v>117</v>
      </c>
      <c r="M7804" s="10">
        <v>451.77339110897128</v>
      </c>
    </row>
    <row r="7805" spans="11:13" x14ac:dyDescent="0.25">
      <c r="K7805" s="26" t="s">
        <v>112</v>
      </c>
      <c r="L7805" s="27" t="s">
        <v>118</v>
      </c>
      <c r="M7805" s="10">
        <v>51.748527418361057</v>
      </c>
    </row>
    <row r="7806" spans="11:13" x14ac:dyDescent="0.25">
      <c r="K7806" s="26" t="s">
        <v>110</v>
      </c>
      <c r="L7806" s="27" t="s">
        <v>119</v>
      </c>
      <c r="M7806" s="10">
        <v>216.04938271604939</v>
      </c>
    </row>
    <row r="7807" spans="11:13" x14ac:dyDescent="0.25">
      <c r="K7807" s="26" t="s">
        <v>112</v>
      </c>
      <c r="L7807" s="27" t="s">
        <v>115</v>
      </c>
      <c r="M7807" s="10">
        <v>1.5403573629081948</v>
      </c>
    </row>
    <row r="7808" spans="11:13" x14ac:dyDescent="0.25">
      <c r="K7808" s="26" t="s">
        <v>110</v>
      </c>
      <c r="L7808" s="27" t="s">
        <v>116</v>
      </c>
      <c r="M7808" s="10">
        <v>369.88756721525181</v>
      </c>
    </row>
    <row r="7809" spans="11:13" x14ac:dyDescent="0.25">
      <c r="K7809" s="26" t="s">
        <v>112</v>
      </c>
      <c r="L7809" s="27" t="s">
        <v>117</v>
      </c>
      <c r="M7809" s="10">
        <v>46.210720887245841</v>
      </c>
    </row>
    <row r="7810" spans="11:13" x14ac:dyDescent="0.25">
      <c r="K7810" s="26" t="s">
        <v>113</v>
      </c>
      <c r="L7810" s="27" t="s">
        <v>118</v>
      </c>
      <c r="M7810" s="10">
        <v>154.03573629081947</v>
      </c>
    </row>
    <row r="7811" spans="11:13" x14ac:dyDescent="0.25">
      <c r="K7811" s="26" t="s">
        <v>113</v>
      </c>
      <c r="L7811" s="27" t="s">
        <v>119</v>
      </c>
      <c r="M7811" s="10">
        <v>154.03573629081947</v>
      </c>
    </row>
    <row r="7812" spans="11:13" x14ac:dyDescent="0.25">
      <c r="K7812" s="26" t="s">
        <v>113</v>
      </c>
      <c r="L7812" s="27" t="s">
        <v>115</v>
      </c>
      <c r="M7812" s="10">
        <v>169.43930991990143</v>
      </c>
    </row>
    <row r="7813" spans="11:13" x14ac:dyDescent="0.25">
      <c r="K7813" s="26" t="s">
        <v>113</v>
      </c>
      <c r="L7813" s="27" t="s">
        <v>116</v>
      </c>
      <c r="M7813" s="10">
        <v>38.508934072704868</v>
      </c>
    </row>
    <row r="7814" spans="11:13" x14ac:dyDescent="0.25">
      <c r="K7814" s="26" t="s">
        <v>113</v>
      </c>
      <c r="L7814" s="27" t="s">
        <v>117</v>
      </c>
      <c r="M7814" s="10">
        <v>202.57677659833075</v>
      </c>
    </row>
    <row r="7815" spans="11:13" x14ac:dyDescent="0.25">
      <c r="K7815" s="26" t="s">
        <v>113</v>
      </c>
      <c r="L7815" s="27" t="s">
        <v>118</v>
      </c>
      <c r="M7815" s="10">
        <v>1378.2331051591862</v>
      </c>
    </row>
    <row r="7816" spans="11:13" x14ac:dyDescent="0.25">
      <c r="K7816" s="26" t="s">
        <v>113</v>
      </c>
      <c r="L7816" s="27" t="s">
        <v>119</v>
      </c>
      <c r="M7816" s="10">
        <v>44.091710758377424</v>
      </c>
    </row>
    <row r="7817" spans="11:13" x14ac:dyDescent="0.25">
      <c r="K7817" s="26" t="s">
        <v>113</v>
      </c>
      <c r="L7817" s="27" t="s">
        <v>115</v>
      </c>
      <c r="M7817" s="10">
        <v>105.89854918987609</v>
      </c>
    </row>
    <row r="7818" spans="11:13" x14ac:dyDescent="0.25">
      <c r="K7818" s="26" t="s">
        <v>113</v>
      </c>
      <c r="L7818" s="27" t="s">
        <v>116</v>
      </c>
      <c r="M7818" s="10">
        <v>110.98680136874695</v>
      </c>
    </row>
    <row r="7819" spans="11:13" x14ac:dyDescent="0.25">
      <c r="K7819" s="26" t="s">
        <v>113</v>
      </c>
      <c r="L7819" s="27" t="s">
        <v>117</v>
      </c>
      <c r="M7819" s="10">
        <v>46.210720887245841</v>
      </c>
    </row>
    <row r="7820" spans="11:13" x14ac:dyDescent="0.25">
      <c r="K7820" s="26" t="s">
        <v>113</v>
      </c>
      <c r="L7820" s="27" t="s">
        <v>118</v>
      </c>
      <c r="M7820" s="10">
        <v>121.54606595899845</v>
      </c>
    </row>
    <row r="7821" spans="11:13" x14ac:dyDescent="0.25">
      <c r="K7821" s="26" t="s">
        <v>113</v>
      </c>
      <c r="L7821" s="27" t="s">
        <v>119</v>
      </c>
      <c r="M7821" s="10">
        <v>162.0614212786646</v>
      </c>
    </row>
    <row r="7822" spans="11:13" x14ac:dyDescent="0.25">
      <c r="K7822" s="26" t="s">
        <v>113</v>
      </c>
      <c r="L7822" s="27" t="s">
        <v>115</v>
      </c>
      <c r="M7822" s="10">
        <v>100</v>
      </c>
    </row>
    <row r="7823" spans="11:13" x14ac:dyDescent="0.25">
      <c r="K7823" s="26" t="s">
        <v>109</v>
      </c>
      <c r="L7823" s="27" t="s">
        <v>116</v>
      </c>
      <c r="M7823" s="10">
        <v>140.20849999999999</v>
      </c>
    </row>
    <row r="7824" spans="11:13" x14ac:dyDescent="0.25">
      <c r="K7824" s="26" t="s">
        <v>110</v>
      </c>
      <c r="L7824" s="27" t="s">
        <v>117</v>
      </c>
      <c r="M7824" s="10">
        <v>1816.2750000000001</v>
      </c>
    </row>
    <row r="7825" spans="11:13" x14ac:dyDescent="0.25">
      <c r="K7825" s="26" t="s">
        <v>113</v>
      </c>
      <c r="L7825" s="27" t="s">
        <v>118</v>
      </c>
      <c r="M7825" s="10">
        <v>66.137566137566139</v>
      </c>
    </row>
    <row r="7826" spans="11:13" x14ac:dyDescent="0.25">
      <c r="K7826" s="26" t="s">
        <v>113</v>
      </c>
      <c r="L7826" s="27" t="s">
        <v>119</v>
      </c>
      <c r="M7826" s="10">
        <v>200</v>
      </c>
    </row>
    <row r="7827" spans="11:13" x14ac:dyDescent="0.25">
      <c r="K7827" s="26" t="s">
        <v>113</v>
      </c>
      <c r="L7827" s="27" t="s">
        <v>115</v>
      </c>
      <c r="M7827" s="10">
        <v>84.719654959950716</v>
      </c>
    </row>
    <row r="7828" spans="11:13" x14ac:dyDescent="0.25">
      <c r="K7828" s="26" t="s">
        <v>113</v>
      </c>
      <c r="L7828" s="27" t="s">
        <v>116</v>
      </c>
      <c r="M7828" s="10">
        <v>84.719654959950716</v>
      </c>
    </row>
    <row r="7829" spans="11:13" x14ac:dyDescent="0.25">
      <c r="K7829" s="26" t="s">
        <v>113</v>
      </c>
      <c r="L7829" s="27" t="s">
        <v>117</v>
      </c>
      <c r="M7829" s="10">
        <v>77.017868145409736</v>
      </c>
    </row>
    <row r="7830" spans="11:13" x14ac:dyDescent="0.25">
      <c r="K7830" s="26" t="s">
        <v>113</v>
      </c>
      <c r="L7830" s="27" t="s">
        <v>118</v>
      </c>
      <c r="M7830" s="10">
        <v>46.210720887245841</v>
      </c>
    </row>
    <row r="7831" spans="11:13" x14ac:dyDescent="0.25">
      <c r="K7831" s="26" t="s">
        <v>113</v>
      </c>
      <c r="L7831" s="27" t="s">
        <v>119</v>
      </c>
      <c r="M7831" s="10">
        <v>46.210720887245841</v>
      </c>
    </row>
    <row r="7832" spans="11:13" x14ac:dyDescent="0.25">
      <c r="K7832" s="26" t="s">
        <v>113</v>
      </c>
      <c r="L7832" s="27" t="s">
        <v>115</v>
      </c>
      <c r="M7832" s="10">
        <v>92.421441774491683</v>
      </c>
    </row>
    <row r="7833" spans="11:13" x14ac:dyDescent="0.25">
      <c r="K7833" s="26" t="s">
        <v>113</v>
      </c>
      <c r="L7833" s="27" t="s">
        <v>116</v>
      </c>
      <c r="M7833" s="10">
        <v>123.22858903265558</v>
      </c>
    </row>
    <row r="7834" spans="11:13" x14ac:dyDescent="0.25">
      <c r="K7834" s="26" t="s">
        <v>112</v>
      </c>
      <c r="L7834" s="27" t="s">
        <v>117</v>
      </c>
      <c r="M7834" s="10">
        <v>1.8484288354898335</v>
      </c>
    </row>
    <row r="7835" spans="11:13" x14ac:dyDescent="0.25">
      <c r="K7835" s="26" t="s">
        <v>112</v>
      </c>
      <c r="L7835" s="27" t="s">
        <v>118</v>
      </c>
      <c r="M7835" s="10">
        <v>22.045855379188712</v>
      </c>
    </row>
    <row r="7836" spans="11:13" x14ac:dyDescent="0.25">
      <c r="K7836" s="26" t="s">
        <v>109</v>
      </c>
      <c r="L7836" s="27" t="s">
        <v>119</v>
      </c>
      <c r="M7836" s="10">
        <v>52.949274594938046</v>
      </c>
    </row>
    <row r="7837" spans="11:13" x14ac:dyDescent="0.25">
      <c r="K7837" s="26" t="s">
        <v>112</v>
      </c>
      <c r="L7837" s="27" t="s">
        <v>115</v>
      </c>
      <c r="M7837" s="10">
        <v>47.654347135444247</v>
      </c>
    </row>
    <row r="7838" spans="11:13" x14ac:dyDescent="0.25">
      <c r="K7838" s="26" t="s">
        <v>112</v>
      </c>
      <c r="L7838" s="27" t="s">
        <v>116</v>
      </c>
      <c r="M7838" s="10">
        <v>1.5</v>
      </c>
    </row>
    <row r="7839" spans="11:13" x14ac:dyDescent="0.25">
      <c r="K7839" s="26" t="s">
        <v>113</v>
      </c>
      <c r="L7839" s="27" t="s">
        <v>117</v>
      </c>
      <c r="M7839" s="10">
        <v>91.585994669695125</v>
      </c>
    </row>
    <row r="7840" spans="11:13" x14ac:dyDescent="0.25">
      <c r="K7840" s="26" t="s">
        <v>113</v>
      </c>
      <c r="L7840" s="27" t="s">
        <v>118</v>
      </c>
      <c r="M7840" s="10">
        <v>21.179709837975221</v>
      </c>
    </row>
    <row r="7841" spans="11:13" x14ac:dyDescent="0.25">
      <c r="K7841" s="26" t="s">
        <v>113</v>
      </c>
      <c r="L7841" s="27" t="s">
        <v>119</v>
      </c>
      <c r="M7841" s="10">
        <v>100</v>
      </c>
    </row>
    <row r="7842" spans="11:13" x14ac:dyDescent="0.25">
      <c r="K7842" s="26" t="s">
        <v>113</v>
      </c>
      <c r="L7842" s="27" t="s">
        <v>115</v>
      </c>
      <c r="M7842" s="10">
        <v>100</v>
      </c>
    </row>
    <row r="7843" spans="11:13" x14ac:dyDescent="0.25">
      <c r="K7843" s="26" t="s">
        <v>113</v>
      </c>
      <c r="L7843" s="27" t="s">
        <v>116</v>
      </c>
      <c r="M7843" s="10">
        <v>123.22858903265558</v>
      </c>
    </row>
    <row r="7844" spans="11:13" x14ac:dyDescent="0.25">
      <c r="K7844" s="26" t="s">
        <v>113</v>
      </c>
      <c r="L7844" s="27" t="s">
        <v>117</v>
      </c>
      <c r="M7844" s="10">
        <v>77.017868145409736</v>
      </c>
    </row>
    <row r="7845" spans="11:13" x14ac:dyDescent="0.25">
      <c r="K7845" s="26" t="s">
        <v>113</v>
      </c>
      <c r="L7845" s="27" t="s">
        <v>118</v>
      </c>
      <c r="M7845" s="10">
        <v>41.58964879852126</v>
      </c>
    </row>
    <row r="7846" spans="11:13" x14ac:dyDescent="0.25">
      <c r="K7846" s="26" t="s">
        <v>110</v>
      </c>
      <c r="L7846" s="27" t="s">
        <v>119</v>
      </c>
      <c r="M7846" s="10">
        <v>92.421441774491683</v>
      </c>
    </row>
    <row r="7847" spans="11:13" x14ac:dyDescent="0.25">
      <c r="K7847" s="26" t="s">
        <v>110</v>
      </c>
      <c r="L7847" s="27" t="s">
        <v>115</v>
      </c>
      <c r="M7847" s="10">
        <v>39.484854267983707</v>
      </c>
    </row>
    <row r="7848" spans="11:13" x14ac:dyDescent="0.25">
      <c r="K7848" s="26" t="s">
        <v>112</v>
      </c>
      <c r="L7848" s="27" t="s">
        <v>116</v>
      </c>
      <c r="M7848" s="10">
        <v>100</v>
      </c>
    </row>
    <row r="7849" spans="11:13" x14ac:dyDescent="0.25">
      <c r="K7849" s="26" t="s">
        <v>110</v>
      </c>
      <c r="L7849" s="27" t="s">
        <v>117</v>
      </c>
      <c r="M7849" s="10">
        <v>34.470872113064452</v>
      </c>
    </row>
    <row r="7850" spans="11:13" x14ac:dyDescent="0.25">
      <c r="K7850" s="26" t="s">
        <v>113</v>
      </c>
      <c r="L7850" s="27" t="s">
        <v>118</v>
      </c>
      <c r="M7850" s="10">
        <v>35</v>
      </c>
    </row>
    <row r="7851" spans="11:13" x14ac:dyDescent="0.25">
      <c r="K7851" s="26" t="s">
        <v>113</v>
      </c>
      <c r="L7851" s="27" t="s">
        <v>119</v>
      </c>
      <c r="M7851" s="10">
        <v>51.706308169596689</v>
      </c>
    </row>
    <row r="7852" spans="11:13" x14ac:dyDescent="0.25">
      <c r="K7852" s="26" t="s">
        <v>113</v>
      </c>
      <c r="L7852" s="27" t="s">
        <v>115</v>
      </c>
      <c r="M7852" s="10">
        <v>36.846776973457423</v>
      </c>
    </row>
    <row r="7853" spans="11:13" x14ac:dyDescent="0.25">
      <c r="K7853" s="26" t="s">
        <v>113</v>
      </c>
      <c r="L7853" s="27" t="s">
        <v>116</v>
      </c>
      <c r="M7853" s="10">
        <v>77.160493827160494</v>
      </c>
    </row>
    <row r="7854" spans="11:13" x14ac:dyDescent="0.25">
      <c r="K7854" s="26" t="s">
        <v>113</v>
      </c>
      <c r="L7854" s="27" t="s">
        <v>117</v>
      </c>
      <c r="M7854" s="10">
        <v>68.941744226128904</v>
      </c>
    </row>
    <row r="7855" spans="11:13" x14ac:dyDescent="0.25">
      <c r="K7855" s="26" t="s">
        <v>113</v>
      </c>
      <c r="L7855" s="27" t="s">
        <v>118</v>
      </c>
      <c r="M7855" s="10">
        <v>45.792997334847563</v>
      </c>
    </row>
    <row r="7856" spans="11:13" x14ac:dyDescent="0.25">
      <c r="K7856" s="26" t="s">
        <v>113</v>
      </c>
      <c r="L7856" s="27" t="s">
        <v>119</v>
      </c>
      <c r="M7856" s="10">
        <v>1427.6424849112075</v>
      </c>
    </row>
    <row r="7857" spans="11:13" x14ac:dyDescent="0.25">
      <c r="K7857" s="26" t="s">
        <v>109</v>
      </c>
      <c r="L7857" s="27" t="s">
        <v>115</v>
      </c>
      <c r="M7857" s="10">
        <v>27.475798400908538</v>
      </c>
    </row>
    <row r="7858" spans="11:13" x14ac:dyDescent="0.25">
      <c r="K7858" s="26" t="s">
        <v>110</v>
      </c>
      <c r="L7858" s="27" t="s">
        <v>116</v>
      </c>
      <c r="M7858" s="10">
        <v>45.792997334847563</v>
      </c>
    </row>
    <row r="7859" spans="11:13" x14ac:dyDescent="0.25">
      <c r="K7859" s="26" t="s">
        <v>109</v>
      </c>
      <c r="L7859" s="27" t="s">
        <v>117</v>
      </c>
      <c r="M7859" s="10">
        <v>12.301534432857077</v>
      </c>
    </row>
    <row r="7860" spans="11:13" x14ac:dyDescent="0.25">
      <c r="K7860" s="26" t="s">
        <v>109</v>
      </c>
      <c r="L7860" s="27" t="s">
        <v>118</v>
      </c>
      <c r="M7860" s="10">
        <v>46.210720887245841</v>
      </c>
    </row>
    <row r="7861" spans="11:13" x14ac:dyDescent="0.25">
      <c r="K7861" s="26" t="s">
        <v>113</v>
      </c>
      <c r="L7861" s="27" t="s">
        <v>119</v>
      </c>
      <c r="M7861" s="10">
        <v>462.10720887245844</v>
      </c>
    </row>
    <row r="7862" spans="11:13" x14ac:dyDescent="0.25">
      <c r="K7862" s="26" t="s">
        <v>113</v>
      </c>
      <c r="L7862" s="27" t="s">
        <v>115</v>
      </c>
      <c r="M7862" s="10">
        <v>7.7017868145409736</v>
      </c>
    </row>
    <row r="7863" spans="11:13" x14ac:dyDescent="0.25">
      <c r="K7863" s="26" t="s">
        <v>113</v>
      </c>
      <c r="L7863" s="27" t="s">
        <v>116</v>
      </c>
      <c r="M7863" s="10">
        <v>46.210720887245841</v>
      </c>
    </row>
    <row r="7864" spans="11:13" x14ac:dyDescent="0.25">
      <c r="K7864" s="26" t="s">
        <v>113</v>
      </c>
      <c r="L7864" s="27" t="s">
        <v>117</v>
      </c>
      <c r="M7864" s="10">
        <v>61.614294516327789</v>
      </c>
    </row>
    <row r="7865" spans="11:13" x14ac:dyDescent="0.25">
      <c r="K7865" s="26" t="s">
        <v>113</v>
      </c>
      <c r="L7865" s="27" t="s">
        <v>118</v>
      </c>
      <c r="M7865" s="10">
        <v>4.621072088724584</v>
      </c>
    </row>
    <row r="7866" spans="11:13" x14ac:dyDescent="0.25">
      <c r="K7866" s="26" t="s">
        <v>113</v>
      </c>
      <c r="L7866" s="27" t="s">
        <v>119</v>
      </c>
      <c r="M7866" s="10">
        <v>15.403573629081947</v>
      </c>
    </row>
    <row r="7867" spans="11:13" x14ac:dyDescent="0.25">
      <c r="K7867" s="26" t="s">
        <v>112</v>
      </c>
      <c r="L7867" s="27" t="s">
        <v>115</v>
      </c>
      <c r="M7867" s="10">
        <v>154.03573629081947</v>
      </c>
    </row>
    <row r="7868" spans="11:13" x14ac:dyDescent="0.25">
      <c r="K7868" s="26" t="s">
        <v>112</v>
      </c>
      <c r="L7868" s="27" t="s">
        <v>116</v>
      </c>
      <c r="M7868" s="10">
        <v>231.05360443622922</v>
      </c>
    </row>
    <row r="7869" spans="11:13" x14ac:dyDescent="0.25">
      <c r="K7869" s="26" t="s">
        <v>109</v>
      </c>
      <c r="L7869" s="27" t="s">
        <v>117</v>
      </c>
      <c r="M7869" s="10">
        <v>34.470872113064452</v>
      </c>
    </row>
    <row r="7870" spans="11:13" x14ac:dyDescent="0.25">
      <c r="K7870" s="26" t="s">
        <v>112</v>
      </c>
      <c r="L7870" s="27" t="s">
        <v>118</v>
      </c>
      <c r="M7870" s="10">
        <v>22.652345406190175</v>
      </c>
    </row>
    <row r="7871" spans="11:13" x14ac:dyDescent="0.25">
      <c r="K7871" s="26" t="s">
        <v>110</v>
      </c>
      <c r="L7871" s="27" t="s">
        <v>119</v>
      </c>
      <c r="M7871" s="10">
        <v>230.32831656323827</v>
      </c>
    </row>
    <row r="7872" spans="11:13" x14ac:dyDescent="0.25">
      <c r="K7872" s="26" t="s">
        <v>110</v>
      </c>
      <c r="L7872" s="27" t="s">
        <v>115</v>
      </c>
      <c r="M7872" s="10">
        <v>98.712135669959252</v>
      </c>
    </row>
    <row r="7873" spans="11:13" x14ac:dyDescent="0.25">
      <c r="K7873" s="26" t="s">
        <v>110</v>
      </c>
      <c r="L7873" s="27" t="s">
        <v>116</v>
      </c>
      <c r="M7873" s="10">
        <v>19.742427133991853</v>
      </c>
    </row>
    <row r="7874" spans="11:13" x14ac:dyDescent="0.25">
      <c r="K7874" s="26" t="s">
        <v>112</v>
      </c>
      <c r="L7874" s="27" t="s">
        <v>117</v>
      </c>
      <c r="M7874" s="10">
        <v>658.08090446639505</v>
      </c>
    </row>
    <row r="7875" spans="11:13" x14ac:dyDescent="0.25">
      <c r="K7875" s="26" t="s">
        <v>113</v>
      </c>
      <c r="L7875" s="27" t="s">
        <v>118</v>
      </c>
      <c r="M7875" s="10">
        <v>22.652345406190175</v>
      </c>
    </row>
    <row r="7876" spans="11:13" x14ac:dyDescent="0.25">
      <c r="K7876" s="26" t="s">
        <v>113</v>
      </c>
      <c r="L7876" s="27" t="s">
        <v>119</v>
      </c>
      <c r="M7876" s="10">
        <v>46.210720887245841</v>
      </c>
    </row>
    <row r="7877" spans="11:13" x14ac:dyDescent="0.25">
      <c r="K7877" s="26" t="s">
        <v>113</v>
      </c>
      <c r="L7877" s="27" t="s">
        <v>115</v>
      </c>
      <c r="M7877" s="10">
        <v>22.23869532987398</v>
      </c>
    </row>
    <row r="7878" spans="11:13" x14ac:dyDescent="0.25">
      <c r="K7878" s="26" t="s">
        <v>113</v>
      </c>
      <c r="L7878" s="27" t="s">
        <v>116</v>
      </c>
      <c r="M7878" s="10">
        <v>61.614294516327789</v>
      </c>
    </row>
    <row r="7879" spans="11:13" x14ac:dyDescent="0.25">
      <c r="K7879" s="26" t="s">
        <v>110</v>
      </c>
      <c r="L7879" s="27" t="s">
        <v>117</v>
      </c>
      <c r="M7879" s="10">
        <v>30.807147258163894</v>
      </c>
    </row>
    <row r="7880" spans="11:13" x14ac:dyDescent="0.25">
      <c r="K7880" s="26" t="s">
        <v>112</v>
      </c>
      <c r="L7880" s="27" t="s">
        <v>118</v>
      </c>
      <c r="M7880" s="10">
        <v>51.392083049606214</v>
      </c>
    </row>
    <row r="7881" spans="11:13" x14ac:dyDescent="0.25">
      <c r="K7881" s="26" t="s">
        <v>110</v>
      </c>
      <c r="L7881" s="27" t="s">
        <v>119</v>
      </c>
      <c r="M7881" s="10">
        <v>63.539129513925651</v>
      </c>
    </row>
    <row r="7882" spans="11:13" x14ac:dyDescent="0.25">
      <c r="K7882" s="26" t="s">
        <v>110</v>
      </c>
      <c r="L7882" s="27" t="s">
        <v>115</v>
      </c>
      <c r="M7882" s="10">
        <v>47.654347135444247</v>
      </c>
    </row>
    <row r="7883" spans="11:13" x14ac:dyDescent="0.25">
      <c r="K7883" s="26" t="s">
        <v>109</v>
      </c>
      <c r="L7883" s="27" t="s">
        <v>116</v>
      </c>
      <c r="M7883" s="10">
        <v>143.56102292768961</v>
      </c>
    </row>
    <row r="7884" spans="11:13" x14ac:dyDescent="0.25">
      <c r="K7884" s="26" t="s">
        <v>110</v>
      </c>
      <c r="L7884" s="27" t="s">
        <v>117</v>
      </c>
      <c r="M7884" s="10">
        <v>64.985489316056515</v>
      </c>
    </row>
    <row r="7885" spans="11:13" x14ac:dyDescent="0.25">
      <c r="K7885" s="26" t="s">
        <v>110</v>
      </c>
      <c r="L7885" s="27" t="s">
        <v>118</v>
      </c>
      <c r="M7885" s="10">
        <v>204.58553791887127</v>
      </c>
    </row>
    <row r="7886" spans="11:13" x14ac:dyDescent="0.25">
      <c r="K7886" s="26" t="s">
        <v>109</v>
      </c>
      <c r="L7886" s="27" t="s">
        <v>119</v>
      </c>
      <c r="M7886" s="10">
        <v>20.682523267838675</v>
      </c>
    </row>
    <row r="7887" spans="11:13" x14ac:dyDescent="0.25">
      <c r="K7887" s="26" t="s">
        <v>109</v>
      </c>
      <c r="L7887" s="27" t="s">
        <v>115</v>
      </c>
      <c r="M7887" s="10">
        <v>32.904045223319756</v>
      </c>
    </row>
    <row r="7888" spans="11:13" x14ac:dyDescent="0.25">
      <c r="K7888" s="26" t="s">
        <v>109</v>
      </c>
      <c r="L7888" s="27" t="s">
        <v>116</v>
      </c>
      <c r="M7888" s="10">
        <v>49.356067834979626</v>
      </c>
    </row>
    <row r="7889" spans="11:13" x14ac:dyDescent="0.25">
      <c r="K7889" s="26" t="s">
        <v>109</v>
      </c>
      <c r="L7889" s="27" t="s">
        <v>117</v>
      </c>
      <c r="M7889" s="10">
        <v>329.04045223319753</v>
      </c>
    </row>
    <row r="7890" spans="11:13" x14ac:dyDescent="0.25">
      <c r="K7890" s="26" t="s">
        <v>109</v>
      </c>
      <c r="L7890" s="27" t="s">
        <v>118</v>
      </c>
      <c r="M7890" s="10">
        <v>102.78416609921243</v>
      </c>
    </row>
    <row r="7891" spans="11:13" x14ac:dyDescent="0.25">
      <c r="K7891" s="26" t="s">
        <v>109</v>
      </c>
      <c r="L7891" s="27" t="s">
        <v>119</v>
      </c>
      <c r="M7891" s="10">
        <v>25.696041524803107</v>
      </c>
    </row>
    <row r="7892" spans="11:13" x14ac:dyDescent="0.25">
      <c r="K7892" s="26" t="s">
        <v>113</v>
      </c>
      <c r="L7892" s="27" t="s">
        <v>115</v>
      </c>
      <c r="M7892" s="10">
        <v>31.769564756962826</v>
      </c>
    </row>
    <row r="7893" spans="11:13" x14ac:dyDescent="0.25">
      <c r="K7893" s="26" t="s">
        <v>113</v>
      </c>
      <c r="L7893" s="27" t="s">
        <v>116</v>
      </c>
      <c r="M7893" s="10">
        <v>119.47089947089947</v>
      </c>
    </row>
    <row r="7894" spans="11:13" x14ac:dyDescent="0.25">
      <c r="K7894" s="26" t="s">
        <v>109</v>
      </c>
      <c r="L7894" s="27" t="s">
        <v>117</v>
      </c>
      <c r="M7894" s="10">
        <v>3.2589212970506763E-3</v>
      </c>
    </row>
    <row r="7895" spans="11:13" x14ac:dyDescent="0.25">
      <c r="K7895" s="26" t="s">
        <v>112</v>
      </c>
      <c r="L7895" s="27" t="s">
        <v>118</v>
      </c>
      <c r="M7895" s="10">
        <v>15.403573629081947</v>
      </c>
    </row>
    <row r="7896" spans="11:13" x14ac:dyDescent="0.25">
      <c r="K7896" s="26" t="s">
        <v>112</v>
      </c>
      <c r="L7896" s="27" t="s">
        <v>119</v>
      </c>
      <c r="M7896" s="10">
        <v>158.84782378481412</v>
      </c>
    </row>
    <row r="7897" spans="11:13" x14ac:dyDescent="0.25">
      <c r="K7897" s="26" t="s">
        <v>112</v>
      </c>
      <c r="L7897" s="27" t="s">
        <v>115</v>
      </c>
      <c r="M7897" s="10">
        <v>100.12322858903266</v>
      </c>
    </row>
    <row r="7898" spans="11:13" x14ac:dyDescent="0.25">
      <c r="K7898" s="26" t="s">
        <v>113</v>
      </c>
      <c r="L7898" s="27" t="s">
        <v>116</v>
      </c>
      <c r="M7898" s="10">
        <v>50</v>
      </c>
    </row>
    <row r="7899" spans="11:13" x14ac:dyDescent="0.25">
      <c r="K7899" s="26" t="s">
        <v>109</v>
      </c>
      <c r="L7899" s="27" t="s">
        <v>117</v>
      </c>
      <c r="M7899" s="10">
        <v>1.407528108196187</v>
      </c>
    </row>
    <row r="7900" spans="11:13" x14ac:dyDescent="0.25">
      <c r="K7900" s="26" t="s">
        <v>109</v>
      </c>
      <c r="L7900" s="27" t="s">
        <v>118</v>
      </c>
      <c r="M7900" s="10">
        <v>91.585994669695125</v>
      </c>
    </row>
    <row r="7901" spans="11:13" x14ac:dyDescent="0.25">
      <c r="K7901" s="26" t="s">
        <v>109</v>
      </c>
      <c r="L7901" s="27" t="s">
        <v>119</v>
      </c>
      <c r="M7901" s="10">
        <v>44.091710758377424</v>
      </c>
    </row>
    <row r="7902" spans="11:13" x14ac:dyDescent="0.25">
      <c r="K7902" s="26" t="s">
        <v>109</v>
      </c>
      <c r="L7902" s="27" t="s">
        <v>115</v>
      </c>
      <c r="M7902" s="10">
        <v>46.210720887245841</v>
      </c>
    </row>
    <row r="7903" spans="11:13" x14ac:dyDescent="0.25">
      <c r="K7903" s="26" t="s">
        <v>109</v>
      </c>
      <c r="L7903" s="27" t="s">
        <v>116</v>
      </c>
      <c r="M7903" s="10">
        <v>51.392083049606214</v>
      </c>
    </row>
    <row r="7904" spans="11:13" x14ac:dyDescent="0.25">
      <c r="K7904" s="26" t="s">
        <v>109</v>
      </c>
      <c r="L7904" s="27" t="s">
        <v>117</v>
      </c>
      <c r="M7904" s="10">
        <v>84.718839351900883</v>
      </c>
    </row>
    <row r="7905" spans="11:13" x14ac:dyDescent="0.25">
      <c r="K7905" s="26" t="s">
        <v>109</v>
      </c>
      <c r="L7905" s="27" t="s">
        <v>118</v>
      </c>
      <c r="M7905" s="10">
        <v>38.508934072704868</v>
      </c>
    </row>
    <row r="7906" spans="11:13" x14ac:dyDescent="0.25">
      <c r="K7906" s="26" t="s">
        <v>112</v>
      </c>
      <c r="L7906" s="27" t="s">
        <v>119</v>
      </c>
      <c r="M7906" s="10">
        <v>123.22858903265558</v>
      </c>
    </row>
    <row r="7907" spans="11:13" x14ac:dyDescent="0.25">
      <c r="K7907" s="26" t="s">
        <v>109</v>
      </c>
      <c r="L7907" s="27" t="s">
        <v>115</v>
      </c>
      <c r="M7907" s="10">
        <v>4621.0720887245843</v>
      </c>
    </row>
    <row r="7908" spans="11:13" x14ac:dyDescent="0.25">
      <c r="K7908" s="26" t="s">
        <v>113</v>
      </c>
      <c r="L7908" s="27" t="s">
        <v>116</v>
      </c>
      <c r="M7908" s="10">
        <v>81.030710639332298</v>
      </c>
    </row>
    <row r="7909" spans="11:13" x14ac:dyDescent="0.25">
      <c r="K7909" s="26" t="s">
        <v>113</v>
      </c>
      <c r="L7909" s="27" t="s">
        <v>117</v>
      </c>
      <c r="M7909" s="10">
        <v>21.274250440917108</v>
      </c>
    </row>
    <row r="7910" spans="11:13" x14ac:dyDescent="0.25">
      <c r="K7910" s="26" t="s">
        <v>109</v>
      </c>
      <c r="L7910" s="27" t="s">
        <v>118</v>
      </c>
      <c r="M7910" s="10">
        <v>25.696041524803107</v>
      </c>
    </row>
    <row r="7911" spans="11:13" x14ac:dyDescent="0.25">
      <c r="K7911" s="26" t="s">
        <v>109</v>
      </c>
      <c r="L7911" s="27" t="s">
        <v>119</v>
      </c>
      <c r="M7911" s="10">
        <v>256.7806130637137</v>
      </c>
    </row>
    <row r="7912" spans="11:13" x14ac:dyDescent="0.25">
      <c r="K7912" s="26" t="s">
        <v>109</v>
      </c>
      <c r="L7912" s="27" t="s">
        <v>115</v>
      </c>
      <c r="M7912" s="10">
        <v>33.06878306878307</v>
      </c>
    </row>
    <row r="7913" spans="11:13" x14ac:dyDescent="0.25">
      <c r="K7913" s="26" t="s">
        <v>109</v>
      </c>
      <c r="L7913" s="27" t="s">
        <v>116</v>
      </c>
      <c r="M7913" s="10">
        <v>25.696041524803107</v>
      </c>
    </row>
    <row r="7914" spans="11:13" x14ac:dyDescent="0.25">
      <c r="K7914" s="26" t="s">
        <v>109</v>
      </c>
      <c r="L7914" s="27" t="s">
        <v>117</v>
      </c>
      <c r="M7914" s="10">
        <v>40.515355319666149</v>
      </c>
    </row>
    <row r="7915" spans="11:13" x14ac:dyDescent="0.25">
      <c r="K7915" s="26" t="s">
        <v>109</v>
      </c>
      <c r="L7915" s="27" t="s">
        <v>118</v>
      </c>
      <c r="M7915" s="10">
        <v>55.114638447971785</v>
      </c>
    </row>
    <row r="7916" spans="11:13" x14ac:dyDescent="0.25">
      <c r="K7916" s="26" t="s">
        <v>112</v>
      </c>
      <c r="L7916" s="27" t="s">
        <v>119</v>
      </c>
      <c r="M7916" s="10">
        <v>110.22927689594357</v>
      </c>
    </row>
    <row r="7917" spans="11:13" x14ac:dyDescent="0.25">
      <c r="K7917" s="26" t="s">
        <v>109</v>
      </c>
      <c r="L7917" s="27" t="s">
        <v>115</v>
      </c>
      <c r="M7917" s="10">
        <v>100</v>
      </c>
    </row>
    <row r="7918" spans="11:13" x14ac:dyDescent="0.25">
      <c r="K7918" s="26" t="s">
        <v>110</v>
      </c>
      <c r="L7918" s="27" t="s">
        <v>116</v>
      </c>
      <c r="M7918" s="10">
        <v>0.1058985491898761</v>
      </c>
    </row>
    <row r="7919" spans="11:13" x14ac:dyDescent="0.25">
      <c r="K7919" s="26" t="s">
        <v>109</v>
      </c>
      <c r="L7919" s="27" t="s">
        <v>117</v>
      </c>
      <c r="M7919" s="10">
        <v>38.54406228720466</v>
      </c>
    </row>
    <row r="7920" spans="11:13" x14ac:dyDescent="0.25">
      <c r="K7920" s="26" t="s">
        <v>109</v>
      </c>
      <c r="L7920" s="27" t="s">
        <v>118</v>
      </c>
      <c r="M7920" s="10">
        <v>97.001763668430343</v>
      </c>
    </row>
    <row r="7921" spans="11:13" x14ac:dyDescent="0.25">
      <c r="K7921" s="26" t="s">
        <v>109</v>
      </c>
      <c r="L7921" s="27" t="s">
        <v>119</v>
      </c>
      <c r="M7921" s="10">
        <v>539.12507701786819</v>
      </c>
    </row>
    <row r="7922" spans="11:13" x14ac:dyDescent="0.25">
      <c r="K7922" s="26" t="s">
        <v>109</v>
      </c>
      <c r="L7922" s="27" t="s">
        <v>115</v>
      </c>
      <c r="M7922" s="10">
        <v>52.949274594938046</v>
      </c>
    </row>
    <row r="7923" spans="11:13" x14ac:dyDescent="0.25">
      <c r="K7923" s="26" t="s">
        <v>109</v>
      </c>
      <c r="L7923" s="27" t="s">
        <v>116</v>
      </c>
      <c r="M7923" s="10">
        <v>3.3887861983980283</v>
      </c>
    </row>
    <row r="7924" spans="11:13" x14ac:dyDescent="0.25">
      <c r="K7924" s="26" t="s">
        <v>109</v>
      </c>
      <c r="L7924" s="27" t="s">
        <v>117</v>
      </c>
      <c r="M7924" s="10">
        <v>4.61538</v>
      </c>
    </row>
    <row r="7925" spans="11:13" x14ac:dyDescent="0.25">
      <c r="K7925" s="26" t="s">
        <v>112</v>
      </c>
      <c r="L7925" s="27" t="s">
        <v>118</v>
      </c>
      <c r="M7925" s="10">
        <v>46.210720887245841</v>
      </c>
    </row>
    <row r="7926" spans="11:13" x14ac:dyDescent="0.25">
      <c r="K7926" s="26" t="s">
        <v>109</v>
      </c>
      <c r="L7926" s="27" t="s">
        <v>119</v>
      </c>
      <c r="M7926" s="10">
        <v>144.3241622574956</v>
      </c>
    </row>
    <row r="7927" spans="11:13" x14ac:dyDescent="0.25">
      <c r="K7927" s="26" t="s">
        <v>112</v>
      </c>
      <c r="L7927" s="27" t="s">
        <v>115</v>
      </c>
      <c r="M7927" s="10">
        <v>1102.2927689594355</v>
      </c>
    </row>
    <row r="7928" spans="11:13" x14ac:dyDescent="0.25">
      <c r="K7928" s="26" t="s">
        <v>110</v>
      </c>
      <c r="L7928" s="27" t="s">
        <v>116</v>
      </c>
      <c r="M7928" s="10">
        <v>1.0589854918987609</v>
      </c>
    </row>
    <row r="7929" spans="11:13" x14ac:dyDescent="0.25">
      <c r="K7929" s="26" t="s">
        <v>110</v>
      </c>
      <c r="L7929" s="27" t="s">
        <v>117</v>
      </c>
      <c r="M7929" s="10">
        <v>19.841269841269842</v>
      </c>
    </row>
    <row r="7930" spans="11:13" x14ac:dyDescent="0.25">
      <c r="K7930" s="26" t="s">
        <v>109</v>
      </c>
      <c r="L7930" s="27" t="s">
        <v>118</v>
      </c>
      <c r="M7930" s="10">
        <v>85.978835978835974</v>
      </c>
    </row>
    <row r="7931" spans="11:13" x14ac:dyDescent="0.25">
      <c r="K7931" s="26" t="s">
        <v>109</v>
      </c>
      <c r="L7931" s="27" t="s">
        <v>119</v>
      </c>
      <c r="M7931" s="10">
        <v>35.273368606701936</v>
      </c>
    </row>
    <row r="7932" spans="11:13" x14ac:dyDescent="0.25">
      <c r="K7932" s="26" t="s">
        <v>109</v>
      </c>
      <c r="L7932" s="27" t="s">
        <v>115</v>
      </c>
      <c r="M7932" s="10">
        <v>99.206349206349202</v>
      </c>
    </row>
    <row r="7933" spans="11:13" x14ac:dyDescent="0.25">
      <c r="K7933" s="26" t="s">
        <v>109</v>
      </c>
      <c r="L7933" s="27" t="s">
        <v>116</v>
      </c>
      <c r="M7933" s="10">
        <v>99.206349206349202</v>
      </c>
    </row>
    <row r="7934" spans="11:13" x14ac:dyDescent="0.25">
      <c r="K7934" s="26" t="s">
        <v>109</v>
      </c>
      <c r="L7934" s="27" t="s">
        <v>117</v>
      </c>
      <c r="M7934" s="10">
        <v>48.75</v>
      </c>
    </row>
    <row r="7935" spans="11:13" x14ac:dyDescent="0.25">
      <c r="K7935" s="26" t="s">
        <v>109</v>
      </c>
      <c r="L7935" s="27" t="s">
        <v>118</v>
      </c>
      <c r="M7935" s="10">
        <v>21.841635296082639</v>
      </c>
    </row>
    <row r="7936" spans="11:13" x14ac:dyDescent="0.25">
      <c r="K7936" s="26" t="s">
        <v>109</v>
      </c>
      <c r="L7936" s="27" t="s">
        <v>119</v>
      </c>
      <c r="M7936" s="10">
        <v>68.941744226128904</v>
      </c>
    </row>
    <row r="7937" spans="11:13" x14ac:dyDescent="0.25">
      <c r="K7937" s="26" t="s">
        <v>109</v>
      </c>
      <c r="L7937" s="27" t="s">
        <v>115</v>
      </c>
      <c r="M7937" s="10">
        <v>8.0243941582410532</v>
      </c>
    </row>
    <row r="7938" spans="11:13" x14ac:dyDescent="0.25">
      <c r="K7938" s="26" t="s">
        <v>112</v>
      </c>
      <c r="L7938" s="27" t="s">
        <v>116</v>
      </c>
      <c r="M7938" s="10">
        <v>211.79709837975219</v>
      </c>
    </row>
    <row r="7939" spans="11:13" x14ac:dyDescent="0.25">
      <c r="K7939" s="26" t="s">
        <v>110</v>
      </c>
      <c r="L7939" s="27" t="s">
        <v>117</v>
      </c>
      <c r="M7939" s="10">
        <v>200</v>
      </c>
    </row>
    <row r="7940" spans="11:13" x14ac:dyDescent="0.25">
      <c r="K7940" s="26" t="s">
        <v>109</v>
      </c>
      <c r="L7940" s="27" t="s">
        <v>118</v>
      </c>
      <c r="M7940" s="10">
        <v>529.49274594938049</v>
      </c>
    </row>
    <row r="7941" spans="11:13" x14ac:dyDescent="0.25">
      <c r="K7941" s="26" t="s">
        <v>109</v>
      </c>
      <c r="L7941" s="27" t="s">
        <v>119</v>
      </c>
      <c r="M7941" s="10">
        <v>52.949274594938046</v>
      </c>
    </row>
    <row r="7942" spans="11:13" x14ac:dyDescent="0.25">
      <c r="K7942" s="26" t="s">
        <v>109</v>
      </c>
      <c r="L7942" s="27" t="s">
        <v>115</v>
      </c>
      <c r="M7942" s="10">
        <v>31.769564756962826</v>
      </c>
    </row>
    <row r="7943" spans="11:13" x14ac:dyDescent="0.25">
      <c r="K7943" s="26" t="s">
        <v>109</v>
      </c>
      <c r="L7943" s="27" t="s">
        <v>116</v>
      </c>
      <c r="M7943" s="10">
        <v>40.515355319666149</v>
      </c>
    </row>
    <row r="7944" spans="11:13" x14ac:dyDescent="0.25">
      <c r="K7944" s="26" t="s">
        <v>109</v>
      </c>
      <c r="L7944" s="27" t="s">
        <v>117</v>
      </c>
      <c r="M7944" s="10">
        <v>88.183421516754848</v>
      </c>
    </row>
    <row r="7945" spans="11:13" x14ac:dyDescent="0.25">
      <c r="K7945" s="26" t="s">
        <v>109</v>
      </c>
      <c r="L7945" s="27" t="s">
        <v>118</v>
      </c>
      <c r="M7945" s="10">
        <v>97.934215167548501</v>
      </c>
    </row>
    <row r="7946" spans="11:13" x14ac:dyDescent="0.25">
      <c r="K7946" s="26" t="s">
        <v>109</v>
      </c>
      <c r="L7946" s="27" t="s">
        <v>119</v>
      </c>
      <c r="M7946" s="10">
        <v>77.160493827160494</v>
      </c>
    </row>
    <row r="7947" spans="11:13" x14ac:dyDescent="0.25">
      <c r="K7947" s="26" t="s">
        <v>112</v>
      </c>
      <c r="L7947" s="27" t="s">
        <v>115</v>
      </c>
      <c r="M7947" s="10">
        <v>88.183421516754848</v>
      </c>
    </row>
    <row r="7948" spans="11:13" x14ac:dyDescent="0.25">
      <c r="K7948" s="26" t="s">
        <v>109</v>
      </c>
      <c r="L7948" s="27" t="s">
        <v>116</v>
      </c>
      <c r="M7948" s="10">
        <v>72.162037037037038</v>
      </c>
    </row>
    <row r="7949" spans="11:13" x14ac:dyDescent="0.25">
      <c r="K7949" s="26" t="s">
        <v>110</v>
      </c>
      <c r="L7949" s="27" t="s">
        <v>117</v>
      </c>
      <c r="M7949" s="10">
        <v>30.807147258163894</v>
      </c>
    </row>
    <row r="7950" spans="11:13" x14ac:dyDescent="0.25">
      <c r="K7950" s="26" t="s">
        <v>110</v>
      </c>
      <c r="L7950" s="27" t="s">
        <v>118</v>
      </c>
      <c r="M7950" s="10">
        <v>66.552747549240038</v>
      </c>
    </row>
    <row r="7951" spans="11:13" x14ac:dyDescent="0.25">
      <c r="K7951" s="26" t="s">
        <v>109</v>
      </c>
      <c r="L7951" s="27" t="s">
        <v>119</v>
      </c>
      <c r="M7951" s="10">
        <v>154.03573629081947</v>
      </c>
    </row>
    <row r="7952" spans="11:13" x14ac:dyDescent="0.25">
      <c r="K7952" s="26" t="s">
        <v>109</v>
      </c>
      <c r="L7952" s="27" t="s">
        <v>115</v>
      </c>
      <c r="M7952" s="10">
        <v>88.183421516754848</v>
      </c>
    </row>
    <row r="7953" spans="11:13" x14ac:dyDescent="0.25">
      <c r="K7953" s="26" t="s">
        <v>109</v>
      </c>
      <c r="L7953" s="27" t="s">
        <v>116</v>
      </c>
      <c r="M7953" s="10">
        <v>33.06878306878307</v>
      </c>
    </row>
    <row r="7954" spans="11:13" x14ac:dyDescent="0.25">
      <c r="K7954" s="26" t="s">
        <v>109</v>
      </c>
      <c r="L7954" s="27" t="s">
        <v>117</v>
      </c>
      <c r="M7954" s="10">
        <v>176.3668430335097</v>
      </c>
    </row>
    <row r="7955" spans="11:13" x14ac:dyDescent="0.25">
      <c r="K7955" s="26" t="s">
        <v>109</v>
      </c>
      <c r="L7955" s="27" t="s">
        <v>118</v>
      </c>
      <c r="M7955" s="10">
        <v>211.79709837975219</v>
      </c>
    </row>
    <row r="7956" spans="11:13" x14ac:dyDescent="0.25">
      <c r="K7956" s="26" t="s">
        <v>109</v>
      </c>
      <c r="L7956" s="27" t="s">
        <v>119</v>
      </c>
      <c r="M7956" s="10">
        <v>26.474637297469023</v>
      </c>
    </row>
    <row r="7957" spans="11:13" x14ac:dyDescent="0.25">
      <c r="K7957" s="26" t="s">
        <v>109</v>
      </c>
      <c r="L7957" s="27" t="s">
        <v>115</v>
      </c>
      <c r="M7957" s="10">
        <v>128.48020762401552</v>
      </c>
    </row>
    <row r="7958" spans="11:13" x14ac:dyDescent="0.25">
      <c r="K7958" s="26" t="s">
        <v>112</v>
      </c>
      <c r="L7958" s="27" t="s">
        <v>116</v>
      </c>
      <c r="M7958" s="10">
        <v>70</v>
      </c>
    </row>
    <row r="7959" spans="11:13" x14ac:dyDescent="0.25">
      <c r="K7959" s="26" t="s">
        <v>109</v>
      </c>
      <c r="L7959" s="27" t="s">
        <v>117</v>
      </c>
      <c r="M7959" s="10">
        <v>100</v>
      </c>
    </row>
    <row r="7960" spans="11:13" x14ac:dyDescent="0.25">
      <c r="K7960" s="26" t="s">
        <v>112</v>
      </c>
      <c r="L7960" s="27" t="s">
        <v>118</v>
      </c>
      <c r="M7960" s="10">
        <v>12.848020762401553</v>
      </c>
    </row>
    <row r="7961" spans="11:13" x14ac:dyDescent="0.25">
      <c r="K7961" s="26" t="s">
        <v>110</v>
      </c>
      <c r="L7961" s="27" t="s">
        <v>119</v>
      </c>
      <c r="M7961" s="10">
        <v>110.22927689594357</v>
      </c>
    </row>
    <row r="7962" spans="11:13" x14ac:dyDescent="0.25">
      <c r="K7962" s="26" t="s">
        <v>110</v>
      </c>
      <c r="L7962" s="27" t="s">
        <v>115</v>
      </c>
      <c r="M7962" s="10">
        <v>48.967107583774251</v>
      </c>
    </row>
    <row r="7963" spans="11:13" x14ac:dyDescent="0.25">
      <c r="K7963" s="26" t="s">
        <v>110</v>
      </c>
      <c r="L7963" s="27" t="s">
        <v>116</v>
      </c>
      <c r="M7963" s="10">
        <v>241.29610479145123</v>
      </c>
    </row>
    <row r="7964" spans="11:13" x14ac:dyDescent="0.25">
      <c r="K7964" s="26" t="s">
        <v>110</v>
      </c>
      <c r="L7964" s="27" t="s">
        <v>117</v>
      </c>
      <c r="M7964" s="10">
        <v>661.37566137566137</v>
      </c>
    </row>
    <row r="7965" spans="11:13" x14ac:dyDescent="0.25">
      <c r="K7965" s="26" t="s">
        <v>109</v>
      </c>
      <c r="L7965" s="27" t="s">
        <v>118</v>
      </c>
      <c r="M7965" s="10">
        <v>6.3539129513925658</v>
      </c>
    </row>
    <row r="7966" spans="11:13" x14ac:dyDescent="0.25">
      <c r="K7966" s="26" t="s">
        <v>109</v>
      </c>
      <c r="L7966" s="27" t="s">
        <v>119</v>
      </c>
      <c r="M7966" s="10">
        <v>1645.2022611659877</v>
      </c>
    </row>
    <row r="7967" spans="11:13" x14ac:dyDescent="0.25">
      <c r="K7967" s="26" t="s">
        <v>109</v>
      </c>
      <c r="L7967" s="27" t="s">
        <v>115</v>
      </c>
      <c r="M7967" s="10">
        <v>4.409171075837742</v>
      </c>
    </row>
    <row r="7968" spans="11:13" x14ac:dyDescent="0.25">
      <c r="K7968" s="26" t="s">
        <v>109</v>
      </c>
      <c r="L7968" s="27" t="s">
        <v>116</v>
      </c>
      <c r="M7968" s="10">
        <v>4.409171075837742</v>
      </c>
    </row>
    <row r="7969" spans="11:13" x14ac:dyDescent="0.25">
      <c r="K7969" s="26" t="s">
        <v>109</v>
      </c>
      <c r="L7969" s="27" t="s">
        <v>117</v>
      </c>
      <c r="M7969" s="10">
        <v>71.693121693121697</v>
      </c>
    </row>
    <row r="7970" spans="11:13" x14ac:dyDescent="0.25">
      <c r="K7970" s="26" t="s">
        <v>109</v>
      </c>
      <c r="L7970" s="27" t="s">
        <v>118</v>
      </c>
      <c r="M7970" s="10">
        <v>4.409171075837742</v>
      </c>
    </row>
    <row r="7971" spans="11:13" x14ac:dyDescent="0.25">
      <c r="K7971" s="26" t="s">
        <v>109</v>
      </c>
      <c r="L7971" s="27" t="s">
        <v>119</v>
      </c>
      <c r="M7971" s="10">
        <v>1540.3573629081948</v>
      </c>
    </row>
    <row r="7972" spans="11:13" x14ac:dyDescent="0.25">
      <c r="K7972" s="26" t="s">
        <v>112</v>
      </c>
      <c r="L7972" s="27" t="s">
        <v>115</v>
      </c>
      <c r="M7972" s="10">
        <v>138.63216266173754</v>
      </c>
    </row>
    <row r="7973" spans="11:13" x14ac:dyDescent="0.25">
      <c r="K7973" s="26" t="s">
        <v>110</v>
      </c>
      <c r="L7973" s="27" t="s">
        <v>116</v>
      </c>
      <c r="M7973" s="10">
        <v>770.17868145409739</v>
      </c>
    </row>
    <row r="7974" spans="11:13" x14ac:dyDescent="0.25">
      <c r="K7974" s="26" t="s">
        <v>110</v>
      </c>
      <c r="L7974" s="27" t="s">
        <v>117</v>
      </c>
      <c r="M7974" s="10">
        <v>46.210720887245841</v>
      </c>
    </row>
    <row r="7975" spans="11:13" x14ac:dyDescent="0.25">
      <c r="K7975" s="26" t="s">
        <v>110</v>
      </c>
      <c r="L7975" s="27" t="s">
        <v>118</v>
      </c>
      <c r="M7975" s="10">
        <v>43.130006161429456</v>
      </c>
    </row>
    <row r="7976" spans="11:13" x14ac:dyDescent="0.25">
      <c r="K7976" s="26" t="s">
        <v>110</v>
      </c>
      <c r="L7976" s="27" t="s">
        <v>119</v>
      </c>
      <c r="M7976" s="10">
        <v>870.30191004313008</v>
      </c>
    </row>
    <row r="7977" spans="11:13" x14ac:dyDescent="0.25">
      <c r="K7977" s="26" t="s">
        <v>110</v>
      </c>
      <c r="L7977" s="27" t="s">
        <v>115</v>
      </c>
      <c r="M7977" s="10">
        <v>770.17868145409739</v>
      </c>
    </row>
    <row r="7978" spans="11:13" x14ac:dyDescent="0.25">
      <c r="K7978" s="26" t="s">
        <v>109</v>
      </c>
      <c r="L7978" s="27" t="s">
        <v>116</v>
      </c>
      <c r="M7978" s="10">
        <v>20.024645717806532</v>
      </c>
    </row>
    <row r="7979" spans="11:13" x14ac:dyDescent="0.25">
      <c r="K7979" s="26" t="s">
        <v>109</v>
      </c>
      <c r="L7979" s="27" t="s">
        <v>117</v>
      </c>
      <c r="M7979" s="10">
        <v>123.22858903265558</v>
      </c>
    </row>
    <row r="7980" spans="11:13" x14ac:dyDescent="0.25">
      <c r="K7980" s="26" t="s">
        <v>109</v>
      </c>
      <c r="L7980" s="27" t="s">
        <v>118</v>
      </c>
      <c r="M7980" s="10">
        <v>30.807147258163894</v>
      </c>
    </row>
    <row r="7981" spans="11:13" x14ac:dyDescent="0.25">
      <c r="K7981" s="26" t="s">
        <v>109</v>
      </c>
      <c r="L7981" s="27" t="s">
        <v>119</v>
      </c>
      <c r="M7981" s="10">
        <v>4.4812133746983802</v>
      </c>
    </row>
    <row r="7982" spans="11:13" x14ac:dyDescent="0.25">
      <c r="K7982" s="26" t="s">
        <v>109</v>
      </c>
      <c r="L7982" s="27" t="s">
        <v>115</v>
      </c>
      <c r="M7982" s="10">
        <v>50</v>
      </c>
    </row>
    <row r="7983" spans="11:13" x14ac:dyDescent="0.25">
      <c r="K7983" s="26" t="s">
        <v>109</v>
      </c>
      <c r="L7983" s="27" t="s">
        <v>116</v>
      </c>
      <c r="M7983" s="10">
        <v>110.22927689594357</v>
      </c>
    </row>
    <row r="7984" spans="11:13" x14ac:dyDescent="0.25">
      <c r="K7984" s="26" t="s">
        <v>109</v>
      </c>
      <c r="L7984" s="27" t="s">
        <v>117</v>
      </c>
      <c r="M7984" s="10">
        <v>44.091710758377424</v>
      </c>
    </row>
    <row r="7985" spans="11:13" x14ac:dyDescent="0.25">
      <c r="K7985" s="26" t="s">
        <v>112</v>
      </c>
      <c r="L7985" s="27" t="s">
        <v>118</v>
      </c>
      <c r="M7985" s="10">
        <v>573.4807652533608</v>
      </c>
    </row>
    <row r="7986" spans="11:13" x14ac:dyDescent="0.25">
      <c r="K7986" s="26" t="s">
        <v>112</v>
      </c>
      <c r="L7986" s="27" t="s">
        <v>119</v>
      </c>
      <c r="M7986" s="10">
        <v>84.719654959950716</v>
      </c>
    </row>
    <row r="7987" spans="11:13" x14ac:dyDescent="0.25">
      <c r="K7987" s="26" t="s">
        <v>110</v>
      </c>
      <c r="L7987" s="27" t="s">
        <v>115</v>
      </c>
      <c r="M7987" s="10">
        <v>84.719654959950716</v>
      </c>
    </row>
    <row r="7988" spans="11:13" x14ac:dyDescent="0.25">
      <c r="K7988" s="26" t="s">
        <v>110</v>
      </c>
      <c r="L7988" s="27" t="s">
        <v>116</v>
      </c>
      <c r="M7988" s="10">
        <v>49.116832328499271</v>
      </c>
    </row>
    <row r="7989" spans="11:13" x14ac:dyDescent="0.25">
      <c r="K7989" s="26" t="s">
        <v>110</v>
      </c>
      <c r="L7989" s="27" t="s">
        <v>117</v>
      </c>
      <c r="M7989" s="10">
        <v>105.89854918987609</v>
      </c>
    </row>
    <row r="7990" spans="11:13" x14ac:dyDescent="0.25">
      <c r="K7990" s="26" t="s">
        <v>110</v>
      </c>
      <c r="L7990" s="27" t="s">
        <v>118</v>
      </c>
      <c r="M7990" s="10">
        <v>154.03573629081947</v>
      </c>
    </row>
    <row r="7991" spans="11:13" x14ac:dyDescent="0.25">
      <c r="K7991" s="26" t="s">
        <v>109</v>
      </c>
      <c r="L7991" s="27" t="s">
        <v>119</v>
      </c>
      <c r="M7991" s="10">
        <v>154.03573629081947</v>
      </c>
    </row>
    <row r="7992" spans="11:13" x14ac:dyDescent="0.25">
      <c r="K7992" s="26" t="s">
        <v>109</v>
      </c>
      <c r="L7992" s="27" t="s">
        <v>115</v>
      </c>
      <c r="M7992" s="10">
        <v>84.719654959950716</v>
      </c>
    </row>
    <row r="7993" spans="11:13" x14ac:dyDescent="0.25">
      <c r="K7993" s="26" t="s">
        <v>109</v>
      </c>
      <c r="L7993" s="27" t="s">
        <v>116</v>
      </c>
      <c r="M7993" s="10">
        <v>1.4432319223985892</v>
      </c>
    </row>
    <row r="7994" spans="11:13" x14ac:dyDescent="0.25">
      <c r="K7994" s="26" t="s">
        <v>109</v>
      </c>
      <c r="L7994" s="27" t="s">
        <v>117</v>
      </c>
      <c r="M7994" s="10">
        <v>97.934215167548501</v>
      </c>
    </row>
    <row r="7995" spans="11:13" x14ac:dyDescent="0.25">
      <c r="K7995" s="26" t="s">
        <v>112</v>
      </c>
      <c r="L7995" s="27" t="s">
        <v>118</v>
      </c>
      <c r="M7995" s="10">
        <v>100</v>
      </c>
    </row>
    <row r="7996" spans="11:13" x14ac:dyDescent="0.25">
      <c r="K7996" s="26" t="s">
        <v>109</v>
      </c>
      <c r="L7996" s="27" t="s">
        <v>119</v>
      </c>
      <c r="M7996" s="10">
        <v>61.75</v>
      </c>
    </row>
    <row r="7997" spans="11:13" x14ac:dyDescent="0.25">
      <c r="K7997" s="26" t="s">
        <v>110</v>
      </c>
      <c r="L7997" s="27" t="s">
        <v>115</v>
      </c>
      <c r="M7997" s="10">
        <v>81.030710639332298</v>
      </c>
    </row>
    <row r="7998" spans="11:13" x14ac:dyDescent="0.25">
      <c r="K7998" s="26" t="s">
        <v>110</v>
      </c>
      <c r="L7998" s="27" t="s">
        <v>116</v>
      </c>
      <c r="M7998" s="10">
        <v>1482.5796886582655</v>
      </c>
    </row>
    <row r="7999" spans="11:13" x14ac:dyDescent="0.25">
      <c r="K7999" s="26" t="s">
        <v>110</v>
      </c>
      <c r="L7999" s="27" t="s">
        <v>117</v>
      </c>
      <c r="M7999" s="10">
        <v>4.3314322959100533</v>
      </c>
    </row>
    <row r="8000" spans="11:13" x14ac:dyDescent="0.25">
      <c r="K8000" s="26" t="s">
        <v>110</v>
      </c>
      <c r="L8000" s="27" t="s">
        <v>118</v>
      </c>
      <c r="M8000" s="10">
        <v>52.276030633860195</v>
      </c>
    </row>
    <row r="8001" spans="11:13" x14ac:dyDescent="0.25">
      <c r="K8001" s="26" t="s">
        <v>109</v>
      </c>
      <c r="L8001" s="27" t="s">
        <v>119</v>
      </c>
      <c r="M8001" s="10">
        <v>105.89854918987609</v>
      </c>
    </row>
    <row r="8002" spans="11:13" x14ac:dyDescent="0.25">
      <c r="K8002" s="26" t="s">
        <v>109</v>
      </c>
      <c r="L8002" s="27" t="s">
        <v>115</v>
      </c>
      <c r="M8002" s="10">
        <v>228.96498667423779</v>
      </c>
    </row>
    <row r="8003" spans="11:13" x14ac:dyDescent="0.25">
      <c r="K8003" s="26" t="s">
        <v>109</v>
      </c>
      <c r="L8003" s="27" t="s">
        <v>116</v>
      </c>
      <c r="M8003" s="10">
        <v>105.89854918987609</v>
      </c>
    </row>
    <row r="8004" spans="11:13" x14ac:dyDescent="0.25">
      <c r="K8004" s="26" t="s">
        <v>109</v>
      </c>
      <c r="L8004" s="27" t="s">
        <v>117</v>
      </c>
      <c r="M8004" s="10">
        <v>12.197396990993539</v>
      </c>
    </row>
    <row r="8005" spans="11:13" x14ac:dyDescent="0.25">
      <c r="K8005" s="26" t="s">
        <v>110</v>
      </c>
      <c r="L8005" s="27" t="s">
        <v>118</v>
      </c>
      <c r="M8005" s="10">
        <v>183.17198933939025</v>
      </c>
    </row>
    <row r="8006" spans="11:13" x14ac:dyDescent="0.25">
      <c r="K8006" s="26" t="s">
        <v>112</v>
      </c>
      <c r="L8006" s="27" t="s">
        <v>119</v>
      </c>
      <c r="M8006" s="10">
        <v>91.585994669695125</v>
      </c>
    </row>
    <row r="8007" spans="11:13" x14ac:dyDescent="0.25">
      <c r="K8007" s="26" t="s">
        <v>109</v>
      </c>
      <c r="L8007" s="27" t="s">
        <v>115</v>
      </c>
      <c r="M8007" s="10">
        <v>22</v>
      </c>
    </row>
    <row r="8008" spans="11:13" x14ac:dyDescent="0.25">
      <c r="K8008" s="26" t="s">
        <v>112</v>
      </c>
      <c r="L8008" s="27" t="s">
        <v>116</v>
      </c>
      <c r="M8008" s="10">
        <v>141.09347442680775</v>
      </c>
    </row>
    <row r="8009" spans="11:13" x14ac:dyDescent="0.25">
      <c r="K8009" s="26" t="s">
        <v>112</v>
      </c>
      <c r="L8009" s="27" t="s">
        <v>117</v>
      </c>
      <c r="M8009" s="10">
        <v>79.365079365079367</v>
      </c>
    </row>
    <row r="8010" spans="11:13" x14ac:dyDescent="0.25">
      <c r="K8010" s="26" t="s">
        <v>110</v>
      </c>
      <c r="L8010" s="27" t="s">
        <v>118</v>
      </c>
      <c r="M8010" s="10">
        <v>72.162081128747801</v>
      </c>
    </row>
    <row r="8011" spans="11:13" x14ac:dyDescent="0.25">
      <c r="K8011" s="26" t="s">
        <v>110</v>
      </c>
      <c r="L8011" s="27" t="s">
        <v>119</v>
      </c>
      <c r="M8011" s="10">
        <v>44.091710758377424</v>
      </c>
    </row>
    <row r="8012" spans="11:13" x14ac:dyDescent="0.25">
      <c r="K8012" s="26" t="s">
        <v>110</v>
      </c>
      <c r="L8012" s="27" t="s">
        <v>115</v>
      </c>
      <c r="M8012" s="10">
        <v>52.949274594938046</v>
      </c>
    </row>
    <row r="8013" spans="11:13" x14ac:dyDescent="0.25">
      <c r="K8013" s="26" t="s">
        <v>110</v>
      </c>
      <c r="L8013" s="27" t="s">
        <v>116</v>
      </c>
      <c r="M8013" s="10">
        <v>382.54242976631542</v>
      </c>
    </row>
    <row r="8014" spans="11:13" x14ac:dyDescent="0.25">
      <c r="K8014" s="26" t="s">
        <v>112</v>
      </c>
      <c r="L8014" s="27" t="s">
        <v>117</v>
      </c>
      <c r="M8014" s="10">
        <v>398.06655830267772</v>
      </c>
    </row>
    <row r="8015" spans="11:13" x14ac:dyDescent="0.25">
      <c r="K8015" s="26" t="s">
        <v>112</v>
      </c>
      <c r="L8015" s="27" t="s">
        <v>118</v>
      </c>
      <c r="M8015" s="10">
        <v>8.0425289229265111</v>
      </c>
    </row>
    <row r="8016" spans="11:13" x14ac:dyDescent="0.25">
      <c r="K8016" s="26" t="s">
        <v>109</v>
      </c>
      <c r="L8016" s="27" t="s">
        <v>119</v>
      </c>
      <c r="M8016" s="10">
        <v>261.95626527619362</v>
      </c>
    </row>
    <row r="8017" spans="11:13" x14ac:dyDescent="0.25">
      <c r="K8017" s="26" t="s">
        <v>110</v>
      </c>
      <c r="L8017" s="27" t="s">
        <v>115</v>
      </c>
      <c r="M8017" s="10">
        <v>8.1030710639332302</v>
      </c>
    </row>
    <row r="8018" spans="11:13" x14ac:dyDescent="0.25">
      <c r="K8018" s="26" t="s">
        <v>110</v>
      </c>
      <c r="L8018" s="27" t="s">
        <v>116</v>
      </c>
      <c r="M8018" s="10">
        <v>68.941744226128904</v>
      </c>
    </row>
    <row r="8019" spans="11:13" x14ac:dyDescent="0.25">
      <c r="K8019" s="26" t="s">
        <v>110</v>
      </c>
      <c r="L8019" s="27" t="s">
        <v>117</v>
      </c>
      <c r="M8019" s="10">
        <v>95</v>
      </c>
    </row>
    <row r="8020" spans="11:13" x14ac:dyDescent="0.25">
      <c r="K8020" s="26" t="s">
        <v>110</v>
      </c>
      <c r="L8020" s="27" t="s">
        <v>118</v>
      </c>
      <c r="M8020" s="10">
        <v>100</v>
      </c>
    </row>
    <row r="8021" spans="11:13" x14ac:dyDescent="0.25">
      <c r="K8021" s="26" t="s">
        <v>112</v>
      </c>
      <c r="L8021" s="27" t="s">
        <v>119</v>
      </c>
      <c r="M8021" s="10">
        <v>110.22927689594357</v>
      </c>
    </row>
    <row r="8022" spans="11:13" x14ac:dyDescent="0.25">
      <c r="K8022" s="26" t="s">
        <v>109</v>
      </c>
      <c r="L8022" s="27" t="s">
        <v>115</v>
      </c>
      <c r="M8022" s="10">
        <v>50</v>
      </c>
    </row>
    <row r="8023" spans="11:13" x14ac:dyDescent="0.25">
      <c r="K8023" s="26" t="s">
        <v>112</v>
      </c>
      <c r="L8023" s="27" t="s">
        <v>116</v>
      </c>
      <c r="M8023" s="10">
        <v>198.63164426059978</v>
      </c>
    </row>
    <row r="8024" spans="11:13" x14ac:dyDescent="0.25">
      <c r="K8024" s="26" t="s">
        <v>112</v>
      </c>
      <c r="L8024" s="27" t="s">
        <v>117</v>
      </c>
      <c r="M8024" s="10">
        <v>787.47795414462075</v>
      </c>
    </row>
    <row r="8025" spans="11:13" x14ac:dyDescent="0.25">
      <c r="K8025" s="26" t="s">
        <v>109</v>
      </c>
      <c r="L8025" s="27" t="s">
        <v>118</v>
      </c>
      <c r="M8025" s="10">
        <v>1350.4860392967942</v>
      </c>
    </row>
    <row r="8026" spans="11:13" x14ac:dyDescent="0.25">
      <c r="K8026" s="26" t="s">
        <v>109</v>
      </c>
      <c r="L8026" s="27" t="s">
        <v>119</v>
      </c>
      <c r="M8026" s="10">
        <v>1.6181661496035848</v>
      </c>
    </row>
    <row r="8027" spans="11:13" x14ac:dyDescent="0.25">
      <c r="K8027" s="26" t="s">
        <v>109</v>
      </c>
      <c r="L8027" s="27" t="s">
        <v>115</v>
      </c>
      <c r="M8027" s="10">
        <v>11.799379524301965</v>
      </c>
    </row>
    <row r="8028" spans="11:13" x14ac:dyDescent="0.25">
      <c r="K8028" s="26" t="s">
        <v>112</v>
      </c>
      <c r="L8028" s="27" t="s">
        <v>116</v>
      </c>
      <c r="M8028" s="10">
        <v>30</v>
      </c>
    </row>
    <row r="8029" spans="11:13" x14ac:dyDescent="0.25">
      <c r="K8029" s="26" t="s">
        <v>112</v>
      </c>
      <c r="L8029" s="27" t="s">
        <v>117</v>
      </c>
      <c r="M8029" s="10">
        <v>46.210720887245841</v>
      </c>
    </row>
    <row r="8030" spans="11:13" x14ac:dyDescent="0.25">
      <c r="K8030" s="26" t="s">
        <v>109</v>
      </c>
      <c r="L8030" s="27" t="s">
        <v>118</v>
      </c>
      <c r="M8030" s="10">
        <v>123.22858903265558</v>
      </c>
    </row>
    <row r="8031" spans="11:13" x14ac:dyDescent="0.25">
      <c r="K8031" s="26" t="s">
        <v>110</v>
      </c>
      <c r="L8031" s="27" t="s">
        <v>119</v>
      </c>
      <c r="M8031" s="10">
        <v>462.10720887245844</v>
      </c>
    </row>
    <row r="8032" spans="11:13" x14ac:dyDescent="0.25">
      <c r="K8032" s="26" t="s">
        <v>112</v>
      </c>
      <c r="L8032" s="27" t="s">
        <v>115</v>
      </c>
      <c r="M8032" s="10">
        <v>38.508934072704868</v>
      </c>
    </row>
    <row r="8033" spans="11:13" x14ac:dyDescent="0.25">
      <c r="K8033" s="26" t="s">
        <v>109</v>
      </c>
      <c r="L8033" s="27" t="s">
        <v>116</v>
      </c>
      <c r="M8033" s="10">
        <v>15.403573629081947</v>
      </c>
    </row>
    <row r="8034" spans="11:13" x14ac:dyDescent="0.25">
      <c r="K8034" s="26" t="s">
        <v>112</v>
      </c>
      <c r="L8034" s="27" t="s">
        <v>117</v>
      </c>
      <c r="M8034" s="10">
        <v>46.210720887245841</v>
      </c>
    </row>
    <row r="8035" spans="11:13" x14ac:dyDescent="0.25">
      <c r="K8035" s="26" t="s">
        <v>112</v>
      </c>
      <c r="L8035" s="27" t="s">
        <v>118</v>
      </c>
      <c r="M8035" s="10">
        <v>123.22858903265558</v>
      </c>
    </row>
    <row r="8036" spans="11:13" x14ac:dyDescent="0.25">
      <c r="K8036" s="26" t="s">
        <v>109</v>
      </c>
      <c r="L8036" s="27" t="s">
        <v>119</v>
      </c>
      <c r="M8036" s="10">
        <v>46.210720887245841</v>
      </c>
    </row>
    <row r="8037" spans="11:13" x14ac:dyDescent="0.25">
      <c r="K8037" s="26" t="s">
        <v>112</v>
      </c>
      <c r="L8037" s="27" t="s">
        <v>115</v>
      </c>
      <c r="M8037" s="10">
        <v>308.07147258163894</v>
      </c>
    </row>
    <row r="8038" spans="11:13" x14ac:dyDescent="0.25">
      <c r="K8038" s="26" t="s">
        <v>109</v>
      </c>
      <c r="L8038" s="27" t="s">
        <v>116</v>
      </c>
      <c r="M8038" s="10">
        <v>264.55026455026456</v>
      </c>
    </row>
    <row r="8039" spans="11:13" x14ac:dyDescent="0.25">
      <c r="K8039" s="26" t="s">
        <v>109</v>
      </c>
      <c r="L8039" s="27" t="s">
        <v>117</v>
      </c>
      <c r="M8039" s="10">
        <v>77.017868145409736</v>
      </c>
    </row>
    <row r="8040" spans="11:13" x14ac:dyDescent="0.25">
      <c r="K8040" s="26" t="s">
        <v>112</v>
      </c>
      <c r="L8040" s="27" t="s">
        <v>118</v>
      </c>
      <c r="M8040" s="10">
        <v>123.22858903265558</v>
      </c>
    </row>
    <row r="8041" spans="11:13" x14ac:dyDescent="0.25">
      <c r="K8041" s="26" t="s">
        <v>109</v>
      </c>
      <c r="L8041" s="27" t="s">
        <v>119</v>
      </c>
      <c r="M8041" s="10">
        <v>2.1565003080714726</v>
      </c>
    </row>
    <row r="8042" spans="11:13" x14ac:dyDescent="0.25">
      <c r="K8042" s="26" t="s">
        <v>109</v>
      </c>
      <c r="L8042" s="27" t="s">
        <v>115</v>
      </c>
      <c r="M8042" s="10">
        <v>77.017868145409736</v>
      </c>
    </row>
    <row r="8043" spans="11:13" x14ac:dyDescent="0.25">
      <c r="K8043" s="26" t="s">
        <v>112</v>
      </c>
      <c r="L8043" s="27" t="s">
        <v>116</v>
      </c>
      <c r="M8043" s="10">
        <v>183.75</v>
      </c>
    </row>
    <row r="8044" spans="11:13" x14ac:dyDescent="0.25">
      <c r="K8044" s="26" t="s">
        <v>112</v>
      </c>
      <c r="L8044" s="27" t="s">
        <v>117</v>
      </c>
      <c r="M8044" s="10">
        <v>174.8077601410935</v>
      </c>
    </row>
    <row r="8045" spans="11:13" x14ac:dyDescent="0.25">
      <c r="K8045" s="26" t="s">
        <v>109</v>
      </c>
      <c r="L8045" s="27" t="s">
        <v>118</v>
      </c>
      <c r="M8045" s="10">
        <v>308.64197530864197</v>
      </c>
    </row>
    <row r="8046" spans="11:13" x14ac:dyDescent="0.25">
      <c r="K8046" s="26" t="s">
        <v>109</v>
      </c>
      <c r="L8046" s="27" t="s">
        <v>119</v>
      </c>
      <c r="M8046" s="10">
        <v>52.949274594938046</v>
      </c>
    </row>
    <row r="8047" spans="11:13" x14ac:dyDescent="0.25">
      <c r="K8047" s="26" t="s">
        <v>112</v>
      </c>
      <c r="L8047" s="27" t="s">
        <v>115</v>
      </c>
      <c r="M8047" s="10">
        <v>2.6139807723643473</v>
      </c>
    </row>
    <row r="8048" spans="11:13" x14ac:dyDescent="0.25">
      <c r="K8048" s="26" t="s">
        <v>112</v>
      </c>
      <c r="L8048" s="27" t="s">
        <v>116</v>
      </c>
      <c r="M8048" s="10">
        <v>30.742487119859188</v>
      </c>
    </row>
    <row r="8049" spans="11:13" x14ac:dyDescent="0.25">
      <c r="K8049" s="26" t="s">
        <v>109</v>
      </c>
      <c r="L8049" s="27" t="s">
        <v>117</v>
      </c>
      <c r="M8049" s="10">
        <v>81.030710639332298</v>
      </c>
    </row>
    <row r="8050" spans="11:13" x14ac:dyDescent="0.25">
      <c r="K8050" s="26" t="s">
        <v>110</v>
      </c>
      <c r="L8050" s="27" t="s">
        <v>118</v>
      </c>
      <c r="M8050" s="10">
        <v>39.682539682539684</v>
      </c>
    </row>
    <row r="8051" spans="11:13" x14ac:dyDescent="0.25">
      <c r="K8051" s="26" t="s">
        <v>112</v>
      </c>
      <c r="L8051" s="27" t="s">
        <v>119</v>
      </c>
      <c r="M8051" s="10">
        <v>107.82501540357363</v>
      </c>
    </row>
    <row r="8052" spans="11:13" x14ac:dyDescent="0.25">
      <c r="K8052" s="26" t="s">
        <v>109</v>
      </c>
      <c r="L8052" s="27" t="s">
        <v>115</v>
      </c>
      <c r="M8052" s="10">
        <v>344.55827628979654</v>
      </c>
    </row>
    <row r="8053" spans="11:13" x14ac:dyDescent="0.25">
      <c r="K8053" s="26" t="s">
        <v>112</v>
      </c>
      <c r="L8053" s="27" t="s">
        <v>116</v>
      </c>
      <c r="M8053" s="10">
        <v>44.091710758377424</v>
      </c>
    </row>
    <row r="8054" spans="11:13" x14ac:dyDescent="0.25">
      <c r="K8054" s="26" t="s">
        <v>112</v>
      </c>
      <c r="L8054" s="27" t="s">
        <v>117</v>
      </c>
      <c r="M8054" s="10">
        <v>52.949274594938046</v>
      </c>
    </row>
    <row r="8055" spans="11:13" x14ac:dyDescent="0.25">
      <c r="K8055" s="26" t="s">
        <v>112</v>
      </c>
      <c r="L8055" s="27" t="s">
        <v>118</v>
      </c>
      <c r="M8055" s="10">
        <v>81.030710639332298</v>
      </c>
    </row>
    <row r="8056" spans="11:13" x14ac:dyDescent="0.25">
      <c r="K8056" s="26" t="s">
        <v>114</v>
      </c>
      <c r="L8056" s="27" t="s">
        <v>119</v>
      </c>
      <c r="M8056" s="10">
        <v>30.959752321981426</v>
      </c>
    </row>
    <row r="8057" spans="11:13" x14ac:dyDescent="0.25">
      <c r="K8057" s="26" t="s">
        <v>112</v>
      </c>
      <c r="L8057" s="27" t="s">
        <v>115</v>
      </c>
      <c r="M8057" s="10">
        <v>10589.85491898761</v>
      </c>
    </row>
    <row r="8058" spans="11:13" x14ac:dyDescent="0.25">
      <c r="K8058" s="26" t="s">
        <v>114</v>
      </c>
      <c r="L8058" s="27" t="s">
        <v>116</v>
      </c>
      <c r="M8058" s="10">
        <v>10589.85491898761</v>
      </c>
    </row>
    <row r="8059" spans="11:13" x14ac:dyDescent="0.25">
      <c r="K8059" s="26" t="s">
        <v>112</v>
      </c>
      <c r="L8059" s="27" t="s">
        <v>117</v>
      </c>
      <c r="M8059" s="10">
        <v>110.22927689594357</v>
      </c>
    </row>
    <row r="8060" spans="11:13" x14ac:dyDescent="0.25">
      <c r="K8060" s="26" t="s">
        <v>110</v>
      </c>
      <c r="L8060" s="27" t="s">
        <v>118</v>
      </c>
      <c r="M8060" s="10">
        <v>110.22927689594357</v>
      </c>
    </row>
    <row r="8061" spans="11:13" x14ac:dyDescent="0.25">
      <c r="K8061" s="26" t="s">
        <v>110</v>
      </c>
      <c r="L8061" s="27" t="s">
        <v>119</v>
      </c>
      <c r="M8061" s="10">
        <v>110.22927689594357</v>
      </c>
    </row>
    <row r="8062" spans="11:13" x14ac:dyDescent="0.25">
      <c r="K8062" s="26" t="s">
        <v>110</v>
      </c>
      <c r="L8062" s="27" t="s">
        <v>115</v>
      </c>
      <c r="M8062" s="10">
        <v>110.22927689594357</v>
      </c>
    </row>
    <row r="8063" spans="11:13" x14ac:dyDescent="0.25">
      <c r="K8063" s="26" t="s">
        <v>110</v>
      </c>
      <c r="L8063" s="27" t="s">
        <v>116</v>
      </c>
      <c r="M8063" s="10">
        <v>110.22927689594357</v>
      </c>
    </row>
    <row r="8064" spans="11:13" x14ac:dyDescent="0.25">
      <c r="K8064" s="26" t="s">
        <v>110</v>
      </c>
      <c r="L8064" s="27" t="s">
        <v>117</v>
      </c>
      <c r="M8064" s="10">
        <v>88.183421516754848</v>
      </c>
    </row>
    <row r="8065" spans="11:13" x14ac:dyDescent="0.25">
      <c r="K8065" s="26" t="s">
        <v>110</v>
      </c>
      <c r="L8065" s="27" t="s">
        <v>118</v>
      </c>
      <c r="M8065" s="10">
        <v>88.183421516754848</v>
      </c>
    </row>
    <row r="8066" spans="11:13" x14ac:dyDescent="0.25">
      <c r="K8066" s="26" t="s">
        <v>110</v>
      </c>
      <c r="L8066" s="27" t="s">
        <v>119</v>
      </c>
      <c r="M8066" s="10">
        <v>110.22927689594357</v>
      </c>
    </row>
    <row r="8067" spans="11:13" x14ac:dyDescent="0.25">
      <c r="K8067" s="26" t="s">
        <v>110</v>
      </c>
      <c r="L8067" s="27" t="s">
        <v>115</v>
      </c>
      <c r="M8067" s="10">
        <v>110.22927689594357</v>
      </c>
    </row>
    <row r="8068" spans="11:13" x14ac:dyDescent="0.25">
      <c r="K8068" s="26" t="s">
        <v>110</v>
      </c>
      <c r="L8068" s="27" t="s">
        <v>116</v>
      </c>
      <c r="M8068" s="10">
        <v>55.114638447971785</v>
      </c>
    </row>
    <row r="8069" spans="11:13" x14ac:dyDescent="0.25">
      <c r="K8069" s="26" t="s">
        <v>110</v>
      </c>
      <c r="L8069" s="27" t="s">
        <v>117</v>
      </c>
      <c r="M8069" s="10">
        <v>110.22927689594357</v>
      </c>
    </row>
    <row r="8070" spans="11:13" x14ac:dyDescent="0.25">
      <c r="K8070" s="26" t="s">
        <v>110</v>
      </c>
      <c r="L8070" s="27" t="s">
        <v>118</v>
      </c>
      <c r="M8070" s="10">
        <v>176.3668430335097</v>
      </c>
    </row>
    <row r="8071" spans="11:13" x14ac:dyDescent="0.25">
      <c r="K8071" s="26" t="s">
        <v>110</v>
      </c>
      <c r="L8071" s="27" t="s">
        <v>119</v>
      </c>
      <c r="M8071" s="10">
        <v>42.989417989417987</v>
      </c>
    </row>
    <row r="8072" spans="11:13" x14ac:dyDescent="0.25">
      <c r="K8072" s="26" t="s">
        <v>110</v>
      </c>
      <c r="L8072" s="27" t="s">
        <v>115</v>
      </c>
      <c r="M8072" s="10">
        <v>21.179709837975221</v>
      </c>
    </row>
    <row r="8073" spans="11:13" x14ac:dyDescent="0.25">
      <c r="K8073" s="26" t="s">
        <v>110</v>
      </c>
      <c r="L8073" s="27" t="s">
        <v>116</v>
      </c>
      <c r="M8073" s="10">
        <v>41.58964879852126</v>
      </c>
    </row>
    <row r="8074" spans="11:13" x14ac:dyDescent="0.25">
      <c r="K8074" s="26" t="s">
        <v>110</v>
      </c>
      <c r="L8074" s="27" t="s">
        <v>117</v>
      </c>
      <c r="M8074" s="10">
        <v>30.807147258163894</v>
      </c>
    </row>
    <row r="8075" spans="11:13" x14ac:dyDescent="0.25">
      <c r="K8075" s="26" t="s">
        <v>110</v>
      </c>
      <c r="L8075" s="27" t="s">
        <v>118</v>
      </c>
      <c r="M8075" s="10">
        <v>43.130006161429456</v>
      </c>
    </row>
    <row r="8076" spans="11:13" x14ac:dyDescent="0.25">
      <c r="K8076" s="26" t="s">
        <v>110</v>
      </c>
      <c r="L8076" s="27" t="s">
        <v>119</v>
      </c>
      <c r="M8076" s="10">
        <v>132.27513227513228</v>
      </c>
    </row>
    <row r="8077" spans="11:13" x14ac:dyDescent="0.25">
      <c r="K8077" s="26" t="s">
        <v>110</v>
      </c>
      <c r="L8077" s="27" t="s">
        <v>115</v>
      </c>
      <c r="M8077" s="10">
        <v>110.22927689594357</v>
      </c>
    </row>
    <row r="8078" spans="11:13" x14ac:dyDescent="0.25">
      <c r="K8078" s="26" t="s">
        <v>110</v>
      </c>
      <c r="L8078" s="27" t="s">
        <v>116</v>
      </c>
      <c r="M8078" s="10">
        <v>440.91710758377428</v>
      </c>
    </row>
    <row r="8079" spans="11:13" x14ac:dyDescent="0.25">
      <c r="K8079" s="26" t="s">
        <v>112</v>
      </c>
      <c r="L8079" s="27" t="s">
        <v>117</v>
      </c>
      <c r="M8079" s="10">
        <v>327.47328507411237</v>
      </c>
    </row>
    <row r="8080" spans="11:13" x14ac:dyDescent="0.25">
      <c r="K8080" s="26" t="s">
        <v>110</v>
      </c>
      <c r="L8080" s="27" t="s">
        <v>118</v>
      </c>
      <c r="M8080" s="10">
        <v>34.470872113064452</v>
      </c>
    </row>
    <row r="8081" spans="11:13" x14ac:dyDescent="0.25">
      <c r="K8081" s="26" t="s">
        <v>110</v>
      </c>
      <c r="L8081" s="27" t="s">
        <v>119</v>
      </c>
      <c r="M8081" s="10">
        <v>100</v>
      </c>
    </row>
    <row r="8082" spans="11:13" x14ac:dyDescent="0.25">
      <c r="K8082" s="26" t="s">
        <v>110</v>
      </c>
      <c r="L8082" s="27" t="s">
        <v>115</v>
      </c>
      <c r="M8082" s="10">
        <v>105.89854918987609</v>
      </c>
    </row>
    <row r="8083" spans="11:13" x14ac:dyDescent="0.25">
      <c r="K8083" s="26" t="s">
        <v>110</v>
      </c>
      <c r="L8083" s="27" t="s">
        <v>116</v>
      </c>
      <c r="M8083" s="10">
        <v>40.515355319666149</v>
      </c>
    </row>
    <row r="8084" spans="11:13" x14ac:dyDescent="0.25">
      <c r="K8084" s="26" t="s">
        <v>110</v>
      </c>
      <c r="L8084" s="27" t="s">
        <v>117</v>
      </c>
      <c r="M8084" s="10">
        <v>137.82331051591859</v>
      </c>
    </row>
    <row r="8085" spans="11:13" x14ac:dyDescent="0.25">
      <c r="K8085" s="26" t="s">
        <v>111</v>
      </c>
      <c r="L8085" s="27" t="s">
        <v>118</v>
      </c>
      <c r="M8085" s="10">
        <v>4409.1710758377421</v>
      </c>
    </row>
    <row r="8086" spans="11:13" x14ac:dyDescent="0.25">
      <c r="K8086" s="26" t="s">
        <v>109</v>
      </c>
      <c r="L8086" s="27" t="s">
        <v>119</v>
      </c>
      <c r="M8086" s="10">
        <v>17.235436056532226</v>
      </c>
    </row>
    <row r="8087" spans="11:13" x14ac:dyDescent="0.25">
      <c r="K8087" s="26" t="s">
        <v>109</v>
      </c>
      <c r="L8087" s="27" t="s">
        <v>115</v>
      </c>
      <c r="M8087" s="10">
        <v>423.59419675950437</v>
      </c>
    </row>
    <row r="8088" spans="11:13" x14ac:dyDescent="0.25">
      <c r="K8088" s="26" t="s">
        <v>109</v>
      </c>
      <c r="L8088" s="27" t="s">
        <v>116</v>
      </c>
      <c r="M8088" s="10">
        <v>154.03573629081947</v>
      </c>
    </row>
    <row r="8089" spans="11:13" x14ac:dyDescent="0.25">
      <c r="K8089" s="26" t="s">
        <v>109</v>
      </c>
      <c r="L8089" s="27" t="s">
        <v>117</v>
      </c>
      <c r="M8089" s="10">
        <v>64.24010381200776</v>
      </c>
    </row>
    <row r="8090" spans="11:13" x14ac:dyDescent="0.25">
      <c r="K8090" s="26" t="s">
        <v>110</v>
      </c>
      <c r="L8090" s="27" t="s">
        <v>118</v>
      </c>
      <c r="M8090" s="10">
        <v>13.035685188202706</v>
      </c>
    </row>
    <row r="8091" spans="11:13" x14ac:dyDescent="0.25">
      <c r="K8091" s="26" t="s">
        <v>110</v>
      </c>
      <c r="L8091" s="27" t="s">
        <v>119</v>
      </c>
      <c r="M8091" s="10">
        <v>158.84782378481412</v>
      </c>
    </row>
    <row r="8092" spans="11:13" x14ac:dyDescent="0.25">
      <c r="K8092" s="26" t="s">
        <v>110</v>
      </c>
      <c r="L8092" s="27" t="s">
        <v>115</v>
      </c>
      <c r="M8092" s="10">
        <v>16.294606485253382</v>
      </c>
    </row>
    <row r="8093" spans="11:13" x14ac:dyDescent="0.25">
      <c r="K8093" s="26" t="s">
        <v>109</v>
      </c>
      <c r="L8093" s="27" t="s">
        <v>116</v>
      </c>
      <c r="M8093" s="10">
        <v>11.375</v>
      </c>
    </row>
    <row r="8094" spans="11:13" x14ac:dyDescent="0.25">
      <c r="K8094" s="26" t="s">
        <v>109</v>
      </c>
      <c r="L8094" s="27" t="s">
        <v>117</v>
      </c>
      <c r="M8094" s="10">
        <v>100</v>
      </c>
    </row>
    <row r="8095" spans="11:13" x14ac:dyDescent="0.25">
      <c r="K8095" s="26" t="s">
        <v>113</v>
      </c>
      <c r="L8095" s="27" t="s">
        <v>118</v>
      </c>
      <c r="M8095" s="10">
        <v>64.24010381200776</v>
      </c>
    </row>
    <row r="8096" spans="11:13" x14ac:dyDescent="0.25">
      <c r="K8096" s="26" t="s">
        <v>113</v>
      </c>
      <c r="L8096" s="27" t="s">
        <v>119</v>
      </c>
      <c r="M8096" s="10">
        <v>105.89854918987609</v>
      </c>
    </row>
    <row r="8097" spans="11:13" x14ac:dyDescent="0.25">
      <c r="K8097" s="26" t="s">
        <v>109</v>
      </c>
      <c r="L8097" s="27" t="s">
        <v>115</v>
      </c>
      <c r="M8097" s="10">
        <v>220.45855379188714</v>
      </c>
    </row>
    <row r="8098" spans="11:13" x14ac:dyDescent="0.25">
      <c r="K8098" s="26" t="s">
        <v>113</v>
      </c>
      <c r="L8098" s="27" t="s">
        <v>116</v>
      </c>
      <c r="M8098" s="10">
        <v>275</v>
      </c>
    </row>
    <row r="8099" spans="11:13" x14ac:dyDescent="0.25">
      <c r="K8099" s="26" t="s">
        <v>110</v>
      </c>
      <c r="L8099" s="27" t="s">
        <v>117</v>
      </c>
      <c r="M8099" s="10">
        <v>52.949274594938046</v>
      </c>
    </row>
    <row r="8100" spans="11:13" x14ac:dyDescent="0.25">
      <c r="K8100" s="26" t="s">
        <v>113</v>
      </c>
      <c r="L8100" s="27" t="s">
        <v>118</v>
      </c>
      <c r="M8100" s="10">
        <v>30.875</v>
      </c>
    </row>
    <row r="8101" spans="11:13" x14ac:dyDescent="0.25">
      <c r="K8101" s="26" t="s">
        <v>111</v>
      </c>
      <c r="L8101" s="27" t="s">
        <v>119</v>
      </c>
      <c r="M8101" s="10">
        <v>105.89854918987609</v>
      </c>
    </row>
    <row r="8102" spans="11:13" x14ac:dyDescent="0.25">
      <c r="K8102" s="26" t="s">
        <v>113</v>
      </c>
      <c r="L8102" s="27" t="s">
        <v>115</v>
      </c>
      <c r="M8102" s="10">
        <v>86.177180282661155</v>
      </c>
    </row>
    <row r="8103" spans="11:13" x14ac:dyDescent="0.25">
      <c r="K8103" s="26" t="s">
        <v>109</v>
      </c>
      <c r="L8103" s="27" t="s">
        <v>116</v>
      </c>
      <c r="M8103" s="10">
        <v>154.03573629081947</v>
      </c>
    </row>
    <row r="8104" spans="11:13" x14ac:dyDescent="0.25">
      <c r="K8104" s="26" t="s">
        <v>111</v>
      </c>
      <c r="L8104" s="27" t="s">
        <v>117</v>
      </c>
      <c r="M8104" s="10">
        <v>46.210720887245841</v>
      </c>
    </row>
    <row r="8105" spans="11:13" x14ac:dyDescent="0.25">
      <c r="K8105" s="26" t="s">
        <v>113</v>
      </c>
      <c r="L8105" s="27" t="s">
        <v>118</v>
      </c>
      <c r="M8105" s="10">
        <v>810.30710639332301</v>
      </c>
    </row>
    <row r="8106" spans="11:13" x14ac:dyDescent="0.25">
      <c r="K8106" s="26" t="s">
        <v>113</v>
      </c>
      <c r="L8106" s="27" t="s">
        <v>119</v>
      </c>
      <c r="M8106" s="10">
        <v>97.767638911520294</v>
      </c>
    </row>
    <row r="8107" spans="11:13" x14ac:dyDescent="0.25">
      <c r="K8107" s="26" t="s">
        <v>111</v>
      </c>
      <c r="L8107" s="27" t="s">
        <v>115</v>
      </c>
      <c r="M8107" s="10">
        <v>11.375</v>
      </c>
    </row>
    <row r="8108" spans="11:13" x14ac:dyDescent="0.25">
      <c r="K8108" s="26" t="s">
        <v>111</v>
      </c>
      <c r="L8108" s="27" t="s">
        <v>116</v>
      </c>
      <c r="M8108" s="10">
        <v>12.848020762401553</v>
      </c>
    </row>
    <row r="8109" spans="11:13" x14ac:dyDescent="0.25">
      <c r="K8109" s="26" t="s">
        <v>113</v>
      </c>
      <c r="L8109" s="27" t="s">
        <v>117</v>
      </c>
      <c r="M8109" s="10">
        <v>52.949274594938046</v>
      </c>
    </row>
    <row r="8110" spans="11:13" x14ac:dyDescent="0.25">
      <c r="K8110" s="26" t="s">
        <v>113</v>
      </c>
      <c r="L8110" s="27" t="s">
        <v>118</v>
      </c>
      <c r="M8110" s="10">
        <v>31.467183729748363</v>
      </c>
    </row>
    <row r="8111" spans="11:13" x14ac:dyDescent="0.25">
      <c r="K8111" s="26" t="s">
        <v>113</v>
      </c>
      <c r="L8111" s="27" t="s">
        <v>119</v>
      </c>
      <c r="M8111" s="10">
        <v>27.635835699510491</v>
      </c>
    </row>
    <row r="8112" spans="11:13" x14ac:dyDescent="0.25">
      <c r="K8112" s="26" t="s">
        <v>113</v>
      </c>
      <c r="L8112" s="27" t="s">
        <v>115</v>
      </c>
      <c r="M8112" s="10">
        <v>38.54406228720466</v>
      </c>
    </row>
    <row r="8113" spans="11:13" x14ac:dyDescent="0.25">
      <c r="K8113" s="26" t="s">
        <v>110</v>
      </c>
      <c r="L8113" s="27" t="s">
        <v>116</v>
      </c>
      <c r="M8113" s="10">
        <v>52.949274594938046</v>
      </c>
    </row>
    <row r="8114" spans="11:13" x14ac:dyDescent="0.25">
      <c r="K8114" s="26" t="s">
        <v>111</v>
      </c>
      <c r="L8114" s="27" t="s">
        <v>117</v>
      </c>
      <c r="M8114" s="10">
        <v>63.539129513925651</v>
      </c>
    </row>
    <row r="8115" spans="11:13" x14ac:dyDescent="0.25">
      <c r="K8115" s="26" t="s">
        <v>111</v>
      </c>
      <c r="L8115" s="27" t="s">
        <v>118</v>
      </c>
      <c r="M8115" s="10">
        <v>25.696041524803107</v>
      </c>
    </row>
    <row r="8116" spans="11:13" x14ac:dyDescent="0.25">
      <c r="K8116" s="26" t="s">
        <v>110</v>
      </c>
      <c r="L8116" s="27" t="s">
        <v>119</v>
      </c>
      <c r="M8116" s="10">
        <v>98.712135669959252</v>
      </c>
    </row>
    <row r="8117" spans="11:13" x14ac:dyDescent="0.25">
      <c r="K8117" s="26" t="s">
        <v>111</v>
      </c>
      <c r="L8117" s="27" t="s">
        <v>115</v>
      </c>
      <c r="M8117" s="10">
        <v>98.712135669959252</v>
      </c>
    </row>
    <row r="8118" spans="11:13" x14ac:dyDescent="0.25">
      <c r="K8118" s="26" t="s">
        <v>111</v>
      </c>
      <c r="L8118" s="27" t="s">
        <v>116</v>
      </c>
      <c r="M8118" s="10">
        <v>150</v>
      </c>
    </row>
    <row r="8119" spans="11:13" x14ac:dyDescent="0.25">
      <c r="K8119" s="26" t="s">
        <v>110</v>
      </c>
      <c r="L8119" s="27" t="s">
        <v>117</v>
      </c>
      <c r="M8119" s="10">
        <v>66.235366605052377</v>
      </c>
    </row>
    <row r="8120" spans="11:13" x14ac:dyDescent="0.25">
      <c r="K8120" s="26" t="s">
        <v>114</v>
      </c>
      <c r="L8120" s="27" t="s">
        <v>118</v>
      </c>
      <c r="M8120" s="10">
        <v>7.7017868145409736</v>
      </c>
    </row>
    <row r="8121" spans="11:13" x14ac:dyDescent="0.25">
      <c r="K8121" s="26" t="s">
        <v>110</v>
      </c>
      <c r="L8121" s="27" t="s">
        <v>119</v>
      </c>
      <c r="M8121" s="10">
        <v>44.968072668405433</v>
      </c>
    </row>
    <row r="8122" spans="11:13" x14ac:dyDescent="0.25">
      <c r="K8122" s="26" t="s">
        <v>110</v>
      </c>
      <c r="L8122" s="27" t="s">
        <v>115</v>
      </c>
      <c r="M8122" s="10">
        <v>38.54406228720466</v>
      </c>
    </row>
    <row r="8123" spans="11:13" x14ac:dyDescent="0.25">
      <c r="K8123" s="26" t="s">
        <v>111</v>
      </c>
      <c r="L8123" s="27" t="s">
        <v>116</v>
      </c>
      <c r="M8123" s="10">
        <v>41.130056529149691</v>
      </c>
    </row>
    <row r="8124" spans="11:13" x14ac:dyDescent="0.25">
      <c r="K8124" s="26" t="s">
        <v>109</v>
      </c>
      <c r="L8124" s="27" t="s">
        <v>117</v>
      </c>
      <c r="M8124" s="10">
        <v>74.034101752469454</v>
      </c>
    </row>
    <row r="8125" spans="11:13" x14ac:dyDescent="0.25">
      <c r="K8125" s="26" t="s">
        <v>109</v>
      </c>
      <c r="L8125" s="27" t="s">
        <v>118</v>
      </c>
      <c r="M8125" s="10">
        <v>27.635835699510491</v>
      </c>
    </row>
    <row r="8126" spans="11:13" x14ac:dyDescent="0.25">
      <c r="K8126" s="26" t="s">
        <v>111</v>
      </c>
      <c r="L8126" s="27" t="s">
        <v>119</v>
      </c>
      <c r="M8126" s="10">
        <v>3080.7147258163895</v>
      </c>
    </row>
    <row r="8127" spans="11:13" x14ac:dyDescent="0.25">
      <c r="K8127" s="26" t="s">
        <v>109</v>
      </c>
      <c r="L8127" s="27" t="s">
        <v>115</v>
      </c>
      <c r="M8127" s="10">
        <v>61.614294516327789</v>
      </c>
    </row>
    <row r="8128" spans="11:13" x14ac:dyDescent="0.25">
      <c r="K8128" s="26" t="s">
        <v>109</v>
      </c>
      <c r="L8128" s="27" t="s">
        <v>116</v>
      </c>
      <c r="M8128" s="10">
        <v>81.030710639332298</v>
      </c>
    </row>
    <row r="8129" spans="11:13" x14ac:dyDescent="0.25">
      <c r="K8129" s="26" t="s">
        <v>110</v>
      </c>
      <c r="L8129" s="27" t="s">
        <v>117</v>
      </c>
      <c r="M8129" s="10">
        <v>9.4408135125818688</v>
      </c>
    </row>
    <row r="8130" spans="11:13" x14ac:dyDescent="0.25">
      <c r="K8130" s="26" t="s">
        <v>110</v>
      </c>
      <c r="L8130" s="27" t="s">
        <v>118</v>
      </c>
      <c r="M8130" s="10">
        <v>52.949274594938046</v>
      </c>
    </row>
    <row r="8131" spans="11:13" x14ac:dyDescent="0.25">
      <c r="K8131" s="26" t="s">
        <v>110</v>
      </c>
      <c r="L8131" s="27" t="s">
        <v>119</v>
      </c>
      <c r="M8131" s="10">
        <v>97.934215167548501</v>
      </c>
    </row>
    <row r="8132" spans="11:13" x14ac:dyDescent="0.25">
      <c r="K8132" s="26" t="s">
        <v>110</v>
      </c>
      <c r="L8132" s="27" t="s">
        <v>115</v>
      </c>
      <c r="M8132" s="10">
        <v>55.114638447971785</v>
      </c>
    </row>
    <row r="8133" spans="11:13" x14ac:dyDescent="0.25">
      <c r="K8133" s="26" t="s">
        <v>110</v>
      </c>
      <c r="L8133" s="27" t="s">
        <v>116</v>
      </c>
      <c r="M8133" s="10">
        <v>8.8183421516754841</v>
      </c>
    </row>
    <row r="8134" spans="11:13" x14ac:dyDescent="0.25">
      <c r="K8134" s="26" t="s">
        <v>110</v>
      </c>
      <c r="L8134" s="27" t="s">
        <v>117</v>
      </c>
      <c r="M8134" s="10">
        <v>622.68346923647141</v>
      </c>
    </row>
    <row r="8135" spans="11:13" x14ac:dyDescent="0.25">
      <c r="K8135" s="26" t="s">
        <v>110</v>
      </c>
      <c r="L8135" s="27" t="s">
        <v>118</v>
      </c>
      <c r="M8135" s="10">
        <v>52.949274594938046</v>
      </c>
    </row>
    <row r="8136" spans="11:13" x14ac:dyDescent="0.25">
      <c r="K8136" s="26" t="s">
        <v>110</v>
      </c>
      <c r="L8136" s="27" t="s">
        <v>119</v>
      </c>
      <c r="M8136" s="10">
        <v>31.769564756962826</v>
      </c>
    </row>
    <row r="8137" spans="11:13" x14ac:dyDescent="0.25">
      <c r="K8137" s="26" t="s">
        <v>109</v>
      </c>
      <c r="L8137" s="27" t="s">
        <v>115</v>
      </c>
      <c r="M8137" s="10">
        <v>128.48020762401552</v>
      </c>
    </row>
    <row r="8138" spans="11:13" x14ac:dyDescent="0.25">
      <c r="K8138" s="26" t="s">
        <v>109</v>
      </c>
      <c r="L8138" s="27" t="s">
        <v>116</v>
      </c>
      <c r="M8138" s="10">
        <v>128.48020762401552</v>
      </c>
    </row>
    <row r="8139" spans="11:13" x14ac:dyDescent="0.25">
      <c r="K8139" s="26" t="s">
        <v>109</v>
      </c>
      <c r="L8139" s="27" t="s">
        <v>117</v>
      </c>
      <c r="M8139" s="10">
        <v>128.48020762401552</v>
      </c>
    </row>
    <row r="8140" spans="11:13" x14ac:dyDescent="0.25">
      <c r="K8140" s="26" t="s">
        <v>109</v>
      </c>
      <c r="L8140" s="27" t="s">
        <v>118</v>
      </c>
      <c r="M8140" s="10">
        <v>32.904045223319756</v>
      </c>
    </row>
    <row r="8141" spans="11:13" x14ac:dyDescent="0.25">
      <c r="K8141" s="26" t="s">
        <v>109</v>
      </c>
      <c r="L8141" s="27" t="s">
        <v>119</v>
      </c>
      <c r="M8141" s="10">
        <v>124.09513960703205</v>
      </c>
    </row>
    <row r="8142" spans="11:13" x14ac:dyDescent="0.25">
      <c r="K8142" s="26" t="s">
        <v>110</v>
      </c>
      <c r="L8142" s="27" t="s">
        <v>115</v>
      </c>
      <c r="M8142" s="10">
        <v>158.84782378481412</v>
      </c>
    </row>
    <row r="8143" spans="11:13" x14ac:dyDescent="0.25">
      <c r="K8143" s="26" t="s">
        <v>110</v>
      </c>
      <c r="L8143" s="27" t="s">
        <v>116</v>
      </c>
      <c r="M8143" s="10">
        <v>27.681929281407854</v>
      </c>
    </row>
    <row r="8144" spans="11:13" x14ac:dyDescent="0.25">
      <c r="K8144" s="26" t="s">
        <v>110</v>
      </c>
      <c r="L8144" s="27" t="s">
        <v>117</v>
      </c>
      <c r="M8144" s="10">
        <v>120.3659123736158</v>
      </c>
    </row>
    <row r="8145" spans="11:13" x14ac:dyDescent="0.25">
      <c r="K8145" s="26" t="s">
        <v>110</v>
      </c>
      <c r="L8145" s="27" t="s">
        <v>118</v>
      </c>
      <c r="M8145" s="10">
        <v>240.7318247472316</v>
      </c>
    </row>
    <row r="8146" spans="11:13" x14ac:dyDescent="0.25">
      <c r="K8146" s="26" t="s">
        <v>110</v>
      </c>
      <c r="L8146" s="27" t="s">
        <v>119</v>
      </c>
      <c r="M8146" s="10">
        <v>99.206349206349202</v>
      </c>
    </row>
    <row r="8147" spans="11:13" x14ac:dyDescent="0.25">
      <c r="K8147" s="26" t="s">
        <v>110</v>
      </c>
      <c r="L8147" s="27" t="s">
        <v>115</v>
      </c>
      <c r="M8147" s="10">
        <v>26.323236178655804</v>
      </c>
    </row>
    <row r="8148" spans="11:13" x14ac:dyDescent="0.25">
      <c r="K8148" s="26" t="s">
        <v>110</v>
      </c>
      <c r="L8148" s="27" t="s">
        <v>116</v>
      </c>
      <c r="M8148" s="10">
        <v>23.032831656323829</v>
      </c>
    </row>
    <row r="8149" spans="11:13" x14ac:dyDescent="0.25">
      <c r="K8149" s="26" t="s">
        <v>110</v>
      </c>
      <c r="L8149" s="27" t="s">
        <v>117</v>
      </c>
      <c r="M8149" s="10">
        <v>92.131326625295316</v>
      </c>
    </row>
    <row r="8150" spans="11:13" x14ac:dyDescent="0.25">
      <c r="K8150" s="26" t="s">
        <v>110</v>
      </c>
      <c r="L8150" s="27" t="s">
        <v>118</v>
      </c>
      <c r="M8150" s="10">
        <v>28.085379553843687</v>
      </c>
    </row>
    <row r="8151" spans="11:13" x14ac:dyDescent="0.25">
      <c r="K8151" s="26" t="s">
        <v>109</v>
      </c>
      <c r="L8151" s="27" t="s">
        <v>119</v>
      </c>
      <c r="M8151" s="10">
        <v>105.89854918987609</v>
      </c>
    </row>
    <row r="8152" spans="11:13" x14ac:dyDescent="0.25">
      <c r="K8152" s="26" t="s">
        <v>110</v>
      </c>
      <c r="L8152" s="27" t="s">
        <v>115</v>
      </c>
      <c r="M8152" s="10">
        <v>23.567467652495381</v>
      </c>
    </row>
    <row r="8153" spans="11:13" x14ac:dyDescent="0.25">
      <c r="K8153" s="26" t="s">
        <v>110</v>
      </c>
      <c r="L8153" s="27" t="s">
        <v>116</v>
      </c>
      <c r="M8153" s="10">
        <v>77.088124574409321</v>
      </c>
    </row>
    <row r="8154" spans="11:13" x14ac:dyDescent="0.25">
      <c r="K8154" s="26" t="s">
        <v>110</v>
      </c>
      <c r="L8154" s="27" t="s">
        <v>117</v>
      </c>
      <c r="M8154" s="10">
        <v>55.114638447971785</v>
      </c>
    </row>
    <row r="8155" spans="11:13" x14ac:dyDescent="0.25">
      <c r="K8155" s="26" t="s">
        <v>110</v>
      </c>
      <c r="L8155" s="27" t="s">
        <v>118</v>
      </c>
      <c r="M8155" s="10">
        <v>155.11892450879009</v>
      </c>
    </row>
    <row r="8156" spans="11:13" x14ac:dyDescent="0.25">
      <c r="K8156" s="26" t="s">
        <v>109</v>
      </c>
      <c r="L8156" s="27" t="s">
        <v>119</v>
      </c>
      <c r="M8156" s="10">
        <v>283.78595404920969</v>
      </c>
    </row>
    <row r="8157" spans="11:13" x14ac:dyDescent="0.25">
      <c r="K8157" s="26" t="s">
        <v>110</v>
      </c>
      <c r="L8157" s="27" t="s">
        <v>115</v>
      </c>
      <c r="M8157" s="10">
        <v>467.23744217114051</v>
      </c>
    </row>
    <row r="8158" spans="11:13" x14ac:dyDescent="0.25">
      <c r="K8158" s="26" t="s">
        <v>110</v>
      </c>
      <c r="L8158" s="27" t="s">
        <v>116</v>
      </c>
      <c r="M8158" s="10">
        <v>203.48406226834692</v>
      </c>
    </row>
    <row r="8159" spans="11:13" x14ac:dyDescent="0.25">
      <c r="K8159" s="26" t="s">
        <v>113</v>
      </c>
      <c r="L8159" s="27" t="s">
        <v>117</v>
      </c>
      <c r="M8159" s="10">
        <v>160.48788316482106</v>
      </c>
    </row>
    <row r="8160" spans="11:13" x14ac:dyDescent="0.25">
      <c r="K8160" s="26" t="s">
        <v>113</v>
      </c>
      <c r="L8160" s="27" t="s">
        <v>118</v>
      </c>
      <c r="M8160" s="10">
        <v>317.69564756962825</v>
      </c>
    </row>
    <row r="8161" spans="11:13" x14ac:dyDescent="0.25">
      <c r="K8161" s="26" t="s">
        <v>110</v>
      </c>
      <c r="L8161" s="27" t="s">
        <v>119</v>
      </c>
      <c r="M8161" s="10">
        <v>132.37318648734512</v>
      </c>
    </row>
    <row r="8162" spans="11:13" x14ac:dyDescent="0.25">
      <c r="K8162" s="26" t="s">
        <v>110</v>
      </c>
      <c r="L8162" s="27" t="s">
        <v>115</v>
      </c>
      <c r="M8162" s="10">
        <v>17.235436056532226</v>
      </c>
    </row>
    <row r="8163" spans="11:13" x14ac:dyDescent="0.25">
      <c r="K8163" s="26" t="s">
        <v>109</v>
      </c>
      <c r="L8163" s="27" t="s">
        <v>116</v>
      </c>
      <c r="M8163" s="10">
        <v>32.12005190600388</v>
      </c>
    </row>
    <row r="8164" spans="11:13" x14ac:dyDescent="0.25">
      <c r="K8164" s="26" t="s">
        <v>109</v>
      </c>
      <c r="L8164" s="27" t="s">
        <v>117</v>
      </c>
      <c r="M8164" s="10">
        <v>30.807147258163894</v>
      </c>
    </row>
    <row r="8165" spans="11:13" x14ac:dyDescent="0.25">
      <c r="K8165" s="26" t="s">
        <v>111</v>
      </c>
      <c r="L8165" s="27" t="s">
        <v>118</v>
      </c>
      <c r="M8165" s="10">
        <v>87.419252356242723</v>
      </c>
    </row>
    <row r="8166" spans="11:13" x14ac:dyDescent="0.25">
      <c r="K8166" s="26" t="s">
        <v>109</v>
      </c>
      <c r="L8166" s="27" t="s">
        <v>119</v>
      </c>
      <c r="M8166" s="10">
        <v>63.581488933601605</v>
      </c>
    </row>
    <row r="8167" spans="11:13" x14ac:dyDescent="0.25">
      <c r="K8167" s="26" t="s">
        <v>110</v>
      </c>
      <c r="L8167" s="27" t="s">
        <v>115</v>
      </c>
      <c r="M8167" s="10">
        <v>84.719654959950716</v>
      </c>
    </row>
    <row r="8168" spans="11:13" x14ac:dyDescent="0.25">
      <c r="K8168" s="26" t="s">
        <v>110</v>
      </c>
      <c r="L8168" s="27" t="s">
        <v>116</v>
      </c>
      <c r="M8168" s="10">
        <v>91.585994669695125</v>
      </c>
    </row>
    <row r="8169" spans="11:13" x14ac:dyDescent="0.25">
      <c r="K8169" s="26" t="s">
        <v>110</v>
      </c>
      <c r="L8169" s="27" t="s">
        <v>117</v>
      </c>
      <c r="M8169" s="10">
        <v>17.235436056532226</v>
      </c>
    </row>
    <row r="8170" spans="11:13" x14ac:dyDescent="0.25">
      <c r="K8170" s="26" t="s">
        <v>110</v>
      </c>
      <c r="L8170" s="27" t="s">
        <v>118</v>
      </c>
      <c r="M8170" s="10">
        <v>327.47328507411237</v>
      </c>
    </row>
    <row r="8171" spans="11:13" x14ac:dyDescent="0.25">
      <c r="K8171" s="26" t="s">
        <v>110</v>
      </c>
      <c r="L8171" s="27" t="s">
        <v>119</v>
      </c>
      <c r="M8171" s="10">
        <v>92.421441774491683</v>
      </c>
    </row>
    <row r="8172" spans="11:13" x14ac:dyDescent="0.25">
      <c r="K8172" s="26" t="s">
        <v>110</v>
      </c>
      <c r="L8172" s="27" t="s">
        <v>115</v>
      </c>
      <c r="M8172" s="10">
        <v>30.807147258163894</v>
      </c>
    </row>
    <row r="8173" spans="11:13" x14ac:dyDescent="0.25">
      <c r="K8173" s="26" t="s">
        <v>110</v>
      </c>
      <c r="L8173" s="27" t="s">
        <v>116</v>
      </c>
      <c r="M8173" s="10">
        <v>77.017868145409736</v>
      </c>
    </row>
    <row r="8174" spans="11:13" x14ac:dyDescent="0.25">
      <c r="K8174" s="26" t="s">
        <v>110</v>
      </c>
      <c r="L8174" s="27" t="s">
        <v>117</v>
      </c>
      <c r="M8174" s="10">
        <v>41.365046535677351</v>
      </c>
    </row>
    <row r="8175" spans="11:13" x14ac:dyDescent="0.25">
      <c r="K8175" s="26" t="s">
        <v>109</v>
      </c>
      <c r="L8175" s="27" t="s">
        <v>118</v>
      </c>
      <c r="M8175" s="10">
        <v>53.912507701786815</v>
      </c>
    </row>
    <row r="8176" spans="11:13" x14ac:dyDescent="0.25">
      <c r="K8176" s="26" t="s">
        <v>110</v>
      </c>
      <c r="L8176" s="27" t="s">
        <v>119</v>
      </c>
      <c r="M8176" s="10">
        <v>30.807147258163894</v>
      </c>
    </row>
    <row r="8177" spans="11:13" x14ac:dyDescent="0.25">
      <c r="K8177" s="26" t="s">
        <v>109</v>
      </c>
      <c r="L8177" s="27" t="s">
        <v>115</v>
      </c>
      <c r="M8177" s="10">
        <v>123.22858903265558</v>
      </c>
    </row>
    <row r="8178" spans="11:13" x14ac:dyDescent="0.25">
      <c r="K8178" s="26" t="s">
        <v>109</v>
      </c>
      <c r="L8178" s="27" t="s">
        <v>116</v>
      </c>
      <c r="M8178" s="10">
        <v>39.741219963031419</v>
      </c>
    </row>
    <row r="8179" spans="11:13" x14ac:dyDescent="0.25">
      <c r="K8179" s="26" t="s">
        <v>110</v>
      </c>
      <c r="L8179" s="27" t="s">
        <v>117</v>
      </c>
      <c r="M8179" s="10">
        <v>77.017868145409736</v>
      </c>
    </row>
    <row r="8180" spans="11:13" x14ac:dyDescent="0.25">
      <c r="K8180" s="26" t="s">
        <v>110</v>
      </c>
      <c r="L8180" s="27" t="s">
        <v>118</v>
      </c>
      <c r="M8180" s="10">
        <v>154.03573629081947</v>
      </c>
    </row>
    <row r="8181" spans="11:13" x14ac:dyDescent="0.25">
      <c r="K8181" s="26" t="s">
        <v>110</v>
      </c>
      <c r="L8181" s="27" t="s">
        <v>119</v>
      </c>
      <c r="M8181" s="10">
        <v>107.82501540357363</v>
      </c>
    </row>
    <row r="8182" spans="11:13" x14ac:dyDescent="0.25">
      <c r="K8182" s="26" t="s">
        <v>110</v>
      </c>
      <c r="L8182" s="27" t="s">
        <v>115</v>
      </c>
      <c r="M8182" s="10">
        <v>61.614294516327789</v>
      </c>
    </row>
    <row r="8183" spans="11:13" x14ac:dyDescent="0.25">
      <c r="K8183" s="26" t="s">
        <v>109</v>
      </c>
      <c r="L8183" s="27" t="s">
        <v>116</v>
      </c>
      <c r="M8183" s="10">
        <v>107.82501540357363</v>
      </c>
    </row>
    <row r="8184" spans="11:13" x14ac:dyDescent="0.25">
      <c r="K8184" s="26" t="s">
        <v>110</v>
      </c>
      <c r="L8184" s="27" t="s">
        <v>117</v>
      </c>
      <c r="M8184" s="10">
        <v>30.807147258163894</v>
      </c>
    </row>
    <row r="8185" spans="11:13" x14ac:dyDescent="0.25">
      <c r="K8185" s="26" t="s">
        <v>110</v>
      </c>
      <c r="L8185" s="27" t="s">
        <v>118</v>
      </c>
      <c r="M8185" s="10">
        <v>30.807147258163894</v>
      </c>
    </row>
    <row r="8186" spans="11:13" x14ac:dyDescent="0.25">
      <c r="K8186" s="26" t="s">
        <v>110</v>
      </c>
      <c r="L8186" s="27" t="s">
        <v>119</v>
      </c>
      <c r="M8186" s="10">
        <v>53.912507701786815</v>
      </c>
    </row>
    <row r="8187" spans="11:13" x14ac:dyDescent="0.25">
      <c r="K8187" s="26" t="s">
        <v>110</v>
      </c>
      <c r="L8187" s="27" t="s">
        <v>115</v>
      </c>
      <c r="M8187" s="10">
        <v>61.75</v>
      </c>
    </row>
    <row r="8188" spans="11:13" x14ac:dyDescent="0.25">
      <c r="K8188" s="26" t="s">
        <v>110</v>
      </c>
      <c r="L8188" s="27" t="s">
        <v>116</v>
      </c>
      <c r="M8188" s="10">
        <v>183.17198933939025</v>
      </c>
    </row>
    <row r="8189" spans="11:13" x14ac:dyDescent="0.25">
      <c r="K8189" s="26" t="s">
        <v>110</v>
      </c>
      <c r="L8189" s="27" t="s">
        <v>117</v>
      </c>
      <c r="M8189" s="10">
        <v>91.585994669695125</v>
      </c>
    </row>
    <row r="8190" spans="11:13" x14ac:dyDescent="0.25">
      <c r="K8190" s="26" t="s">
        <v>110</v>
      </c>
      <c r="L8190" s="27" t="s">
        <v>118</v>
      </c>
      <c r="M8190" s="10">
        <v>76.297786720321938</v>
      </c>
    </row>
    <row r="8191" spans="11:13" x14ac:dyDescent="0.25">
      <c r="K8191" s="26" t="s">
        <v>110</v>
      </c>
      <c r="L8191" s="27" t="s">
        <v>119</v>
      </c>
      <c r="M8191" s="10">
        <v>45.792997334847563</v>
      </c>
    </row>
    <row r="8192" spans="11:13" x14ac:dyDescent="0.25">
      <c r="K8192" s="26" t="s">
        <v>109</v>
      </c>
      <c r="L8192" s="27" t="s">
        <v>115</v>
      </c>
      <c r="M8192" s="10">
        <v>73.2687957357561</v>
      </c>
    </row>
    <row r="8193" spans="11:13" x14ac:dyDescent="0.25">
      <c r="K8193" s="26" t="s">
        <v>110</v>
      </c>
      <c r="L8193" s="27" t="s">
        <v>116</v>
      </c>
      <c r="M8193" s="10">
        <v>73.2687957357561</v>
      </c>
    </row>
    <row r="8194" spans="11:13" x14ac:dyDescent="0.25">
      <c r="K8194" s="26" t="s">
        <v>110</v>
      </c>
      <c r="L8194" s="27" t="s">
        <v>117</v>
      </c>
      <c r="M8194" s="10">
        <v>109.90319360363415</v>
      </c>
    </row>
    <row r="8195" spans="11:13" x14ac:dyDescent="0.25">
      <c r="K8195" s="26" t="s">
        <v>109</v>
      </c>
      <c r="L8195" s="27" t="s">
        <v>118</v>
      </c>
      <c r="M8195" s="10">
        <v>85.358147032155841</v>
      </c>
    </row>
    <row r="8196" spans="11:13" x14ac:dyDescent="0.25">
      <c r="K8196" s="26" t="s">
        <v>109</v>
      </c>
      <c r="L8196" s="27" t="s">
        <v>119</v>
      </c>
      <c r="M8196" s="10">
        <v>284.52460317460321</v>
      </c>
    </row>
    <row r="8197" spans="11:13" x14ac:dyDescent="0.25">
      <c r="K8197" s="26" t="s">
        <v>110</v>
      </c>
      <c r="L8197" s="27" t="s">
        <v>115</v>
      </c>
      <c r="M8197" s="10">
        <v>154.32098765432099</v>
      </c>
    </row>
    <row r="8198" spans="11:13" x14ac:dyDescent="0.25">
      <c r="K8198" s="26" t="s">
        <v>110</v>
      </c>
      <c r="L8198" s="27" t="s">
        <v>116</v>
      </c>
      <c r="M8198" s="10">
        <v>13.035685188202706</v>
      </c>
    </row>
    <row r="8199" spans="11:13" x14ac:dyDescent="0.25">
      <c r="K8199" s="26" t="s">
        <v>110</v>
      </c>
      <c r="L8199" s="27" t="s">
        <v>117</v>
      </c>
      <c r="M8199" s="10">
        <v>200</v>
      </c>
    </row>
    <row r="8200" spans="11:13" x14ac:dyDescent="0.25">
      <c r="K8200" s="26" t="s">
        <v>110</v>
      </c>
      <c r="L8200" s="27" t="s">
        <v>118</v>
      </c>
      <c r="M8200" s="10">
        <v>40.121970791205264</v>
      </c>
    </row>
    <row r="8201" spans="11:13" x14ac:dyDescent="0.25">
      <c r="K8201" s="26" t="s">
        <v>110</v>
      </c>
      <c r="L8201" s="27" t="s">
        <v>119</v>
      </c>
      <c r="M8201" s="10">
        <v>77.088124574409321</v>
      </c>
    </row>
    <row r="8202" spans="11:13" x14ac:dyDescent="0.25">
      <c r="K8202" s="26" t="s">
        <v>109</v>
      </c>
      <c r="L8202" s="27" t="s">
        <v>115</v>
      </c>
      <c r="M8202" s="10">
        <v>30.807147258163894</v>
      </c>
    </row>
    <row r="8203" spans="11:13" x14ac:dyDescent="0.25">
      <c r="K8203" s="26" t="s">
        <v>109</v>
      </c>
      <c r="L8203" s="27" t="s">
        <v>116</v>
      </c>
      <c r="M8203" s="10">
        <v>99.206349206349202</v>
      </c>
    </row>
    <row r="8204" spans="11:13" x14ac:dyDescent="0.25">
      <c r="K8204" s="26" t="s">
        <v>110</v>
      </c>
      <c r="L8204" s="27" t="s">
        <v>117</v>
      </c>
      <c r="M8204" s="10">
        <v>51.706308169596689</v>
      </c>
    </row>
    <row r="8205" spans="11:13" x14ac:dyDescent="0.25">
      <c r="K8205" s="26" t="s">
        <v>110</v>
      </c>
      <c r="L8205" s="27" t="s">
        <v>118</v>
      </c>
      <c r="M8205" s="10">
        <v>131.61618089327902</v>
      </c>
    </row>
    <row r="8206" spans="11:13" x14ac:dyDescent="0.25">
      <c r="K8206" s="26" t="s">
        <v>109</v>
      </c>
      <c r="L8206" s="27" t="s">
        <v>119</v>
      </c>
      <c r="M8206" s="10">
        <v>52.949274594938046</v>
      </c>
    </row>
    <row r="8207" spans="11:13" x14ac:dyDescent="0.25">
      <c r="K8207" s="26" t="s">
        <v>109</v>
      </c>
      <c r="L8207" s="27" t="s">
        <v>115</v>
      </c>
      <c r="M8207" s="10">
        <v>52.949274594938046</v>
      </c>
    </row>
    <row r="8208" spans="11:13" x14ac:dyDescent="0.25">
      <c r="K8208" s="26" t="s">
        <v>109</v>
      </c>
      <c r="L8208" s="27" t="s">
        <v>116</v>
      </c>
      <c r="M8208" s="10">
        <v>31.769564756962826</v>
      </c>
    </row>
    <row r="8209" spans="11:13" x14ac:dyDescent="0.25">
      <c r="K8209" s="26" t="s">
        <v>109</v>
      </c>
      <c r="L8209" s="27" t="s">
        <v>117</v>
      </c>
      <c r="M8209" s="10">
        <v>84.719654959950716</v>
      </c>
    </row>
    <row r="8210" spans="11:13" x14ac:dyDescent="0.25">
      <c r="K8210" s="26" t="s">
        <v>110</v>
      </c>
      <c r="L8210" s="27" t="s">
        <v>118</v>
      </c>
      <c r="M8210" s="10">
        <v>42.359419675950441</v>
      </c>
    </row>
    <row r="8211" spans="11:13" x14ac:dyDescent="0.25">
      <c r="K8211" s="26" t="s">
        <v>111</v>
      </c>
      <c r="L8211" s="27" t="s">
        <v>119</v>
      </c>
      <c r="M8211" s="10">
        <v>52.949274594938046</v>
      </c>
    </row>
    <row r="8212" spans="11:13" x14ac:dyDescent="0.25">
      <c r="K8212" s="26" t="s">
        <v>111</v>
      </c>
      <c r="L8212" s="27" t="s">
        <v>115</v>
      </c>
      <c r="M8212" s="10">
        <v>52.949274594938046</v>
      </c>
    </row>
    <row r="8213" spans="11:13" x14ac:dyDescent="0.25">
      <c r="K8213" s="26" t="s">
        <v>109</v>
      </c>
      <c r="L8213" s="27" t="s">
        <v>116</v>
      </c>
      <c r="M8213" s="10">
        <v>58.244202054431852</v>
      </c>
    </row>
    <row r="8214" spans="11:13" x14ac:dyDescent="0.25">
      <c r="K8214" s="26" t="s">
        <v>109</v>
      </c>
      <c r="L8214" s="27" t="s">
        <v>117</v>
      </c>
      <c r="M8214" s="10">
        <v>63.539129513925651</v>
      </c>
    </row>
    <row r="8215" spans="11:13" x14ac:dyDescent="0.25">
      <c r="K8215" s="26" t="s">
        <v>109</v>
      </c>
      <c r="L8215" s="27" t="s">
        <v>118</v>
      </c>
      <c r="M8215" s="10">
        <v>42.359419675950441</v>
      </c>
    </row>
    <row r="8216" spans="11:13" x14ac:dyDescent="0.25">
      <c r="K8216" s="26" t="s">
        <v>109</v>
      </c>
      <c r="L8216" s="27" t="s">
        <v>119</v>
      </c>
      <c r="M8216" s="10">
        <v>52.949274594938046</v>
      </c>
    </row>
    <row r="8217" spans="11:13" x14ac:dyDescent="0.25">
      <c r="K8217" s="26" t="s">
        <v>110</v>
      </c>
      <c r="L8217" s="27" t="s">
        <v>115</v>
      </c>
      <c r="M8217" s="10">
        <v>258.49431230610134</v>
      </c>
    </row>
    <row r="8218" spans="11:13" x14ac:dyDescent="0.25">
      <c r="K8218" s="26" t="s">
        <v>111</v>
      </c>
      <c r="L8218" s="27" t="s">
        <v>116</v>
      </c>
      <c r="M8218" s="10">
        <v>20.556833219842485</v>
      </c>
    </row>
    <row r="8219" spans="11:13" x14ac:dyDescent="0.25">
      <c r="K8219" s="26" t="s">
        <v>109</v>
      </c>
      <c r="L8219" s="27" t="s">
        <v>117</v>
      </c>
      <c r="M8219" s="10">
        <v>12.848020762401553</v>
      </c>
    </row>
    <row r="8220" spans="11:13" x14ac:dyDescent="0.25">
      <c r="K8220" s="26" t="s">
        <v>109</v>
      </c>
      <c r="L8220" s="27" t="s">
        <v>118</v>
      </c>
      <c r="M8220" s="10">
        <v>44.091710758377424</v>
      </c>
    </row>
    <row r="8221" spans="11:13" x14ac:dyDescent="0.25">
      <c r="K8221" s="26" t="s">
        <v>109</v>
      </c>
      <c r="L8221" s="27" t="s">
        <v>119</v>
      </c>
      <c r="M8221" s="10">
        <v>400</v>
      </c>
    </row>
    <row r="8222" spans="11:13" x14ac:dyDescent="0.25">
      <c r="K8222" s="26" t="s">
        <v>109</v>
      </c>
      <c r="L8222" s="27" t="s">
        <v>115</v>
      </c>
      <c r="M8222" s="10">
        <v>105.89854918987609</v>
      </c>
    </row>
    <row r="8223" spans="11:13" x14ac:dyDescent="0.25">
      <c r="K8223" s="26" t="s">
        <v>110</v>
      </c>
      <c r="L8223" s="27" t="s">
        <v>116</v>
      </c>
      <c r="M8223" s="10">
        <v>211.79709837975219</v>
      </c>
    </row>
    <row r="8224" spans="11:13" x14ac:dyDescent="0.25">
      <c r="K8224" s="26" t="s">
        <v>109</v>
      </c>
      <c r="L8224" s="27" t="s">
        <v>117</v>
      </c>
      <c r="M8224" s="10">
        <v>90.013766811394689</v>
      </c>
    </row>
    <row r="8225" spans="11:13" x14ac:dyDescent="0.25">
      <c r="K8225" s="26" t="s">
        <v>110</v>
      </c>
      <c r="L8225" s="27" t="s">
        <v>118</v>
      </c>
      <c r="M8225" s="10">
        <v>349.46521232659114</v>
      </c>
    </row>
    <row r="8226" spans="11:13" x14ac:dyDescent="0.25">
      <c r="K8226" s="26" t="s">
        <v>110</v>
      </c>
      <c r="L8226" s="27" t="s">
        <v>119</v>
      </c>
      <c r="M8226" s="10">
        <v>105.89854918987609</v>
      </c>
    </row>
    <row r="8227" spans="11:13" x14ac:dyDescent="0.25">
      <c r="K8227" s="26" t="s">
        <v>109</v>
      </c>
      <c r="L8227" s="27" t="s">
        <v>115</v>
      </c>
      <c r="M8227" s="10">
        <v>184.45492271915512</v>
      </c>
    </row>
    <row r="8228" spans="11:13" x14ac:dyDescent="0.25">
      <c r="K8228" s="26" t="s">
        <v>109</v>
      </c>
      <c r="L8228" s="27" t="s">
        <v>116</v>
      </c>
      <c r="M8228" s="10">
        <v>128.48020762401552</v>
      </c>
    </row>
    <row r="8229" spans="11:13" x14ac:dyDescent="0.25">
      <c r="K8229" s="26" t="s">
        <v>109</v>
      </c>
      <c r="L8229" s="27" t="s">
        <v>117</v>
      </c>
      <c r="M8229" s="10">
        <v>200</v>
      </c>
    </row>
    <row r="8230" spans="11:13" x14ac:dyDescent="0.25">
      <c r="K8230" s="26" t="s">
        <v>109</v>
      </c>
      <c r="L8230" s="27" t="s">
        <v>118</v>
      </c>
      <c r="M8230" s="10">
        <v>211.79709837975219</v>
      </c>
    </row>
    <row r="8231" spans="11:13" x14ac:dyDescent="0.25">
      <c r="K8231" s="26" t="s">
        <v>109</v>
      </c>
      <c r="L8231" s="27" t="s">
        <v>119</v>
      </c>
      <c r="M8231" s="10">
        <v>158.84782378481412</v>
      </c>
    </row>
    <row r="8232" spans="11:13" x14ac:dyDescent="0.25">
      <c r="K8232" s="26" t="s">
        <v>109</v>
      </c>
      <c r="L8232" s="27" t="s">
        <v>115</v>
      </c>
      <c r="M8232" s="10">
        <v>230.32831656323827</v>
      </c>
    </row>
    <row r="8233" spans="11:13" x14ac:dyDescent="0.25">
      <c r="K8233" s="26" t="s">
        <v>109</v>
      </c>
      <c r="L8233" s="27" t="s">
        <v>116</v>
      </c>
      <c r="M8233" s="10">
        <v>25.696041524803107</v>
      </c>
    </row>
    <row r="8234" spans="11:13" x14ac:dyDescent="0.25">
      <c r="K8234" s="26" t="s">
        <v>109</v>
      </c>
      <c r="L8234" s="27" t="s">
        <v>117</v>
      </c>
      <c r="M8234" s="10">
        <v>22.75</v>
      </c>
    </row>
    <row r="8235" spans="11:13" x14ac:dyDescent="0.25">
      <c r="K8235" s="26" t="s">
        <v>111</v>
      </c>
      <c r="L8235" s="27" t="s">
        <v>118</v>
      </c>
      <c r="M8235" s="10">
        <v>477.91931216931215</v>
      </c>
    </row>
    <row r="8236" spans="11:13" x14ac:dyDescent="0.25">
      <c r="K8236" s="26" t="s">
        <v>111</v>
      </c>
      <c r="L8236" s="27" t="s">
        <v>119</v>
      </c>
      <c r="M8236" s="10">
        <v>100</v>
      </c>
    </row>
    <row r="8237" spans="11:13" x14ac:dyDescent="0.25">
      <c r="K8237" s="26" t="s">
        <v>109</v>
      </c>
      <c r="L8237" s="27" t="s">
        <v>115</v>
      </c>
      <c r="M8237" s="10">
        <v>52.949274594938046</v>
      </c>
    </row>
    <row r="8238" spans="11:13" x14ac:dyDescent="0.25">
      <c r="K8238" s="26" t="s">
        <v>109</v>
      </c>
      <c r="L8238" s="27" t="s">
        <v>116</v>
      </c>
      <c r="M8238" s="10">
        <v>211.79709837975219</v>
      </c>
    </row>
    <row r="8239" spans="11:13" x14ac:dyDescent="0.25">
      <c r="K8239" s="26" t="s">
        <v>110</v>
      </c>
      <c r="L8239" s="27" t="s">
        <v>117</v>
      </c>
      <c r="M8239" s="10">
        <v>63.539129513925651</v>
      </c>
    </row>
    <row r="8240" spans="11:13" x14ac:dyDescent="0.25">
      <c r="K8240" s="26" t="s">
        <v>110</v>
      </c>
      <c r="L8240" s="27" t="s">
        <v>118</v>
      </c>
      <c r="M8240" s="10">
        <v>529.49274594938049</v>
      </c>
    </row>
    <row r="8241" spans="11:13" x14ac:dyDescent="0.25">
      <c r="K8241" s="26" t="s">
        <v>110</v>
      </c>
      <c r="L8241" s="27" t="s">
        <v>119</v>
      </c>
      <c r="M8241" s="10">
        <v>76</v>
      </c>
    </row>
    <row r="8242" spans="11:13" x14ac:dyDescent="0.25">
      <c r="K8242" s="26" t="s">
        <v>110</v>
      </c>
      <c r="L8242" s="27" t="s">
        <v>115</v>
      </c>
      <c r="M8242" s="10">
        <v>53.912507701786815</v>
      </c>
    </row>
    <row r="8243" spans="11:13" x14ac:dyDescent="0.25">
      <c r="K8243" s="26" t="s">
        <v>109</v>
      </c>
      <c r="L8243" s="27" t="s">
        <v>116</v>
      </c>
      <c r="M8243" s="10">
        <v>5</v>
      </c>
    </row>
    <row r="8244" spans="11:13" x14ac:dyDescent="0.25">
      <c r="K8244" s="26" t="s">
        <v>109</v>
      </c>
      <c r="L8244" s="27" t="s">
        <v>117</v>
      </c>
      <c r="M8244" s="10">
        <v>40.141763076421711</v>
      </c>
    </row>
    <row r="8245" spans="11:13" x14ac:dyDescent="0.25">
      <c r="K8245" s="26" t="s">
        <v>110</v>
      </c>
      <c r="L8245" s="27" t="s">
        <v>118</v>
      </c>
      <c r="M8245" s="10">
        <v>211.79709837975219</v>
      </c>
    </row>
    <row r="8246" spans="11:13" x14ac:dyDescent="0.25">
      <c r="K8246" s="26" t="s">
        <v>110</v>
      </c>
      <c r="L8246" s="27" t="s">
        <v>119</v>
      </c>
      <c r="M8246" s="10">
        <v>128.48020762401552</v>
      </c>
    </row>
    <row r="8247" spans="11:13" x14ac:dyDescent="0.25">
      <c r="K8247" s="26" t="s">
        <v>110</v>
      </c>
      <c r="L8247" s="27" t="s">
        <v>115</v>
      </c>
      <c r="M8247" s="10">
        <v>36.194449745651724</v>
      </c>
    </row>
    <row r="8248" spans="11:13" x14ac:dyDescent="0.25">
      <c r="K8248" s="26" t="s">
        <v>110</v>
      </c>
      <c r="L8248" s="27" t="s">
        <v>116</v>
      </c>
      <c r="M8248" s="10">
        <v>317.69564756962825</v>
      </c>
    </row>
    <row r="8249" spans="11:13" x14ac:dyDescent="0.25">
      <c r="K8249" s="26" t="s">
        <v>113</v>
      </c>
      <c r="L8249" s="27" t="s">
        <v>117</v>
      </c>
      <c r="M8249" s="10">
        <v>5</v>
      </c>
    </row>
    <row r="8250" spans="11:13" x14ac:dyDescent="0.25">
      <c r="K8250" s="26" t="s">
        <v>111</v>
      </c>
      <c r="L8250" s="27" t="s">
        <v>118</v>
      </c>
      <c r="M8250" s="10">
        <v>14.550264550264551</v>
      </c>
    </row>
    <row r="8251" spans="11:13" x14ac:dyDescent="0.25">
      <c r="K8251" s="26" t="s">
        <v>110</v>
      </c>
      <c r="L8251" s="27" t="s">
        <v>119</v>
      </c>
      <c r="M8251" s="10">
        <v>211.79709837975219</v>
      </c>
    </row>
    <row r="8252" spans="11:13" x14ac:dyDescent="0.25">
      <c r="K8252" s="26" t="s">
        <v>110</v>
      </c>
      <c r="L8252" s="27" t="s">
        <v>115</v>
      </c>
      <c r="M8252" s="10">
        <v>246.45717806531115</v>
      </c>
    </row>
    <row r="8253" spans="11:13" x14ac:dyDescent="0.25">
      <c r="K8253" s="26" t="s">
        <v>110</v>
      </c>
      <c r="L8253" s="27" t="s">
        <v>116</v>
      </c>
      <c r="M8253" s="10">
        <v>36.628748707342297</v>
      </c>
    </row>
    <row r="8254" spans="11:13" x14ac:dyDescent="0.25">
      <c r="K8254" s="26" t="s">
        <v>110</v>
      </c>
      <c r="L8254" s="27" t="s">
        <v>117</v>
      </c>
      <c r="M8254" s="10">
        <v>551.53395380903123</v>
      </c>
    </row>
    <row r="8255" spans="11:13" x14ac:dyDescent="0.25">
      <c r="K8255" s="26" t="s">
        <v>109</v>
      </c>
      <c r="L8255" s="27" t="s">
        <v>118</v>
      </c>
      <c r="M8255" s="10">
        <v>15.4320987654321</v>
      </c>
    </row>
    <row r="8256" spans="11:13" x14ac:dyDescent="0.25">
      <c r="K8256" s="26" t="s">
        <v>111</v>
      </c>
      <c r="L8256" s="27" t="s">
        <v>119</v>
      </c>
      <c r="M8256" s="10">
        <v>81.030710639332298</v>
      </c>
    </row>
    <row r="8257" spans="11:13" x14ac:dyDescent="0.25">
      <c r="K8257" s="26" t="s">
        <v>111</v>
      </c>
      <c r="L8257" s="27" t="s">
        <v>115</v>
      </c>
      <c r="M8257" s="10">
        <v>26.137852370865247</v>
      </c>
    </row>
    <row r="8258" spans="11:13" x14ac:dyDescent="0.25">
      <c r="K8258" s="26" t="s">
        <v>110</v>
      </c>
      <c r="L8258" s="27" t="s">
        <v>116</v>
      </c>
      <c r="M8258" s="10">
        <v>4.0352778230405741</v>
      </c>
    </row>
    <row r="8259" spans="11:13" x14ac:dyDescent="0.25">
      <c r="K8259" s="26" t="s">
        <v>110</v>
      </c>
      <c r="L8259" s="27" t="s">
        <v>117</v>
      </c>
      <c r="M8259" s="10">
        <v>12.848020762401553</v>
      </c>
    </row>
    <row r="8260" spans="11:13" x14ac:dyDescent="0.25">
      <c r="K8260" s="26" t="s">
        <v>111</v>
      </c>
      <c r="L8260" s="27" t="s">
        <v>118</v>
      </c>
      <c r="M8260" s="10">
        <v>164.52022611659876</v>
      </c>
    </row>
    <row r="8261" spans="11:13" x14ac:dyDescent="0.25">
      <c r="K8261" s="26" t="s">
        <v>112</v>
      </c>
      <c r="L8261" s="27" t="s">
        <v>119</v>
      </c>
      <c r="M8261" s="10">
        <v>75</v>
      </c>
    </row>
    <row r="8262" spans="11:13" x14ac:dyDescent="0.25">
      <c r="K8262" s="26" t="s">
        <v>110</v>
      </c>
      <c r="L8262" s="27" t="s">
        <v>115</v>
      </c>
      <c r="M8262" s="10">
        <v>211.79709837975219</v>
      </c>
    </row>
    <row r="8263" spans="11:13" x14ac:dyDescent="0.25">
      <c r="K8263" s="26" t="s">
        <v>110</v>
      </c>
      <c r="L8263" s="27" t="s">
        <v>116</v>
      </c>
      <c r="M8263" s="10">
        <v>64.24010381200776</v>
      </c>
    </row>
    <row r="8264" spans="11:13" x14ac:dyDescent="0.25">
      <c r="K8264" s="26" t="s">
        <v>110</v>
      </c>
      <c r="L8264" s="27" t="s">
        <v>117</v>
      </c>
      <c r="M8264" s="10">
        <v>100</v>
      </c>
    </row>
    <row r="8265" spans="11:13" x14ac:dyDescent="0.25">
      <c r="K8265" s="26" t="s">
        <v>113</v>
      </c>
      <c r="L8265" s="27" t="s">
        <v>118</v>
      </c>
      <c r="M8265" s="10">
        <v>100</v>
      </c>
    </row>
    <row r="8266" spans="11:13" x14ac:dyDescent="0.25">
      <c r="K8266" s="26" t="s">
        <v>110</v>
      </c>
      <c r="L8266" s="27" t="s">
        <v>119</v>
      </c>
      <c r="M8266" s="10">
        <v>70</v>
      </c>
    </row>
    <row r="8267" spans="11:13" x14ac:dyDescent="0.25">
      <c r="K8267" s="26" t="s">
        <v>110</v>
      </c>
      <c r="L8267" s="27" t="s">
        <v>115</v>
      </c>
      <c r="M8267" s="10">
        <v>40.950000000000003</v>
      </c>
    </row>
    <row r="8268" spans="11:13" x14ac:dyDescent="0.25">
      <c r="K8268" s="26" t="s">
        <v>110</v>
      </c>
      <c r="L8268" s="27" t="s">
        <v>116</v>
      </c>
      <c r="M8268" s="10">
        <v>1102.2927689594355</v>
      </c>
    </row>
    <row r="8269" spans="11:13" x14ac:dyDescent="0.25">
      <c r="K8269" s="26" t="s">
        <v>111</v>
      </c>
      <c r="L8269" s="27" t="s">
        <v>117</v>
      </c>
      <c r="M8269" s="10">
        <v>44.968072668405433</v>
      </c>
    </row>
    <row r="8270" spans="11:13" x14ac:dyDescent="0.25">
      <c r="K8270" s="26" t="s">
        <v>111</v>
      </c>
      <c r="L8270" s="27" t="s">
        <v>118</v>
      </c>
      <c r="M8270" s="10">
        <v>68.941744226128904</v>
      </c>
    </row>
    <row r="8271" spans="11:13" x14ac:dyDescent="0.25">
      <c r="K8271" s="26" t="s">
        <v>110</v>
      </c>
      <c r="L8271" s="27" t="s">
        <v>119</v>
      </c>
      <c r="M8271" s="10">
        <v>70.664114193208547</v>
      </c>
    </row>
    <row r="8272" spans="11:13" x14ac:dyDescent="0.25">
      <c r="K8272" s="26" t="s">
        <v>110</v>
      </c>
      <c r="L8272" s="27" t="s">
        <v>115</v>
      </c>
      <c r="M8272" s="10">
        <v>77.017868145409736</v>
      </c>
    </row>
    <row r="8273" spans="11:13" x14ac:dyDescent="0.25">
      <c r="K8273" s="26" t="s">
        <v>110</v>
      </c>
      <c r="L8273" s="27" t="s">
        <v>116</v>
      </c>
      <c r="M8273" s="10">
        <v>46.210720887245841</v>
      </c>
    </row>
    <row r="8274" spans="11:13" x14ac:dyDescent="0.25">
      <c r="K8274" s="26" t="s">
        <v>110</v>
      </c>
      <c r="L8274" s="27" t="s">
        <v>117</v>
      </c>
      <c r="M8274" s="10">
        <v>23.105360443622921</v>
      </c>
    </row>
    <row r="8275" spans="11:13" x14ac:dyDescent="0.25">
      <c r="K8275" s="26" t="s">
        <v>110</v>
      </c>
      <c r="L8275" s="27" t="s">
        <v>118</v>
      </c>
      <c r="M8275" s="10">
        <v>66.137566137566139</v>
      </c>
    </row>
    <row r="8276" spans="11:13" x14ac:dyDescent="0.25">
      <c r="K8276" s="26" t="s">
        <v>110</v>
      </c>
      <c r="L8276" s="27" t="s">
        <v>119</v>
      </c>
      <c r="M8276" s="10">
        <v>46.210720887245841</v>
      </c>
    </row>
    <row r="8277" spans="11:13" x14ac:dyDescent="0.25">
      <c r="K8277" s="26" t="s">
        <v>110</v>
      </c>
      <c r="L8277" s="27" t="s">
        <v>115</v>
      </c>
      <c r="M8277" s="10">
        <v>77.017868145409736</v>
      </c>
    </row>
    <row r="8278" spans="11:13" x14ac:dyDescent="0.25">
      <c r="K8278" s="26" t="s">
        <v>110</v>
      </c>
      <c r="L8278" s="27" t="s">
        <v>116</v>
      </c>
      <c r="M8278" s="10">
        <v>123.22858903265558</v>
      </c>
    </row>
    <row r="8279" spans="11:13" x14ac:dyDescent="0.25">
      <c r="K8279" s="26" t="s">
        <v>113</v>
      </c>
      <c r="L8279" s="27" t="s">
        <v>117</v>
      </c>
      <c r="M8279" s="10">
        <v>46.210720887245841</v>
      </c>
    </row>
    <row r="8280" spans="11:13" x14ac:dyDescent="0.25">
      <c r="K8280" s="26" t="s">
        <v>110</v>
      </c>
      <c r="L8280" s="27" t="s">
        <v>118</v>
      </c>
      <c r="M8280" s="10">
        <v>53.912507701786815</v>
      </c>
    </row>
    <row r="8281" spans="11:13" x14ac:dyDescent="0.25">
      <c r="K8281" s="26" t="s">
        <v>110</v>
      </c>
      <c r="L8281" s="27" t="s">
        <v>119</v>
      </c>
      <c r="M8281" s="10">
        <v>46.210720887245841</v>
      </c>
    </row>
    <row r="8282" spans="11:13" x14ac:dyDescent="0.25">
      <c r="K8282" s="26" t="s">
        <v>109</v>
      </c>
      <c r="L8282" s="27" t="s">
        <v>115</v>
      </c>
      <c r="M8282" s="10">
        <v>23.105360443622921</v>
      </c>
    </row>
    <row r="8283" spans="11:13" x14ac:dyDescent="0.25">
      <c r="K8283" s="26" t="s">
        <v>113</v>
      </c>
      <c r="L8283" s="27" t="s">
        <v>116</v>
      </c>
      <c r="M8283" s="10">
        <v>43.130006161429456</v>
      </c>
    </row>
    <row r="8284" spans="11:13" x14ac:dyDescent="0.25">
      <c r="K8284" s="26" t="s">
        <v>110</v>
      </c>
      <c r="L8284" s="27" t="s">
        <v>117</v>
      </c>
      <c r="M8284" s="10">
        <v>17.235436056532226</v>
      </c>
    </row>
    <row r="8285" spans="11:13" x14ac:dyDescent="0.25">
      <c r="K8285" s="26" t="s">
        <v>112</v>
      </c>
      <c r="L8285" s="27" t="s">
        <v>118</v>
      </c>
      <c r="M8285" s="10">
        <v>30.807147258163894</v>
      </c>
    </row>
    <row r="8286" spans="11:13" x14ac:dyDescent="0.25">
      <c r="K8286" s="26" t="s">
        <v>111</v>
      </c>
      <c r="L8286" s="27" t="s">
        <v>119</v>
      </c>
      <c r="M8286" s="10">
        <v>32.589212970506765</v>
      </c>
    </row>
    <row r="8287" spans="11:13" x14ac:dyDescent="0.25">
      <c r="K8287" s="26" t="s">
        <v>110</v>
      </c>
      <c r="L8287" s="27" t="s">
        <v>115</v>
      </c>
      <c r="M8287" s="10">
        <v>987.12135669959264</v>
      </c>
    </row>
    <row r="8288" spans="11:13" x14ac:dyDescent="0.25">
      <c r="K8288" s="26" t="s">
        <v>112</v>
      </c>
      <c r="L8288" s="27" t="s">
        <v>116</v>
      </c>
      <c r="M8288" s="10">
        <v>26.455026455026456</v>
      </c>
    </row>
    <row r="8289" spans="11:13" x14ac:dyDescent="0.25">
      <c r="K8289" s="26" t="s">
        <v>112</v>
      </c>
      <c r="L8289" s="27" t="s">
        <v>117</v>
      </c>
      <c r="M8289" s="10">
        <v>176.3668430335097</v>
      </c>
    </row>
    <row r="8290" spans="11:13" x14ac:dyDescent="0.25">
      <c r="K8290" s="26" t="s">
        <v>110</v>
      </c>
      <c r="L8290" s="27" t="s">
        <v>118</v>
      </c>
      <c r="M8290" s="10">
        <v>192.72031143602331</v>
      </c>
    </row>
    <row r="8291" spans="11:13" x14ac:dyDescent="0.25">
      <c r="K8291" s="26" t="s">
        <v>110</v>
      </c>
      <c r="L8291" s="27" t="s">
        <v>119</v>
      </c>
      <c r="M8291" s="10">
        <v>771.60493827160496</v>
      </c>
    </row>
    <row r="8292" spans="11:13" x14ac:dyDescent="0.25">
      <c r="K8292" s="26" t="s">
        <v>111</v>
      </c>
      <c r="L8292" s="27" t="s">
        <v>115</v>
      </c>
      <c r="M8292" s="10">
        <v>62</v>
      </c>
    </row>
    <row r="8293" spans="11:13" x14ac:dyDescent="0.25">
      <c r="K8293" s="26" t="s">
        <v>110</v>
      </c>
      <c r="L8293" s="27" t="s">
        <v>116</v>
      </c>
      <c r="M8293" s="10">
        <v>62</v>
      </c>
    </row>
    <row r="8294" spans="11:13" x14ac:dyDescent="0.25">
      <c r="K8294" s="26" t="s">
        <v>113</v>
      </c>
      <c r="L8294" s="27" t="s">
        <v>117</v>
      </c>
      <c r="M8294" s="10">
        <v>34</v>
      </c>
    </row>
    <row r="8295" spans="11:13" x14ac:dyDescent="0.25">
      <c r="K8295" s="26" t="s">
        <v>110</v>
      </c>
      <c r="L8295" s="27" t="s">
        <v>118</v>
      </c>
      <c r="M8295" s="10">
        <v>22.970551752653101</v>
      </c>
    </row>
    <row r="8296" spans="11:13" x14ac:dyDescent="0.25">
      <c r="K8296" s="26" t="s">
        <v>110</v>
      </c>
      <c r="L8296" s="27" t="s">
        <v>119</v>
      </c>
      <c r="M8296" s="10">
        <v>15.511892450879007</v>
      </c>
    </row>
    <row r="8297" spans="11:13" x14ac:dyDescent="0.25">
      <c r="K8297" s="26" t="s">
        <v>110</v>
      </c>
      <c r="L8297" s="27" t="s">
        <v>115</v>
      </c>
      <c r="M8297" s="10">
        <v>82.260113058299382</v>
      </c>
    </row>
    <row r="8298" spans="11:13" x14ac:dyDescent="0.25">
      <c r="K8298" s="26" t="s">
        <v>110</v>
      </c>
      <c r="L8298" s="27" t="s">
        <v>116</v>
      </c>
      <c r="M8298" s="10">
        <v>64.24010381200776</v>
      </c>
    </row>
    <row r="8299" spans="11:13" x14ac:dyDescent="0.25">
      <c r="K8299" s="26" t="s">
        <v>110</v>
      </c>
      <c r="L8299" s="27" t="s">
        <v>117</v>
      </c>
      <c r="M8299" s="10">
        <v>141.89278148932706</v>
      </c>
    </row>
    <row r="8300" spans="11:13" x14ac:dyDescent="0.25">
      <c r="K8300" s="26" t="s">
        <v>110</v>
      </c>
      <c r="L8300" s="27" t="s">
        <v>118</v>
      </c>
      <c r="M8300" s="10">
        <v>105.89854918987609</v>
      </c>
    </row>
    <row r="8301" spans="11:13" x14ac:dyDescent="0.25">
      <c r="K8301" s="26" t="s">
        <v>110</v>
      </c>
      <c r="L8301" s="27" t="s">
        <v>119</v>
      </c>
      <c r="M8301" s="10">
        <v>105.89854918987609</v>
      </c>
    </row>
    <row r="8302" spans="11:13" x14ac:dyDescent="0.25">
      <c r="K8302" s="26" t="s">
        <v>109</v>
      </c>
      <c r="L8302" s="27" t="s">
        <v>115</v>
      </c>
      <c r="M8302" s="10">
        <v>264.74637297469025</v>
      </c>
    </row>
    <row r="8303" spans="11:13" x14ac:dyDescent="0.25">
      <c r="K8303" s="26" t="s">
        <v>109</v>
      </c>
      <c r="L8303" s="27" t="s">
        <v>116</v>
      </c>
      <c r="M8303" s="10">
        <v>200</v>
      </c>
    </row>
    <row r="8304" spans="11:13" x14ac:dyDescent="0.25">
      <c r="K8304" s="26" t="s">
        <v>114</v>
      </c>
      <c r="L8304" s="27" t="s">
        <v>117</v>
      </c>
      <c r="M8304" s="10">
        <v>120.3659123736158</v>
      </c>
    </row>
    <row r="8305" spans="11:13" x14ac:dyDescent="0.25">
      <c r="K8305" s="26" t="s">
        <v>110</v>
      </c>
      <c r="L8305" s="27" t="s">
        <v>118</v>
      </c>
      <c r="M8305" s="10">
        <v>158.84782378481412</v>
      </c>
    </row>
    <row r="8306" spans="11:13" x14ac:dyDescent="0.25">
      <c r="K8306" s="26" t="s">
        <v>112</v>
      </c>
      <c r="L8306" s="27" t="s">
        <v>119</v>
      </c>
      <c r="M8306" s="10">
        <v>60.385697583287296</v>
      </c>
    </row>
    <row r="8307" spans="11:13" x14ac:dyDescent="0.25">
      <c r="K8307" s="26" t="s">
        <v>112</v>
      </c>
      <c r="L8307" s="27" t="s">
        <v>115</v>
      </c>
      <c r="M8307" s="10">
        <v>195.868430335097</v>
      </c>
    </row>
    <row r="8308" spans="11:13" x14ac:dyDescent="0.25">
      <c r="K8308" s="26" t="s">
        <v>110</v>
      </c>
      <c r="L8308" s="27" t="s">
        <v>116</v>
      </c>
      <c r="M8308" s="10">
        <v>5.4951596801817068E-5</v>
      </c>
    </row>
    <row r="8309" spans="11:13" x14ac:dyDescent="0.25">
      <c r="K8309" s="26" t="s">
        <v>111</v>
      </c>
      <c r="L8309" s="27" t="s">
        <v>117</v>
      </c>
      <c r="M8309" s="10">
        <v>238.0952380952381</v>
      </c>
    </row>
    <row r="8310" spans="11:13" x14ac:dyDescent="0.25">
      <c r="K8310" s="26" t="s">
        <v>111</v>
      </c>
      <c r="L8310" s="27" t="s">
        <v>118</v>
      </c>
      <c r="M8310" s="10">
        <v>12.628417107583775</v>
      </c>
    </row>
    <row r="8311" spans="11:13" x14ac:dyDescent="0.25">
      <c r="K8311" s="26" t="s">
        <v>110</v>
      </c>
      <c r="L8311" s="27" t="s">
        <v>119</v>
      </c>
      <c r="M8311" s="10">
        <v>62.047569803516026</v>
      </c>
    </row>
    <row r="8312" spans="11:13" x14ac:dyDescent="0.25">
      <c r="K8312" s="26" t="s">
        <v>111</v>
      </c>
      <c r="L8312" s="27" t="s">
        <v>115</v>
      </c>
      <c r="M8312" s="10">
        <v>1.75</v>
      </c>
    </row>
    <row r="8313" spans="11:13" x14ac:dyDescent="0.25">
      <c r="K8313" s="26" t="s">
        <v>111</v>
      </c>
      <c r="L8313" s="27" t="s">
        <v>116</v>
      </c>
      <c r="M8313" s="10">
        <v>1.75</v>
      </c>
    </row>
    <row r="8314" spans="11:13" x14ac:dyDescent="0.25">
      <c r="K8314" s="26" t="s">
        <v>111</v>
      </c>
      <c r="L8314" s="27" t="s">
        <v>117</v>
      </c>
      <c r="M8314" s="10">
        <v>661.37566137566137</v>
      </c>
    </row>
    <row r="8315" spans="11:13" x14ac:dyDescent="0.25">
      <c r="K8315" s="26" t="s">
        <v>111</v>
      </c>
      <c r="L8315" s="27" t="s">
        <v>118</v>
      </c>
      <c r="M8315" s="10">
        <v>61.614294516327789</v>
      </c>
    </row>
    <row r="8316" spans="11:13" x14ac:dyDescent="0.25">
      <c r="K8316" s="26" t="s">
        <v>111</v>
      </c>
      <c r="L8316" s="27" t="s">
        <v>119</v>
      </c>
      <c r="M8316" s="10">
        <v>3.7850875178021779</v>
      </c>
    </row>
    <row r="8317" spans="11:13" x14ac:dyDescent="0.25">
      <c r="K8317" s="26" t="s">
        <v>111</v>
      </c>
      <c r="L8317" s="27" t="s">
        <v>115</v>
      </c>
      <c r="M8317" s="10">
        <v>150</v>
      </c>
    </row>
    <row r="8318" spans="11:13" x14ac:dyDescent="0.25">
      <c r="K8318" s="26" t="s">
        <v>109</v>
      </c>
      <c r="L8318" s="27" t="s">
        <v>116</v>
      </c>
      <c r="M8318" s="10">
        <v>70</v>
      </c>
    </row>
    <row r="8319" spans="11:13" x14ac:dyDescent="0.25">
      <c r="K8319" s="26" t="s">
        <v>109</v>
      </c>
      <c r="L8319" s="27" t="s">
        <v>117</v>
      </c>
      <c r="M8319" s="10">
        <v>150</v>
      </c>
    </row>
    <row r="8320" spans="11:13" x14ac:dyDescent="0.25">
      <c r="K8320" s="26" t="s">
        <v>109</v>
      </c>
      <c r="L8320" s="27" t="s">
        <v>118</v>
      </c>
      <c r="M8320" s="10">
        <v>150</v>
      </c>
    </row>
    <row r="8321" spans="11:13" x14ac:dyDescent="0.25">
      <c r="K8321" s="26" t="s">
        <v>110</v>
      </c>
      <c r="L8321" s="27" t="s">
        <v>119</v>
      </c>
      <c r="M8321" s="10">
        <v>150</v>
      </c>
    </row>
    <row r="8322" spans="11:13" x14ac:dyDescent="0.25">
      <c r="K8322" s="26" t="s">
        <v>110</v>
      </c>
      <c r="L8322" s="27" t="s">
        <v>115</v>
      </c>
      <c r="M8322" s="10">
        <v>40.121970791205264</v>
      </c>
    </row>
    <row r="8323" spans="11:13" x14ac:dyDescent="0.25">
      <c r="K8323" s="26" t="s">
        <v>110</v>
      </c>
      <c r="L8323" s="27" t="s">
        <v>116</v>
      </c>
      <c r="M8323" s="10">
        <v>11.326172703095088</v>
      </c>
    </row>
    <row r="8324" spans="11:13" x14ac:dyDescent="0.25">
      <c r="K8324" s="26" t="s">
        <v>110</v>
      </c>
      <c r="L8324" s="27" t="s">
        <v>117</v>
      </c>
      <c r="M8324" s="10">
        <v>88.183421516754848</v>
      </c>
    </row>
    <row r="8325" spans="11:13" x14ac:dyDescent="0.25">
      <c r="K8325" s="26" t="s">
        <v>113</v>
      </c>
      <c r="L8325" s="27" t="s">
        <v>118</v>
      </c>
      <c r="M8325" s="10">
        <v>42.359419675950441</v>
      </c>
    </row>
    <row r="8326" spans="11:13" x14ac:dyDescent="0.25">
      <c r="K8326" s="26" t="s">
        <v>109</v>
      </c>
      <c r="L8326" s="27" t="s">
        <v>119</v>
      </c>
      <c r="M8326" s="10">
        <v>44.091710758377424</v>
      </c>
    </row>
    <row r="8327" spans="11:13" x14ac:dyDescent="0.25">
      <c r="K8327" s="26" t="s">
        <v>109</v>
      </c>
      <c r="L8327" s="27" t="s">
        <v>115</v>
      </c>
      <c r="M8327" s="10">
        <v>120.3659123736158</v>
      </c>
    </row>
    <row r="8328" spans="11:13" x14ac:dyDescent="0.25">
      <c r="K8328" s="26" t="s">
        <v>113</v>
      </c>
      <c r="L8328" s="27" t="s">
        <v>116</v>
      </c>
      <c r="M8328" s="10">
        <v>64.195153265928425</v>
      </c>
    </row>
    <row r="8329" spans="11:13" x14ac:dyDescent="0.25">
      <c r="K8329" s="26" t="s">
        <v>110</v>
      </c>
      <c r="L8329" s="27" t="s">
        <v>117</v>
      </c>
      <c r="M8329" s="10">
        <v>12.036591237361579</v>
      </c>
    </row>
    <row r="8330" spans="11:13" x14ac:dyDescent="0.25">
      <c r="K8330" s="26" t="s">
        <v>110</v>
      </c>
      <c r="L8330" s="27" t="s">
        <v>118</v>
      </c>
      <c r="M8330" s="10">
        <v>254.15896487985214</v>
      </c>
    </row>
    <row r="8331" spans="11:13" x14ac:dyDescent="0.25">
      <c r="K8331" s="26" t="s">
        <v>110</v>
      </c>
      <c r="L8331" s="27" t="s">
        <v>119</v>
      </c>
      <c r="M8331" s="10">
        <v>77.088124574409321</v>
      </c>
    </row>
    <row r="8332" spans="11:13" x14ac:dyDescent="0.25">
      <c r="K8332" s="26" t="s">
        <v>112</v>
      </c>
      <c r="L8332" s="27" t="s">
        <v>115</v>
      </c>
      <c r="M8332" s="10">
        <v>215.65003080714726</v>
      </c>
    </row>
    <row r="8333" spans="11:13" x14ac:dyDescent="0.25">
      <c r="K8333" s="26" t="s">
        <v>113</v>
      </c>
      <c r="L8333" s="27" t="s">
        <v>116</v>
      </c>
      <c r="M8333" s="10">
        <v>12.322858903265558</v>
      </c>
    </row>
    <row r="8334" spans="11:13" x14ac:dyDescent="0.25">
      <c r="K8334" s="26" t="s">
        <v>113</v>
      </c>
      <c r="L8334" s="27" t="s">
        <v>117</v>
      </c>
      <c r="M8334" s="10">
        <v>15.403573629081947</v>
      </c>
    </row>
    <row r="8335" spans="11:13" x14ac:dyDescent="0.25">
      <c r="K8335" s="26" t="s">
        <v>110</v>
      </c>
      <c r="L8335" s="27" t="s">
        <v>118</v>
      </c>
      <c r="M8335" s="10">
        <v>200</v>
      </c>
    </row>
    <row r="8336" spans="11:13" x14ac:dyDescent="0.25">
      <c r="K8336" s="26" t="s">
        <v>110</v>
      </c>
      <c r="L8336" s="27" t="s">
        <v>119</v>
      </c>
      <c r="M8336" s="10">
        <v>175</v>
      </c>
    </row>
    <row r="8337" spans="11:13" x14ac:dyDescent="0.25">
      <c r="K8337" s="26" t="s">
        <v>110</v>
      </c>
      <c r="L8337" s="27" t="s">
        <v>115</v>
      </c>
      <c r="M8337" s="10">
        <v>20.682523267838675</v>
      </c>
    </row>
    <row r="8338" spans="11:13" x14ac:dyDescent="0.25">
      <c r="K8338" s="26" t="s">
        <v>110</v>
      </c>
      <c r="L8338" s="27" t="s">
        <v>116</v>
      </c>
      <c r="M8338" s="10">
        <v>661.37566137566137</v>
      </c>
    </row>
    <row r="8339" spans="11:13" x14ac:dyDescent="0.25">
      <c r="K8339" s="26" t="s">
        <v>110</v>
      </c>
      <c r="L8339" s="27" t="s">
        <v>117</v>
      </c>
      <c r="M8339" s="10">
        <v>211.79709837975219</v>
      </c>
    </row>
    <row r="8340" spans="11:13" x14ac:dyDescent="0.25">
      <c r="K8340" s="26" t="s">
        <v>113</v>
      </c>
      <c r="L8340" s="27" t="s">
        <v>118</v>
      </c>
      <c r="M8340" s="10">
        <v>15.511892450879007</v>
      </c>
    </row>
    <row r="8341" spans="11:13" x14ac:dyDescent="0.25">
      <c r="K8341" s="26" t="s">
        <v>110</v>
      </c>
      <c r="L8341" s="27" t="s">
        <v>119</v>
      </c>
      <c r="M8341" s="10">
        <v>21.284014991037971</v>
      </c>
    </row>
    <row r="8342" spans="11:13" x14ac:dyDescent="0.25">
      <c r="K8342" s="26" t="s">
        <v>109</v>
      </c>
      <c r="L8342" s="27" t="s">
        <v>115</v>
      </c>
      <c r="M8342" s="10">
        <v>16.294606485253382</v>
      </c>
    </row>
    <row r="8343" spans="11:13" x14ac:dyDescent="0.25">
      <c r="K8343" s="26" t="s">
        <v>109</v>
      </c>
      <c r="L8343" s="27" t="s">
        <v>116</v>
      </c>
      <c r="M8343" s="10">
        <v>61.728395061728399</v>
      </c>
    </row>
    <row r="8344" spans="11:13" x14ac:dyDescent="0.25">
      <c r="K8344" s="26" t="s">
        <v>110</v>
      </c>
      <c r="L8344" s="27" t="s">
        <v>117</v>
      </c>
      <c r="M8344" s="10">
        <v>224.86556949649668</v>
      </c>
    </row>
    <row r="8345" spans="11:13" x14ac:dyDescent="0.25">
      <c r="K8345" s="26" t="s">
        <v>111</v>
      </c>
      <c r="L8345" s="27" t="s">
        <v>118</v>
      </c>
      <c r="M8345" s="10">
        <v>50</v>
      </c>
    </row>
    <row r="8346" spans="11:13" x14ac:dyDescent="0.25">
      <c r="K8346" s="26" t="s">
        <v>111</v>
      </c>
      <c r="L8346" s="27" t="s">
        <v>119</v>
      </c>
      <c r="M8346" s="10">
        <v>9.9206349206349209</v>
      </c>
    </row>
    <row r="8347" spans="11:13" x14ac:dyDescent="0.25">
      <c r="K8347" s="26" t="s">
        <v>110</v>
      </c>
      <c r="L8347" s="27" t="s">
        <v>115</v>
      </c>
      <c r="M8347" s="10">
        <v>3.9484854267983707</v>
      </c>
    </row>
    <row r="8348" spans="11:13" x14ac:dyDescent="0.25">
      <c r="K8348" s="26" t="s">
        <v>110</v>
      </c>
      <c r="L8348" s="27" t="s">
        <v>116</v>
      </c>
      <c r="M8348" s="10">
        <v>48.883819455760147</v>
      </c>
    </row>
    <row r="8349" spans="11:13" x14ac:dyDescent="0.25">
      <c r="K8349" s="26" t="s">
        <v>110</v>
      </c>
      <c r="L8349" s="27" t="s">
        <v>117</v>
      </c>
      <c r="M8349" s="10">
        <v>98.712135669959252</v>
      </c>
    </row>
    <row r="8350" spans="11:13" x14ac:dyDescent="0.25">
      <c r="K8350" s="26" t="s">
        <v>110</v>
      </c>
      <c r="L8350" s="27" t="s">
        <v>118</v>
      </c>
      <c r="M8350" s="10">
        <v>55.114638447971785</v>
      </c>
    </row>
    <row r="8351" spans="11:13" x14ac:dyDescent="0.25">
      <c r="K8351" s="26" t="s">
        <v>113</v>
      </c>
      <c r="L8351" s="27" t="s">
        <v>119</v>
      </c>
      <c r="M8351" s="10">
        <v>616.14294516327789</v>
      </c>
    </row>
    <row r="8352" spans="11:13" x14ac:dyDescent="0.25">
      <c r="K8352" s="26" t="s">
        <v>113</v>
      </c>
      <c r="L8352" s="27" t="s">
        <v>115</v>
      </c>
      <c r="M8352" s="10">
        <v>30.807147258163894</v>
      </c>
    </row>
    <row r="8353" spans="11:13" x14ac:dyDescent="0.25">
      <c r="K8353" s="26" t="s">
        <v>113</v>
      </c>
      <c r="L8353" s="27" t="s">
        <v>116</v>
      </c>
      <c r="M8353" s="10">
        <v>150</v>
      </c>
    </row>
    <row r="8354" spans="11:13" x14ac:dyDescent="0.25">
      <c r="K8354" s="26" t="s">
        <v>113</v>
      </c>
      <c r="L8354" s="27" t="s">
        <v>117</v>
      </c>
      <c r="M8354" s="10">
        <v>1109.0573012939003</v>
      </c>
    </row>
    <row r="8355" spans="11:13" x14ac:dyDescent="0.25">
      <c r="K8355" s="26" t="s">
        <v>109</v>
      </c>
      <c r="L8355" s="27" t="s">
        <v>118</v>
      </c>
      <c r="M8355" s="10">
        <v>137.37899200454268</v>
      </c>
    </row>
    <row r="8356" spans="11:13" x14ac:dyDescent="0.25">
      <c r="K8356" s="26" t="s">
        <v>109</v>
      </c>
      <c r="L8356" s="27" t="s">
        <v>119</v>
      </c>
      <c r="M8356" s="10">
        <v>5.1735375590679489</v>
      </c>
    </row>
    <row r="8357" spans="11:13" x14ac:dyDescent="0.25">
      <c r="K8357" s="26" t="s">
        <v>110</v>
      </c>
      <c r="L8357" s="27" t="s">
        <v>115</v>
      </c>
      <c r="M8357" s="10">
        <v>0.18</v>
      </c>
    </row>
    <row r="8358" spans="11:13" x14ac:dyDescent="0.25">
      <c r="K8358" s="26" t="s">
        <v>110</v>
      </c>
      <c r="L8358" s="27" t="s">
        <v>116</v>
      </c>
      <c r="M8358" s="10">
        <v>33.262999999999998</v>
      </c>
    </row>
    <row r="8359" spans="11:13" x14ac:dyDescent="0.25">
      <c r="K8359" s="26" t="s">
        <v>110</v>
      </c>
      <c r="L8359" s="27" t="s">
        <v>117</v>
      </c>
      <c r="M8359" s="10">
        <v>95</v>
      </c>
    </row>
    <row r="8360" spans="11:13" x14ac:dyDescent="0.25">
      <c r="K8360" s="26" t="s">
        <v>110</v>
      </c>
      <c r="L8360" s="27" t="s">
        <v>118</v>
      </c>
      <c r="M8360" s="10">
        <v>27</v>
      </c>
    </row>
    <row r="8361" spans="11:13" x14ac:dyDescent="0.25">
      <c r="K8361" s="26" t="s">
        <v>111</v>
      </c>
      <c r="L8361" s="27" t="s">
        <v>119</v>
      </c>
      <c r="M8361" s="10">
        <v>308.07147258163894</v>
      </c>
    </row>
    <row r="8362" spans="11:13" x14ac:dyDescent="0.25">
      <c r="K8362" s="26" t="s">
        <v>111</v>
      </c>
      <c r="L8362" s="27" t="s">
        <v>115</v>
      </c>
      <c r="M8362" s="10">
        <v>462.10720887245844</v>
      </c>
    </row>
    <row r="8363" spans="11:13" x14ac:dyDescent="0.25">
      <c r="K8363" s="26" t="s">
        <v>111</v>
      </c>
      <c r="L8363" s="27" t="s">
        <v>116</v>
      </c>
      <c r="M8363" s="10">
        <v>26.455026455026456</v>
      </c>
    </row>
    <row r="8364" spans="11:13" x14ac:dyDescent="0.25">
      <c r="K8364" s="26" t="s">
        <v>109</v>
      </c>
      <c r="L8364" s="27" t="s">
        <v>117</v>
      </c>
      <c r="M8364" s="10">
        <v>200</v>
      </c>
    </row>
    <row r="8365" spans="11:13" x14ac:dyDescent="0.25">
      <c r="K8365" s="26" t="s">
        <v>109</v>
      </c>
      <c r="L8365" s="27" t="s">
        <v>118</v>
      </c>
      <c r="M8365" s="10">
        <v>300</v>
      </c>
    </row>
    <row r="8366" spans="11:13" x14ac:dyDescent="0.25">
      <c r="K8366" s="26" t="s">
        <v>111</v>
      </c>
      <c r="L8366" s="27" t="s">
        <v>119</v>
      </c>
      <c r="M8366" s="10">
        <v>110.22927689594357</v>
      </c>
    </row>
    <row r="8367" spans="11:13" x14ac:dyDescent="0.25">
      <c r="K8367" s="26" t="s">
        <v>110</v>
      </c>
      <c r="L8367" s="27" t="s">
        <v>115</v>
      </c>
      <c r="M8367" s="10">
        <v>87.339090760958129</v>
      </c>
    </row>
    <row r="8368" spans="11:13" x14ac:dyDescent="0.25">
      <c r="K8368" s="26" t="s">
        <v>111</v>
      </c>
      <c r="L8368" s="27" t="s">
        <v>116</v>
      </c>
      <c r="M8368" s="10">
        <v>264.74637297469025</v>
      </c>
    </row>
    <row r="8369" spans="11:13" x14ac:dyDescent="0.25">
      <c r="K8369" s="26" t="s">
        <v>111</v>
      </c>
      <c r="L8369" s="27" t="s">
        <v>117</v>
      </c>
      <c r="M8369" s="10">
        <v>17.636684303350968</v>
      </c>
    </row>
    <row r="8370" spans="11:13" x14ac:dyDescent="0.25">
      <c r="K8370" s="26" t="s">
        <v>110</v>
      </c>
      <c r="L8370" s="27" t="s">
        <v>118</v>
      </c>
      <c r="M8370" s="10">
        <v>48.500881834215171</v>
      </c>
    </row>
    <row r="8371" spans="11:13" x14ac:dyDescent="0.25">
      <c r="K8371" s="26" t="s">
        <v>110</v>
      </c>
      <c r="L8371" s="27" t="s">
        <v>119</v>
      </c>
      <c r="M8371" s="10">
        <v>84.719654959950716</v>
      </c>
    </row>
    <row r="8372" spans="11:13" x14ac:dyDescent="0.25">
      <c r="K8372" s="26" t="s">
        <v>111</v>
      </c>
      <c r="L8372" s="27" t="s">
        <v>115</v>
      </c>
      <c r="M8372" s="10">
        <v>123.22858903265558</v>
      </c>
    </row>
    <row r="8373" spans="11:13" x14ac:dyDescent="0.25">
      <c r="K8373" s="26" t="s">
        <v>111</v>
      </c>
      <c r="L8373" s="27" t="s">
        <v>116</v>
      </c>
      <c r="M8373" s="10">
        <v>61.614294516327789</v>
      </c>
    </row>
    <row r="8374" spans="11:13" x14ac:dyDescent="0.25">
      <c r="K8374" s="26" t="s">
        <v>110</v>
      </c>
      <c r="L8374" s="27" t="s">
        <v>117</v>
      </c>
      <c r="M8374" s="10">
        <v>38.508934072704868</v>
      </c>
    </row>
    <row r="8375" spans="11:13" x14ac:dyDescent="0.25">
      <c r="K8375" s="26" t="s">
        <v>111</v>
      </c>
      <c r="L8375" s="27" t="s">
        <v>118</v>
      </c>
      <c r="M8375" s="10">
        <v>61.614294516327789</v>
      </c>
    </row>
    <row r="8376" spans="11:13" x14ac:dyDescent="0.25">
      <c r="K8376" s="26" t="s">
        <v>111</v>
      </c>
      <c r="L8376" s="27" t="s">
        <v>119</v>
      </c>
      <c r="M8376" s="10">
        <v>154.03573629081947</v>
      </c>
    </row>
    <row r="8377" spans="11:13" x14ac:dyDescent="0.25">
      <c r="K8377" s="26" t="s">
        <v>109</v>
      </c>
      <c r="L8377" s="27" t="s">
        <v>115</v>
      </c>
      <c r="M8377" s="10">
        <v>77.017868145409736</v>
      </c>
    </row>
    <row r="8378" spans="11:13" x14ac:dyDescent="0.25">
      <c r="K8378" s="26" t="s">
        <v>110</v>
      </c>
      <c r="L8378" s="27" t="s">
        <v>116</v>
      </c>
      <c r="M8378" s="10">
        <v>30.807147258163894</v>
      </c>
    </row>
    <row r="8379" spans="11:13" x14ac:dyDescent="0.25">
      <c r="K8379" s="26" t="s">
        <v>111</v>
      </c>
      <c r="L8379" s="27" t="s">
        <v>117</v>
      </c>
      <c r="M8379" s="10">
        <v>61.614294516327789</v>
      </c>
    </row>
    <row r="8380" spans="11:13" x14ac:dyDescent="0.25">
      <c r="K8380" s="26" t="s">
        <v>111</v>
      </c>
      <c r="L8380" s="27" t="s">
        <v>118</v>
      </c>
      <c r="M8380" s="10">
        <v>100.2145619467321</v>
      </c>
    </row>
    <row r="8381" spans="11:13" x14ac:dyDescent="0.25">
      <c r="K8381" s="26" t="s">
        <v>109</v>
      </c>
      <c r="L8381" s="27" t="s">
        <v>119</v>
      </c>
      <c r="M8381" s="10">
        <v>88.183421516754848</v>
      </c>
    </row>
    <row r="8382" spans="11:13" x14ac:dyDescent="0.25">
      <c r="K8382" s="26" t="s">
        <v>113</v>
      </c>
      <c r="L8382" s="27" t="s">
        <v>115</v>
      </c>
      <c r="M8382" s="10">
        <v>149.84644710367468</v>
      </c>
    </row>
    <row r="8383" spans="11:13" x14ac:dyDescent="0.25">
      <c r="K8383" s="26" t="s">
        <v>113</v>
      </c>
      <c r="L8383" s="27" t="s">
        <v>116</v>
      </c>
      <c r="M8383" s="10">
        <v>107.82501540357363</v>
      </c>
    </row>
    <row r="8384" spans="11:13" x14ac:dyDescent="0.25">
      <c r="K8384" s="26" t="s">
        <v>110</v>
      </c>
      <c r="L8384" s="27" t="s">
        <v>117</v>
      </c>
      <c r="M8384" s="10">
        <v>391.73686067019401</v>
      </c>
    </row>
    <row r="8385" spans="11:13" x14ac:dyDescent="0.25">
      <c r="K8385" s="26" t="s">
        <v>111</v>
      </c>
      <c r="L8385" s="27" t="s">
        <v>118</v>
      </c>
      <c r="M8385" s="10">
        <v>55.114638447971785</v>
      </c>
    </row>
    <row r="8386" spans="11:13" x14ac:dyDescent="0.25">
      <c r="K8386" s="26" t="s">
        <v>111</v>
      </c>
      <c r="L8386" s="27" t="s">
        <v>119</v>
      </c>
      <c r="M8386" s="10">
        <v>216.48624338624339</v>
      </c>
    </row>
    <row r="8387" spans="11:13" x14ac:dyDescent="0.25">
      <c r="K8387" s="26" t="s">
        <v>110</v>
      </c>
      <c r="L8387" s="27" t="s">
        <v>115</v>
      </c>
      <c r="M8387" s="10">
        <v>338.87861983980287</v>
      </c>
    </row>
    <row r="8388" spans="11:13" x14ac:dyDescent="0.25">
      <c r="K8388" s="26" t="s">
        <v>110</v>
      </c>
      <c r="L8388" s="27" t="s">
        <v>116</v>
      </c>
      <c r="M8388" s="10">
        <v>4.6210720887245836E-3</v>
      </c>
    </row>
    <row r="8389" spans="11:13" x14ac:dyDescent="0.25">
      <c r="K8389" s="26" t="s">
        <v>113</v>
      </c>
      <c r="L8389" s="27" t="s">
        <v>117</v>
      </c>
      <c r="M8389" s="10">
        <v>29.266789895255702</v>
      </c>
    </row>
    <row r="8390" spans="11:13" x14ac:dyDescent="0.25">
      <c r="K8390" s="26" t="s">
        <v>113</v>
      </c>
      <c r="L8390" s="27" t="s">
        <v>118</v>
      </c>
      <c r="M8390" s="10">
        <v>68.941744226128904</v>
      </c>
    </row>
    <row r="8391" spans="11:13" x14ac:dyDescent="0.25">
      <c r="K8391" s="26" t="s">
        <v>110</v>
      </c>
      <c r="L8391" s="27" t="s">
        <v>119</v>
      </c>
      <c r="M8391" s="10">
        <v>40</v>
      </c>
    </row>
    <row r="8392" spans="11:13" x14ac:dyDescent="0.25">
      <c r="K8392" s="26" t="s">
        <v>113</v>
      </c>
      <c r="L8392" s="27" t="s">
        <v>115</v>
      </c>
      <c r="M8392" s="10">
        <v>33.06878306878307</v>
      </c>
    </row>
    <row r="8393" spans="11:13" x14ac:dyDescent="0.25">
      <c r="K8393" s="26" t="s">
        <v>113</v>
      </c>
      <c r="L8393" s="27" t="s">
        <v>116</v>
      </c>
      <c r="M8393" s="10">
        <v>55.114638447971785</v>
      </c>
    </row>
    <row r="8394" spans="11:13" x14ac:dyDescent="0.25">
      <c r="K8394" s="26" t="s">
        <v>110</v>
      </c>
      <c r="L8394" s="27" t="s">
        <v>117</v>
      </c>
      <c r="M8394" s="10">
        <v>19.742427133991853</v>
      </c>
    </row>
    <row r="8395" spans="11:13" x14ac:dyDescent="0.25">
      <c r="K8395" s="26" t="s">
        <v>110</v>
      </c>
      <c r="L8395" s="27" t="s">
        <v>118</v>
      </c>
      <c r="M8395" s="10">
        <v>21</v>
      </c>
    </row>
    <row r="8396" spans="11:13" x14ac:dyDescent="0.25">
      <c r="K8396" s="26" t="s">
        <v>109</v>
      </c>
      <c r="L8396" s="27" t="s">
        <v>119</v>
      </c>
      <c r="M8396" s="10">
        <v>60</v>
      </c>
    </row>
    <row r="8397" spans="11:13" x14ac:dyDescent="0.25">
      <c r="K8397" s="26" t="s">
        <v>109</v>
      </c>
      <c r="L8397" s="27" t="s">
        <v>115</v>
      </c>
      <c r="M8397" s="10">
        <v>34.946521232659116</v>
      </c>
    </row>
    <row r="8398" spans="11:13" x14ac:dyDescent="0.25">
      <c r="K8398" s="26" t="s">
        <v>113</v>
      </c>
      <c r="L8398" s="27" t="s">
        <v>116</v>
      </c>
      <c r="M8398" s="10">
        <v>496.62538699690401</v>
      </c>
    </row>
    <row r="8399" spans="11:13" x14ac:dyDescent="0.25">
      <c r="K8399" s="26" t="s">
        <v>113</v>
      </c>
      <c r="L8399" s="27" t="s">
        <v>117</v>
      </c>
      <c r="M8399" s="10">
        <v>1128.747795414462</v>
      </c>
    </row>
    <row r="8400" spans="11:13" x14ac:dyDescent="0.25">
      <c r="K8400" s="26" t="s">
        <v>113</v>
      </c>
      <c r="L8400" s="27" t="s">
        <v>118</v>
      </c>
      <c r="M8400" s="10">
        <v>6.2936573595311955</v>
      </c>
    </row>
    <row r="8401" spans="11:13" x14ac:dyDescent="0.25">
      <c r="K8401" s="26" t="s">
        <v>110</v>
      </c>
      <c r="L8401" s="27" t="s">
        <v>119</v>
      </c>
      <c r="M8401" s="10">
        <v>123.22858903265558</v>
      </c>
    </row>
    <row r="8402" spans="11:13" x14ac:dyDescent="0.25">
      <c r="K8402" s="26" t="s">
        <v>113</v>
      </c>
      <c r="L8402" s="27" t="s">
        <v>115</v>
      </c>
      <c r="M8402" s="10">
        <v>66.137566137566139</v>
      </c>
    </row>
    <row r="8403" spans="11:13" x14ac:dyDescent="0.25">
      <c r="K8403" s="26" t="s">
        <v>112</v>
      </c>
      <c r="L8403" s="27" t="s">
        <v>116</v>
      </c>
      <c r="M8403" s="10">
        <v>123.22858903265558</v>
      </c>
    </row>
    <row r="8404" spans="11:13" x14ac:dyDescent="0.25">
      <c r="K8404" s="26" t="s">
        <v>112</v>
      </c>
      <c r="L8404" s="27" t="s">
        <v>117</v>
      </c>
      <c r="M8404" s="10">
        <v>30</v>
      </c>
    </row>
    <row r="8405" spans="11:13" x14ac:dyDescent="0.25">
      <c r="K8405" s="26" t="s">
        <v>109</v>
      </c>
      <c r="L8405" s="27" t="s">
        <v>118</v>
      </c>
      <c r="M8405" s="10">
        <v>50</v>
      </c>
    </row>
    <row r="8406" spans="11:13" x14ac:dyDescent="0.25">
      <c r="K8406" s="26" t="s">
        <v>112</v>
      </c>
      <c r="L8406" s="27" t="s">
        <v>119</v>
      </c>
      <c r="M8406" s="10">
        <v>102.78416609921243</v>
      </c>
    </row>
    <row r="8407" spans="11:13" x14ac:dyDescent="0.25">
      <c r="K8407" s="26" t="s">
        <v>110</v>
      </c>
      <c r="L8407" s="27" t="s">
        <v>115</v>
      </c>
      <c r="M8407" s="10">
        <v>6.2278476375392682</v>
      </c>
    </row>
    <row r="8408" spans="11:13" x14ac:dyDescent="0.25">
      <c r="K8408" s="26" t="s">
        <v>111</v>
      </c>
      <c r="L8408" s="27" t="s">
        <v>116</v>
      </c>
      <c r="M8408" s="10">
        <v>228.96498667423779</v>
      </c>
    </row>
    <row r="8409" spans="11:13" x14ac:dyDescent="0.25">
      <c r="K8409" s="26" t="s">
        <v>111</v>
      </c>
      <c r="L8409" s="27" t="s">
        <v>117</v>
      </c>
      <c r="M8409" s="10">
        <v>494</v>
      </c>
    </row>
    <row r="8410" spans="11:13" x14ac:dyDescent="0.25">
      <c r="K8410" s="26" t="s">
        <v>112</v>
      </c>
      <c r="L8410" s="27" t="s">
        <v>118</v>
      </c>
      <c r="M8410" s="10">
        <v>27.576697690451567</v>
      </c>
    </row>
    <row r="8411" spans="11:13" x14ac:dyDescent="0.25">
      <c r="K8411" s="26" t="s">
        <v>112</v>
      </c>
      <c r="L8411" s="27" t="s">
        <v>119</v>
      </c>
      <c r="M8411" s="10">
        <v>15.403573629081947</v>
      </c>
    </row>
    <row r="8412" spans="11:13" x14ac:dyDescent="0.25">
      <c r="K8412" s="26" t="s">
        <v>110</v>
      </c>
      <c r="L8412" s="27" t="s">
        <v>115</v>
      </c>
      <c r="M8412" s="10">
        <v>34.470872113064452</v>
      </c>
    </row>
    <row r="8413" spans="11:13" x14ac:dyDescent="0.25">
      <c r="K8413" s="26" t="s">
        <v>111</v>
      </c>
      <c r="L8413" s="27" t="s">
        <v>116</v>
      </c>
      <c r="M8413" s="10">
        <v>150</v>
      </c>
    </row>
    <row r="8414" spans="11:13" x14ac:dyDescent="0.25">
      <c r="K8414" s="26" t="s">
        <v>111</v>
      </c>
      <c r="L8414" s="27" t="s">
        <v>117</v>
      </c>
      <c r="M8414" s="10">
        <v>18.04052028218695</v>
      </c>
    </row>
    <row r="8415" spans="11:13" x14ac:dyDescent="0.25">
      <c r="K8415" s="26" t="s">
        <v>111</v>
      </c>
      <c r="L8415" s="27" t="s">
        <v>118</v>
      </c>
      <c r="M8415" s="10">
        <v>285</v>
      </c>
    </row>
    <row r="8416" spans="11:13" x14ac:dyDescent="0.25">
      <c r="K8416" s="26" t="s">
        <v>111</v>
      </c>
      <c r="L8416" s="27" t="s">
        <v>119</v>
      </c>
      <c r="M8416" s="10">
        <v>64.529280948850996</v>
      </c>
    </row>
    <row r="8417" spans="11:13" x14ac:dyDescent="0.25">
      <c r="K8417" s="26" t="s">
        <v>111</v>
      </c>
      <c r="L8417" s="27" t="s">
        <v>115</v>
      </c>
      <c r="M8417" s="10">
        <v>154.03573629081947</v>
      </c>
    </row>
    <row r="8418" spans="11:13" x14ac:dyDescent="0.25">
      <c r="K8418" s="26" t="s">
        <v>111</v>
      </c>
      <c r="L8418" s="27" t="s">
        <v>116</v>
      </c>
      <c r="M8418" s="10">
        <v>42.359419675950441</v>
      </c>
    </row>
    <row r="8419" spans="11:13" x14ac:dyDescent="0.25">
      <c r="K8419" s="26" t="s">
        <v>111</v>
      </c>
      <c r="L8419" s="27" t="s">
        <v>117</v>
      </c>
      <c r="M8419" s="10">
        <v>105.89854918987609</v>
      </c>
    </row>
    <row r="8420" spans="11:13" x14ac:dyDescent="0.25">
      <c r="K8420" s="26" t="s">
        <v>111</v>
      </c>
      <c r="L8420" s="27" t="s">
        <v>118</v>
      </c>
      <c r="M8420" s="10">
        <v>158.84782378481412</v>
      </c>
    </row>
    <row r="8421" spans="11:13" x14ac:dyDescent="0.25">
      <c r="K8421" s="26" t="s">
        <v>111</v>
      </c>
      <c r="L8421" s="27" t="s">
        <v>119</v>
      </c>
      <c r="M8421" s="10">
        <v>105.89854918987609</v>
      </c>
    </row>
    <row r="8422" spans="11:13" x14ac:dyDescent="0.25">
      <c r="K8422" s="26" t="s">
        <v>111</v>
      </c>
      <c r="L8422" s="27" t="s">
        <v>115</v>
      </c>
      <c r="M8422" s="10">
        <v>216.04938271604939</v>
      </c>
    </row>
    <row r="8423" spans="11:13" x14ac:dyDescent="0.25">
      <c r="K8423" s="26" t="s">
        <v>111</v>
      </c>
      <c r="L8423" s="27" t="s">
        <v>116</v>
      </c>
      <c r="M8423" s="10">
        <v>85.385000000000005</v>
      </c>
    </row>
    <row r="8424" spans="11:13" x14ac:dyDescent="0.25">
      <c r="K8424" s="26" t="s">
        <v>110</v>
      </c>
      <c r="L8424" s="27" t="s">
        <v>117</v>
      </c>
      <c r="M8424" s="10">
        <v>150</v>
      </c>
    </row>
    <row r="8425" spans="11:13" x14ac:dyDescent="0.25">
      <c r="K8425" s="26" t="s">
        <v>111</v>
      </c>
      <c r="L8425" s="27" t="s">
        <v>118</v>
      </c>
      <c r="M8425" s="10">
        <v>70.546737213403873</v>
      </c>
    </row>
    <row r="8426" spans="11:13" x14ac:dyDescent="0.25">
      <c r="K8426" s="26" t="s">
        <v>111</v>
      </c>
      <c r="L8426" s="27" t="s">
        <v>119</v>
      </c>
      <c r="M8426" s="10">
        <v>264.74637297469025</v>
      </c>
    </row>
    <row r="8427" spans="11:13" x14ac:dyDescent="0.25">
      <c r="K8427" s="26" t="s">
        <v>111</v>
      </c>
      <c r="L8427" s="27" t="s">
        <v>115</v>
      </c>
      <c r="M8427" s="10">
        <v>158.84782378481412</v>
      </c>
    </row>
    <row r="8428" spans="11:13" x14ac:dyDescent="0.25">
      <c r="K8428" s="26" t="s">
        <v>111</v>
      </c>
      <c r="L8428" s="27" t="s">
        <v>116</v>
      </c>
      <c r="M8428" s="10">
        <v>264.74637297469025</v>
      </c>
    </row>
    <row r="8429" spans="11:13" x14ac:dyDescent="0.25">
      <c r="K8429" s="26" t="s">
        <v>111</v>
      </c>
      <c r="L8429" s="27" t="s">
        <v>117</v>
      </c>
      <c r="M8429" s="10">
        <v>17.636684303350968</v>
      </c>
    </row>
    <row r="8430" spans="11:13" x14ac:dyDescent="0.25">
      <c r="K8430" s="26" t="s">
        <v>111</v>
      </c>
      <c r="L8430" s="27" t="s">
        <v>118</v>
      </c>
      <c r="M8430" s="10">
        <v>46.210720887245841</v>
      </c>
    </row>
    <row r="8431" spans="11:13" x14ac:dyDescent="0.25">
      <c r="K8431" s="26" t="s">
        <v>111</v>
      </c>
      <c r="L8431" s="27" t="s">
        <v>119</v>
      </c>
      <c r="M8431" s="10">
        <v>30</v>
      </c>
    </row>
    <row r="8432" spans="11:13" x14ac:dyDescent="0.25">
      <c r="K8432" s="26" t="s">
        <v>111</v>
      </c>
      <c r="L8432" s="27" t="s">
        <v>115</v>
      </c>
      <c r="M8432" s="10">
        <v>77.017868145409736</v>
      </c>
    </row>
    <row r="8433" spans="11:13" x14ac:dyDescent="0.25">
      <c r="K8433" s="26" t="s">
        <v>111</v>
      </c>
      <c r="L8433" s="27" t="s">
        <v>116</v>
      </c>
      <c r="M8433" s="10">
        <v>77.017868145409736</v>
      </c>
    </row>
    <row r="8434" spans="11:13" x14ac:dyDescent="0.25">
      <c r="K8434" s="26" t="s">
        <v>111</v>
      </c>
      <c r="L8434" s="27" t="s">
        <v>117</v>
      </c>
      <c r="M8434" s="10">
        <v>77.017868145409736</v>
      </c>
    </row>
    <row r="8435" spans="11:13" x14ac:dyDescent="0.25">
      <c r="K8435" s="26" t="s">
        <v>111</v>
      </c>
      <c r="L8435" s="27" t="s">
        <v>118</v>
      </c>
      <c r="M8435" s="10">
        <v>46.210720887245841</v>
      </c>
    </row>
    <row r="8436" spans="11:13" x14ac:dyDescent="0.25">
      <c r="K8436" s="26" t="s">
        <v>111</v>
      </c>
      <c r="L8436" s="27" t="s">
        <v>119</v>
      </c>
      <c r="M8436" s="10">
        <v>184.84288354898337</v>
      </c>
    </row>
    <row r="8437" spans="11:13" x14ac:dyDescent="0.25">
      <c r="K8437" s="26" t="s">
        <v>111</v>
      </c>
      <c r="L8437" s="27" t="s">
        <v>115</v>
      </c>
      <c r="M8437" s="10">
        <v>92.421441774491683</v>
      </c>
    </row>
    <row r="8438" spans="11:13" x14ac:dyDescent="0.25">
      <c r="K8438" s="26" t="s">
        <v>111</v>
      </c>
      <c r="L8438" s="27" t="s">
        <v>116</v>
      </c>
      <c r="M8438" s="10">
        <v>77.160493827160494</v>
      </c>
    </row>
    <row r="8439" spans="11:13" x14ac:dyDescent="0.25">
      <c r="K8439" s="26" t="s">
        <v>111</v>
      </c>
      <c r="L8439" s="27" t="s">
        <v>117</v>
      </c>
      <c r="M8439" s="10">
        <v>138.63216266173754</v>
      </c>
    </row>
    <row r="8440" spans="11:13" x14ac:dyDescent="0.25">
      <c r="K8440" s="26" t="s">
        <v>113</v>
      </c>
      <c r="L8440" s="27" t="s">
        <v>118</v>
      </c>
      <c r="M8440" s="10">
        <v>1270.782590278513</v>
      </c>
    </row>
    <row r="8441" spans="11:13" x14ac:dyDescent="0.25">
      <c r="K8441" s="26" t="s">
        <v>111</v>
      </c>
      <c r="L8441" s="27" t="s">
        <v>119</v>
      </c>
      <c r="M8441" s="10">
        <v>205.47617953783251</v>
      </c>
    </row>
    <row r="8442" spans="11:13" x14ac:dyDescent="0.25">
      <c r="K8442" s="26" t="s">
        <v>111</v>
      </c>
      <c r="L8442" s="27" t="s">
        <v>115</v>
      </c>
      <c r="M8442" s="10">
        <v>77.017868145409736</v>
      </c>
    </row>
    <row r="8443" spans="11:13" x14ac:dyDescent="0.25">
      <c r="K8443" s="26" t="s">
        <v>111</v>
      </c>
      <c r="L8443" s="27" t="s">
        <v>116</v>
      </c>
      <c r="M8443" s="10">
        <v>504.46703635243381</v>
      </c>
    </row>
    <row r="8444" spans="11:13" x14ac:dyDescent="0.25">
      <c r="K8444" s="26" t="s">
        <v>111</v>
      </c>
      <c r="L8444" s="27" t="s">
        <v>117</v>
      </c>
      <c r="M8444" s="10">
        <v>529.49274594938049</v>
      </c>
    </row>
    <row r="8445" spans="11:13" x14ac:dyDescent="0.25">
      <c r="K8445" s="26" t="s">
        <v>111</v>
      </c>
      <c r="L8445" s="27" t="s">
        <v>118</v>
      </c>
      <c r="M8445" s="10">
        <v>34</v>
      </c>
    </row>
    <row r="8446" spans="11:13" x14ac:dyDescent="0.25">
      <c r="K8446" s="26" t="s">
        <v>111</v>
      </c>
      <c r="L8446" s="27" t="s">
        <v>119</v>
      </c>
      <c r="M8446" s="10">
        <v>413.65046535677351</v>
      </c>
    </row>
    <row r="8447" spans="11:13" x14ac:dyDescent="0.25">
      <c r="K8447" s="26" t="s">
        <v>111</v>
      </c>
      <c r="L8447" s="27" t="s">
        <v>115</v>
      </c>
      <c r="M8447" s="10">
        <v>66.137566137566139</v>
      </c>
    </row>
    <row r="8448" spans="11:13" x14ac:dyDescent="0.25">
      <c r="K8448" s="26" t="s">
        <v>111</v>
      </c>
      <c r="L8448" s="27" t="s">
        <v>116</v>
      </c>
      <c r="M8448" s="10">
        <v>110.22927689594357</v>
      </c>
    </row>
    <row r="8449" spans="11:13" x14ac:dyDescent="0.25">
      <c r="K8449" s="26" t="s">
        <v>111</v>
      </c>
      <c r="L8449" s="27" t="s">
        <v>117</v>
      </c>
      <c r="M8449" s="10">
        <v>737.54527162977865</v>
      </c>
    </row>
    <row r="8450" spans="11:13" x14ac:dyDescent="0.25">
      <c r="K8450" s="26" t="s">
        <v>111</v>
      </c>
      <c r="L8450" s="27" t="s">
        <v>118</v>
      </c>
      <c r="M8450" s="10">
        <v>48.618426383599385</v>
      </c>
    </row>
    <row r="8451" spans="11:13" x14ac:dyDescent="0.25">
      <c r="K8451" s="26" t="s">
        <v>111</v>
      </c>
      <c r="L8451" s="27" t="s">
        <v>119</v>
      </c>
      <c r="M8451" s="10">
        <v>93.190723287090961</v>
      </c>
    </row>
    <row r="8452" spans="11:13" x14ac:dyDescent="0.25">
      <c r="K8452" s="26" t="s">
        <v>111</v>
      </c>
      <c r="L8452" s="27" t="s">
        <v>115</v>
      </c>
      <c r="M8452" s="10">
        <v>158.84782378481412</v>
      </c>
    </row>
    <row r="8453" spans="11:13" x14ac:dyDescent="0.25">
      <c r="K8453" s="26" t="s">
        <v>111</v>
      </c>
      <c r="L8453" s="27" t="s">
        <v>116</v>
      </c>
      <c r="M8453" s="10">
        <v>150</v>
      </c>
    </row>
    <row r="8454" spans="11:13" x14ac:dyDescent="0.25">
      <c r="K8454" s="26" t="s">
        <v>111</v>
      </c>
      <c r="L8454" s="27" t="s">
        <v>117</v>
      </c>
      <c r="M8454" s="10">
        <v>28.743610597658655</v>
      </c>
    </row>
    <row r="8455" spans="11:13" x14ac:dyDescent="0.25">
      <c r="K8455" s="26" t="s">
        <v>112</v>
      </c>
      <c r="L8455" s="27" t="s">
        <v>118</v>
      </c>
      <c r="M8455" s="10">
        <v>141.71287738755393</v>
      </c>
    </row>
    <row r="8456" spans="11:13" x14ac:dyDescent="0.25">
      <c r="K8456" s="26" t="s">
        <v>112</v>
      </c>
      <c r="L8456" s="27" t="s">
        <v>119</v>
      </c>
      <c r="M8456" s="10">
        <v>141.71287738755393</v>
      </c>
    </row>
    <row r="8457" spans="11:13" x14ac:dyDescent="0.25">
      <c r="K8457" s="26" t="s">
        <v>112</v>
      </c>
      <c r="L8457" s="27" t="s">
        <v>115</v>
      </c>
      <c r="M8457" s="10">
        <v>38.508934072704868</v>
      </c>
    </row>
    <row r="8458" spans="11:13" x14ac:dyDescent="0.25">
      <c r="K8458" s="26" t="s">
        <v>111</v>
      </c>
      <c r="L8458" s="27" t="s">
        <v>116</v>
      </c>
      <c r="M8458" s="10">
        <v>130.93037584719656</v>
      </c>
    </row>
    <row r="8459" spans="11:13" x14ac:dyDescent="0.25">
      <c r="K8459" s="26" t="s">
        <v>111</v>
      </c>
      <c r="L8459" s="27" t="s">
        <v>117</v>
      </c>
      <c r="M8459" s="10">
        <v>27.726432532347506</v>
      </c>
    </row>
    <row r="8460" spans="11:13" x14ac:dyDescent="0.25">
      <c r="K8460" s="26" t="s">
        <v>112</v>
      </c>
      <c r="L8460" s="27" t="s">
        <v>118</v>
      </c>
      <c r="M8460" s="10">
        <v>228.96498667423779</v>
      </c>
    </row>
    <row r="8461" spans="11:13" x14ac:dyDescent="0.25">
      <c r="K8461" s="26" t="s">
        <v>109</v>
      </c>
      <c r="L8461" s="27" t="s">
        <v>119</v>
      </c>
      <c r="M8461" s="10">
        <v>274.75798400908536</v>
      </c>
    </row>
    <row r="8462" spans="11:13" x14ac:dyDescent="0.25">
      <c r="K8462" s="26" t="s">
        <v>109</v>
      </c>
      <c r="L8462" s="27" t="s">
        <v>115</v>
      </c>
      <c r="M8462" s="10">
        <v>91.585994669695125</v>
      </c>
    </row>
    <row r="8463" spans="11:13" x14ac:dyDescent="0.25">
      <c r="K8463" s="26" t="s">
        <v>109</v>
      </c>
      <c r="L8463" s="27" t="s">
        <v>116</v>
      </c>
      <c r="M8463" s="10">
        <v>46.210720887245841</v>
      </c>
    </row>
    <row r="8464" spans="11:13" x14ac:dyDescent="0.25">
      <c r="K8464" s="26" t="s">
        <v>113</v>
      </c>
      <c r="L8464" s="27" t="s">
        <v>117</v>
      </c>
      <c r="M8464" s="10">
        <v>462.10720887245844</v>
      </c>
    </row>
    <row r="8465" spans="11:13" x14ac:dyDescent="0.25">
      <c r="K8465" s="26" t="s">
        <v>109</v>
      </c>
      <c r="L8465" s="27" t="s">
        <v>118</v>
      </c>
      <c r="M8465" s="10">
        <v>138.63216266173754</v>
      </c>
    </row>
    <row r="8466" spans="11:13" x14ac:dyDescent="0.25">
      <c r="K8466" s="26" t="s">
        <v>109</v>
      </c>
      <c r="L8466" s="27" t="s">
        <v>119</v>
      </c>
      <c r="M8466" s="10">
        <v>154.03573629081947</v>
      </c>
    </row>
    <row r="8467" spans="11:13" x14ac:dyDescent="0.25">
      <c r="K8467" s="26" t="s">
        <v>113</v>
      </c>
      <c r="L8467" s="27" t="s">
        <v>115</v>
      </c>
      <c r="M8467" s="10">
        <v>77.017868145409736</v>
      </c>
    </row>
    <row r="8468" spans="11:13" x14ac:dyDescent="0.25">
      <c r="K8468" s="26" t="s">
        <v>111</v>
      </c>
      <c r="L8468" s="27" t="s">
        <v>116</v>
      </c>
      <c r="M8468" s="10">
        <v>123.22858903265558</v>
      </c>
    </row>
    <row r="8469" spans="11:13" x14ac:dyDescent="0.25">
      <c r="K8469" s="26" t="s">
        <v>109</v>
      </c>
      <c r="L8469" s="27" t="s">
        <v>117</v>
      </c>
      <c r="M8469" s="10">
        <v>61.614294516327789</v>
      </c>
    </row>
    <row r="8470" spans="11:13" x14ac:dyDescent="0.25">
      <c r="K8470" s="26" t="s">
        <v>110</v>
      </c>
      <c r="L8470" s="27" t="s">
        <v>118</v>
      </c>
      <c r="M8470" s="10">
        <v>44.091710758377424</v>
      </c>
    </row>
    <row r="8471" spans="11:13" x14ac:dyDescent="0.25">
      <c r="K8471" s="26" t="s">
        <v>110</v>
      </c>
      <c r="L8471" s="27" t="s">
        <v>119</v>
      </c>
      <c r="M8471" s="10">
        <v>155.11892450879009</v>
      </c>
    </row>
    <row r="8472" spans="11:13" x14ac:dyDescent="0.25">
      <c r="K8472" s="26" t="s">
        <v>110</v>
      </c>
      <c r="L8472" s="27" t="s">
        <v>115</v>
      </c>
      <c r="M8472" s="10">
        <v>105.89854918987609</v>
      </c>
    </row>
    <row r="8473" spans="11:13" x14ac:dyDescent="0.25">
      <c r="K8473" s="26" t="s">
        <v>110</v>
      </c>
      <c r="L8473" s="27" t="s">
        <v>116</v>
      </c>
      <c r="M8473" s="10">
        <v>169.43767870380177</v>
      </c>
    </row>
    <row r="8474" spans="11:13" x14ac:dyDescent="0.25">
      <c r="K8474" s="26" t="s">
        <v>110</v>
      </c>
      <c r="L8474" s="27" t="s">
        <v>117</v>
      </c>
      <c r="M8474" s="10">
        <v>84.718839351900883</v>
      </c>
    </row>
    <row r="8475" spans="11:13" x14ac:dyDescent="0.25">
      <c r="K8475" s="26" t="s">
        <v>110</v>
      </c>
      <c r="L8475" s="27" t="s">
        <v>118</v>
      </c>
      <c r="M8475" s="10">
        <v>26.474637297469023</v>
      </c>
    </row>
    <row r="8476" spans="11:13" x14ac:dyDescent="0.25">
      <c r="K8476" s="26" t="s">
        <v>110</v>
      </c>
      <c r="L8476" s="27" t="s">
        <v>119</v>
      </c>
      <c r="M8476" s="10">
        <v>216.19531561163004</v>
      </c>
    </row>
    <row r="8477" spans="11:13" x14ac:dyDescent="0.25">
      <c r="K8477" s="26" t="s">
        <v>109</v>
      </c>
      <c r="L8477" s="27" t="s">
        <v>115</v>
      </c>
      <c r="M8477" s="10">
        <v>92.421441774491683</v>
      </c>
    </row>
    <row r="8478" spans="11:13" x14ac:dyDescent="0.25">
      <c r="K8478" s="26" t="s">
        <v>111</v>
      </c>
      <c r="L8478" s="27" t="s">
        <v>116</v>
      </c>
      <c r="M8478" s="10">
        <v>123.22858903265558</v>
      </c>
    </row>
    <row r="8479" spans="11:13" x14ac:dyDescent="0.25">
      <c r="K8479" s="26" t="s">
        <v>111</v>
      </c>
      <c r="L8479" s="27" t="s">
        <v>117</v>
      </c>
      <c r="M8479" s="10">
        <v>154.03573629081947</v>
      </c>
    </row>
    <row r="8480" spans="11:13" x14ac:dyDescent="0.25">
      <c r="K8480" s="26" t="s">
        <v>111</v>
      </c>
      <c r="L8480" s="27" t="s">
        <v>118</v>
      </c>
      <c r="M8480" s="10">
        <v>77.017868145409736</v>
      </c>
    </row>
    <row r="8481" spans="11:13" x14ac:dyDescent="0.25">
      <c r="K8481" s="26" t="s">
        <v>112</v>
      </c>
      <c r="L8481" s="27" t="s">
        <v>119</v>
      </c>
      <c r="M8481" s="10">
        <v>77.017868145409736</v>
      </c>
    </row>
    <row r="8482" spans="11:13" x14ac:dyDescent="0.25">
      <c r="K8482" s="26" t="s">
        <v>110</v>
      </c>
      <c r="L8482" s="27" t="s">
        <v>115</v>
      </c>
      <c r="M8482" s="10">
        <v>60.0739371534196</v>
      </c>
    </row>
    <row r="8483" spans="11:13" x14ac:dyDescent="0.25">
      <c r="K8483" s="26" t="s">
        <v>111</v>
      </c>
      <c r="L8483" s="27" t="s">
        <v>116</v>
      </c>
      <c r="M8483" s="10">
        <v>462.10720887245844</v>
      </c>
    </row>
    <row r="8484" spans="11:13" x14ac:dyDescent="0.25">
      <c r="K8484" s="26" t="s">
        <v>111</v>
      </c>
      <c r="L8484" s="27" t="s">
        <v>117</v>
      </c>
      <c r="M8484" s="10">
        <v>60.998151571164513</v>
      </c>
    </row>
    <row r="8485" spans="11:13" x14ac:dyDescent="0.25">
      <c r="K8485" s="26" t="s">
        <v>111</v>
      </c>
      <c r="L8485" s="27" t="s">
        <v>118</v>
      </c>
      <c r="M8485" s="10">
        <v>500</v>
      </c>
    </row>
    <row r="8486" spans="11:13" x14ac:dyDescent="0.25">
      <c r="K8486" s="26" t="s">
        <v>111</v>
      </c>
      <c r="L8486" s="27" t="s">
        <v>119</v>
      </c>
      <c r="M8486" s="10">
        <v>61.614294516327789</v>
      </c>
    </row>
    <row r="8487" spans="11:13" x14ac:dyDescent="0.25">
      <c r="K8487" s="26" t="s">
        <v>109</v>
      </c>
      <c r="L8487" s="27" t="s">
        <v>115</v>
      </c>
      <c r="M8487" s="10">
        <v>770.17868145409739</v>
      </c>
    </row>
    <row r="8488" spans="11:13" x14ac:dyDescent="0.25">
      <c r="K8488" s="26" t="s">
        <v>111</v>
      </c>
      <c r="L8488" s="27" t="s">
        <v>116</v>
      </c>
      <c r="M8488" s="10">
        <v>95.308694270888495</v>
      </c>
    </row>
    <row r="8489" spans="11:13" x14ac:dyDescent="0.25">
      <c r="K8489" s="26" t="s">
        <v>111</v>
      </c>
      <c r="L8489" s="27" t="s">
        <v>117</v>
      </c>
      <c r="M8489" s="10">
        <v>149.31165943026579</v>
      </c>
    </row>
    <row r="8490" spans="11:13" x14ac:dyDescent="0.25">
      <c r="K8490" s="26" t="s">
        <v>111</v>
      </c>
      <c r="L8490" s="27" t="s">
        <v>118</v>
      </c>
      <c r="M8490" s="10">
        <v>52.949274594938046</v>
      </c>
    </row>
    <row r="8491" spans="11:13" x14ac:dyDescent="0.25">
      <c r="K8491" s="26" t="s">
        <v>111</v>
      </c>
      <c r="L8491" s="27" t="s">
        <v>119</v>
      </c>
      <c r="M8491" s="10">
        <v>15.884782378481413</v>
      </c>
    </row>
    <row r="8492" spans="11:13" x14ac:dyDescent="0.25">
      <c r="K8492" s="26" t="s">
        <v>112</v>
      </c>
      <c r="L8492" s="27" t="s">
        <v>115</v>
      </c>
      <c r="M8492" s="10">
        <v>231.05360443622922</v>
      </c>
    </row>
    <row r="8493" spans="11:13" x14ac:dyDescent="0.25">
      <c r="K8493" s="26" t="s">
        <v>109</v>
      </c>
      <c r="L8493" s="27" t="s">
        <v>116</v>
      </c>
      <c r="M8493" s="10">
        <v>88.183421516754848</v>
      </c>
    </row>
    <row r="8494" spans="11:13" x14ac:dyDescent="0.25">
      <c r="K8494" s="26" t="s">
        <v>110</v>
      </c>
      <c r="L8494" s="27" t="s">
        <v>117</v>
      </c>
      <c r="M8494" s="10">
        <v>154.03573629081947</v>
      </c>
    </row>
    <row r="8495" spans="11:13" x14ac:dyDescent="0.25">
      <c r="K8495" s="26" t="s">
        <v>111</v>
      </c>
      <c r="L8495" s="27" t="s">
        <v>118</v>
      </c>
      <c r="M8495" s="10">
        <v>61.614294516327789</v>
      </c>
    </row>
    <row r="8496" spans="11:13" x14ac:dyDescent="0.25">
      <c r="K8496" s="26" t="s">
        <v>111</v>
      </c>
      <c r="L8496" s="27" t="s">
        <v>119</v>
      </c>
      <c r="M8496" s="10">
        <v>308.07147258163894</v>
      </c>
    </row>
    <row r="8497" spans="11:13" x14ac:dyDescent="0.25">
      <c r="K8497" s="26" t="s">
        <v>111</v>
      </c>
      <c r="L8497" s="27" t="s">
        <v>115</v>
      </c>
      <c r="M8497" s="10">
        <v>231.05360443622922</v>
      </c>
    </row>
    <row r="8498" spans="11:13" x14ac:dyDescent="0.25">
      <c r="K8498" s="26" t="s">
        <v>111</v>
      </c>
      <c r="L8498" s="27" t="s">
        <v>116</v>
      </c>
      <c r="M8498" s="10">
        <v>11.022927689594356</v>
      </c>
    </row>
    <row r="8499" spans="11:13" x14ac:dyDescent="0.25">
      <c r="K8499" s="26" t="s">
        <v>111</v>
      </c>
      <c r="L8499" s="27" t="s">
        <v>117</v>
      </c>
      <c r="M8499" s="10">
        <v>11.022927689594356</v>
      </c>
    </row>
    <row r="8500" spans="11:13" x14ac:dyDescent="0.25">
      <c r="K8500" s="26" t="s">
        <v>113</v>
      </c>
      <c r="L8500" s="27" t="s">
        <v>118</v>
      </c>
      <c r="M8500" s="10">
        <v>53.912507701786815</v>
      </c>
    </row>
    <row r="8501" spans="11:13" x14ac:dyDescent="0.25">
      <c r="K8501" s="26" t="s">
        <v>111</v>
      </c>
      <c r="L8501" s="27" t="s">
        <v>119</v>
      </c>
      <c r="M8501" s="10">
        <v>103.41261633919338</v>
      </c>
    </row>
    <row r="8502" spans="11:13" x14ac:dyDescent="0.25">
      <c r="K8502" s="26" t="s">
        <v>113</v>
      </c>
      <c r="L8502" s="27" t="s">
        <v>115</v>
      </c>
      <c r="M8502" s="10">
        <v>60.0739371534196</v>
      </c>
    </row>
    <row r="8503" spans="11:13" x14ac:dyDescent="0.25">
      <c r="K8503" s="26" t="s">
        <v>111</v>
      </c>
      <c r="L8503" s="27" t="s">
        <v>116</v>
      </c>
      <c r="M8503" s="10">
        <v>370.64492216456637</v>
      </c>
    </row>
    <row r="8504" spans="11:13" x14ac:dyDescent="0.25">
      <c r="K8504" s="26" t="s">
        <v>110</v>
      </c>
      <c r="L8504" s="27" t="s">
        <v>117</v>
      </c>
      <c r="M8504" s="10">
        <v>211.79709837975219</v>
      </c>
    </row>
    <row r="8505" spans="11:13" x14ac:dyDescent="0.25">
      <c r="K8505" s="26" t="s">
        <v>111</v>
      </c>
      <c r="L8505" s="27" t="s">
        <v>118</v>
      </c>
      <c r="M8505" s="10">
        <v>741.28984432913273</v>
      </c>
    </row>
    <row r="8506" spans="11:13" x14ac:dyDescent="0.25">
      <c r="K8506" s="26" t="s">
        <v>113</v>
      </c>
      <c r="L8506" s="27" t="s">
        <v>119</v>
      </c>
      <c r="M8506" s="10">
        <v>317.69564756962825</v>
      </c>
    </row>
    <row r="8507" spans="11:13" x14ac:dyDescent="0.25">
      <c r="K8507" s="26" t="s">
        <v>113</v>
      </c>
      <c r="L8507" s="27" t="s">
        <v>115</v>
      </c>
      <c r="M8507" s="10">
        <v>211.79709837975219</v>
      </c>
    </row>
    <row r="8508" spans="11:13" x14ac:dyDescent="0.25">
      <c r="K8508" s="26" t="s">
        <v>109</v>
      </c>
      <c r="L8508" s="27" t="s">
        <v>116</v>
      </c>
      <c r="M8508" s="10">
        <v>37.784602350947786</v>
      </c>
    </row>
    <row r="8509" spans="11:13" x14ac:dyDescent="0.25">
      <c r="K8509" s="26" t="s">
        <v>113</v>
      </c>
      <c r="L8509" s="27" t="s">
        <v>117</v>
      </c>
      <c r="M8509" s="10">
        <v>34.470872113064452</v>
      </c>
    </row>
    <row r="8510" spans="11:13" x14ac:dyDescent="0.25">
      <c r="K8510" s="26" t="s">
        <v>113</v>
      </c>
      <c r="L8510" s="27" t="s">
        <v>118</v>
      </c>
      <c r="M8510" s="10">
        <v>60.415122312824316</v>
      </c>
    </row>
    <row r="8511" spans="11:13" x14ac:dyDescent="0.25">
      <c r="K8511" s="26" t="s">
        <v>113</v>
      </c>
      <c r="L8511" s="27" t="s">
        <v>119</v>
      </c>
      <c r="M8511" s="10">
        <v>30.807147258163894</v>
      </c>
    </row>
    <row r="8512" spans="11:13" x14ac:dyDescent="0.25">
      <c r="K8512" s="26" t="s">
        <v>113</v>
      </c>
      <c r="L8512" s="27" t="s">
        <v>115</v>
      </c>
      <c r="M8512" s="10">
        <v>44.091710758377424</v>
      </c>
    </row>
    <row r="8513" spans="11:13" x14ac:dyDescent="0.25">
      <c r="K8513" s="26" t="s">
        <v>113</v>
      </c>
      <c r="L8513" s="27" t="s">
        <v>116</v>
      </c>
      <c r="M8513" s="10">
        <v>38.508934072704868</v>
      </c>
    </row>
    <row r="8514" spans="11:13" x14ac:dyDescent="0.25">
      <c r="K8514" s="26" t="s">
        <v>109</v>
      </c>
      <c r="L8514" s="27" t="s">
        <v>117</v>
      </c>
      <c r="M8514" s="10">
        <v>277.26432532347508</v>
      </c>
    </row>
    <row r="8515" spans="11:13" x14ac:dyDescent="0.25">
      <c r="K8515" s="26" t="s">
        <v>109</v>
      </c>
      <c r="L8515" s="27" t="s">
        <v>118</v>
      </c>
      <c r="M8515" s="10">
        <v>81.030710639332298</v>
      </c>
    </row>
    <row r="8516" spans="11:13" x14ac:dyDescent="0.25">
      <c r="K8516" s="26" t="s">
        <v>111</v>
      </c>
      <c r="L8516" s="27" t="s">
        <v>119</v>
      </c>
      <c r="M8516" s="10">
        <v>73.2687957357561</v>
      </c>
    </row>
    <row r="8517" spans="11:13" x14ac:dyDescent="0.25">
      <c r="K8517" s="26" t="s">
        <v>110</v>
      </c>
      <c r="L8517" s="27" t="s">
        <v>115</v>
      </c>
      <c r="M8517" s="10">
        <v>32.412284255732921</v>
      </c>
    </row>
    <row r="8518" spans="11:13" x14ac:dyDescent="0.25">
      <c r="K8518" s="26" t="s">
        <v>109</v>
      </c>
      <c r="L8518" s="27" t="s">
        <v>116</v>
      </c>
      <c r="M8518" s="10">
        <v>107.529</v>
      </c>
    </row>
    <row r="8519" spans="11:13" x14ac:dyDescent="0.25">
      <c r="K8519" s="26" t="s">
        <v>109</v>
      </c>
      <c r="L8519" s="27" t="s">
        <v>117</v>
      </c>
      <c r="M8519" s="10">
        <v>38.508934072704868</v>
      </c>
    </row>
    <row r="8520" spans="11:13" x14ac:dyDescent="0.25">
      <c r="K8520" s="26" t="s">
        <v>111</v>
      </c>
      <c r="L8520" s="27" t="s">
        <v>118</v>
      </c>
      <c r="M8520" s="10">
        <v>91.585994669695125</v>
      </c>
    </row>
    <row r="8521" spans="11:13" x14ac:dyDescent="0.25">
      <c r="K8521" s="26" t="s">
        <v>109</v>
      </c>
      <c r="L8521" s="27" t="s">
        <v>119</v>
      </c>
      <c r="M8521" s="10">
        <v>66.137566137566139</v>
      </c>
    </row>
    <row r="8522" spans="11:13" x14ac:dyDescent="0.25">
      <c r="K8522" s="26" t="s">
        <v>109</v>
      </c>
      <c r="L8522" s="27" t="s">
        <v>115</v>
      </c>
      <c r="M8522" s="10">
        <v>308.64197530864197</v>
      </c>
    </row>
    <row r="8523" spans="11:13" x14ac:dyDescent="0.25">
      <c r="K8523" s="26" t="s">
        <v>110</v>
      </c>
      <c r="L8523" s="27" t="s">
        <v>116</v>
      </c>
      <c r="M8523" s="10">
        <v>253.52733686067018</v>
      </c>
    </row>
    <row r="8524" spans="11:13" x14ac:dyDescent="0.25">
      <c r="K8524" s="26" t="s">
        <v>111</v>
      </c>
      <c r="L8524" s="27" t="s">
        <v>117</v>
      </c>
      <c r="M8524" s="10">
        <v>308.64197530864197</v>
      </c>
    </row>
    <row r="8525" spans="11:13" x14ac:dyDescent="0.25">
      <c r="K8525" s="26" t="s">
        <v>111</v>
      </c>
      <c r="L8525" s="27" t="s">
        <v>118</v>
      </c>
      <c r="M8525" s="10">
        <v>52.949274594938046</v>
      </c>
    </row>
    <row r="8526" spans="11:13" x14ac:dyDescent="0.25">
      <c r="K8526" s="26" t="s">
        <v>111</v>
      </c>
      <c r="L8526" s="27" t="s">
        <v>119</v>
      </c>
      <c r="M8526" s="10">
        <v>264.74637297469025</v>
      </c>
    </row>
    <row r="8527" spans="11:13" x14ac:dyDescent="0.25">
      <c r="K8527" s="26" t="s">
        <v>111</v>
      </c>
      <c r="L8527" s="27" t="s">
        <v>115</v>
      </c>
      <c r="M8527" s="10">
        <v>26.980843601043258</v>
      </c>
    </row>
    <row r="8528" spans="11:13" x14ac:dyDescent="0.25">
      <c r="K8528" s="26" t="s">
        <v>111</v>
      </c>
      <c r="L8528" s="27" t="s">
        <v>116</v>
      </c>
      <c r="M8528" s="10">
        <v>24.645717806531117</v>
      </c>
    </row>
    <row r="8529" spans="11:13" x14ac:dyDescent="0.25">
      <c r="K8529" s="26" t="s">
        <v>111</v>
      </c>
      <c r="L8529" s="27" t="s">
        <v>117</v>
      </c>
      <c r="M8529" s="10">
        <v>123.22858903265558</v>
      </c>
    </row>
    <row r="8530" spans="11:13" x14ac:dyDescent="0.25">
      <c r="K8530" s="26" t="s">
        <v>111</v>
      </c>
      <c r="L8530" s="27" t="s">
        <v>118</v>
      </c>
      <c r="M8530" s="10">
        <v>46.210720887245841</v>
      </c>
    </row>
    <row r="8531" spans="11:13" x14ac:dyDescent="0.25">
      <c r="K8531" s="26" t="s">
        <v>111</v>
      </c>
      <c r="L8531" s="27" t="s">
        <v>119</v>
      </c>
      <c r="M8531" s="10">
        <v>107.82501540357363</v>
      </c>
    </row>
    <row r="8532" spans="11:13" x14ac:dyDescent="0.25">
      <c r="K8532" s="26" t="s">
        <v>111</v>
      </c>
      <c r="L8532" s="27" t="s">
        <v>115</v>
      </c>
      <c r="M8532" s="10">
        <v>154.03573629081947</v>
      </c>
    </row>
    <row r="8533" spans="11:13" x14ac:dyDescent="0.25">
      <c r="K8533" s="26" t="s">
        <v>110</v>
      </c>
      <c r="L8533" s="27" t="s">
        <v>116</v>
      </c>
      <c r="M8533" s="10">
        <v>92.421441774491683</v>
      </c>
    </row>
    <row r="8534" spans="11:13" x14ac:dyDescent="0.25">
      <c r="K8534" s="26" t="s">
        <v>111</v>
      </c>
      <c r="L8534" s="27" t="s">
        <v>117</v>
      </c>
      <c r="M8534" s="10">
        <v>121.54606595899845</v>
      </c>
    </row>
    <row r="8535" spans="11:13" x14ac:dyDescent="0.25">
      <c r="K8535" s="26" t="s">
        <v>111</v>
      </c>
      <c r="L8535" s="27" t="s">
        <v>118</v>
      </c>
      <c r="M8535" s="10">
        <v>77.017868145409736</v>
      </c>
    </row>
    <row r="8536" spans="11:13" x14ac:dyDescent="0.25">
      <c r="K8536" s="26" t="s">
        <v>111</v>
      </c>
      <c r="L8536" s="27" t="s">
        <v>119</v>
      </c>
      <c r="M8536" s="10">
        <v>27.726432532347506</v>
      </c>
    </row>
    <row r="8537" spans="11:13" x14ac:dyDescent="0.25">
      <c r="K8537" s="26" t="s">
        <v>111</v>
      </c>
      <c r="L8537" s="27" t="s">
        <v>115</v>
      </c>
      <c r="M8537" s="10">
        <v>23.105360443622921</v>
      </c>
    </row>
    <row r="8538" spans="11:13" x14ac:dyDescent="0.25">
      <c r="K8538" s="26" t="s">
        <v>111</v>
      </c>
      <c r="L8538" s="27" t="s">
        <v>116</v>
      </c>
      <c r="M8538" s="10">
        <v>4.621072088724584</v>
      </c>
    </row>
    <row r="8539" spans="11:13" x14ac:dyDescent="0.25">
      <c r="K8539" s="26" t="s">
        <v>111</v>
      </c>
      <c r="L8539" s="27" t="s">
        <v>117</v>
      </c>
      <c r="M8539" s="10">
        <v>9.2421441774491679</v>
      </c>
    </row>
    <row r="8540" spans="11:13" x14ac:dyDescent="0.25">
      <c r="K8540" s="26" t="s">
        <v>111</v>
      </c>
      <c r="L8540" s="27" t="s">
        <v>118</v>
      </c>
      <c r="M8540" s="10">
        <v>64.695009242144181</v>
      </c>
    </row>
    <row r="8541" spans="11:13" x14ac:dyDescent="0.25">
      <c r="K8541" s="26" t="s">
        <v>111</v>
      </c>
      <c r="L8541" s="27" t="s">
        <v>119</v>
      </c>
      <c r="M8541" s="10">
        <v>16</v>
      </c>
    </row>
    <row r="8542" spans="11:13" x14ac:dyDescent="0.25">
      <c r="K8542" s="26" t="s">
        <v>111</v>
      </c>
      <c r="L8542" s="27" t="s">
        <v>115</v>
      </c>
      <c r="M8542" s="10">
        <v>7.9283005860048252</v>
      </c>
    </row>
    <row r="8543" spans="11:13" x14ac:dyDescent="0.25">
      <c r="K8543" s="26" t="s">
        <v>111</v>
      </c>
      <c r="L8543" s="27" t="s">
        <v>116</v>
      </c>
      <c r="M8543" s="10">
        <v>45.95</v>
      </c>
    </row>
    <row r="8544" spans="11:13" x14ac:dyDescent="0.25">
      <c r="K8544" s="26" t="s">
        <v>111</v>
      </c>
      <c r="L8544" s="27" t="s">
        <v>117</v>
      </c>
      <c r="M8544" s="10">
        <v>431.30006161429452</v>
      </c>
    </row>
    <row r="8545" spans="11:13" x14ac:dyDescent="0.25">
      <c r="K8545" s="26" t="s">
        <v>111</v>
      </c>
      <c r="L8545" s="27" t="s">
        <v>118</v>
      </c>
      <c r="M8545" s="10">
        <v>7.7017868145409736</v>
      </c>
    </row>
    <row r="8546" spans="11:13" x14ac:dyDescent="0.25">
      <c r="K8546" s="26" t="s">
        <v>111</v>
      </c>
      <c r="L8546" s="27" t="s">
        <v>119</v>
      </c>
      <c r="M8546" s="10">
        <v>40</v>
      </c>
    </row>
    <row r="8547" spans="11:13" x14ac:dyDescent="0.25">
      <c r="K8547" s="26" t="s">
        <v>111</v>
      </c>
      <c r="L8547" s="27" t="s">
        <v>115</v>
      </c>
      <c r="M8547" s="10">
        <v>59.530896535301828</v>
      </c>
    </row>
    <row r="8548" spans="11:13" x14ac:dyDescent="0.25">
      <c r="K8548" s="26" t="s">
        <v>111</v>
      </c>
      <c r="L8548" s="27" t="s">
        <v>116</v>
      </c>
      <c r="M8548" s="10">
        <v>45.95</v>
      </c>
    </row>
    <row r="8549" spans="11:13" x14ac:dyDescent="0.25">
      <c r="K8549" s="26" t="s">
        <v>111</v>
      </c>
      <c r="L8549" s="27" t="s">
        <v>117</v>
      </c>
      <c r="M8549" s="10">
        <v>107.82501540357363</v>
      </c>
    </row>
    <row r="8550" spans="11:13" x14ac:dyDescent="0.25">
      <c r="K8550" s="26" t="s">
        <v>111</v>
      </c>
      <c r="L8550" s="27" t="s">
        <v>118</v>
      </c>
      <c r="M8550" s="10">
        <v>64.24010381200776</v>
      </c>
    </row>
    <row r="8551" spans="11:13" x14ac:dyDescent="0.25">
      <c r="K8551" s="26" t="s">
        <v>111</v>
      </c>
      <c r="L8551" s="27" t="s">
        <v>119</v>
      </c>
      <c r="M8551" s="10">
        <v>39.182463200254155</v>
      </c>
    </row>
    <row r="8552" spans="11:13" x14ac:dyDescent="0.25">
      <c r="K8552" s="26" t="s">
        <v>113</v>
      </c>
      <c r="L8552" s="27" t="s">
        <v>115</v>
      </c>
      <c r="M8552" s="10">
        <v>40.515355319666149</v>
      </c>
    </row>
    <row r="8553" spans="11:13" x14ac:dyDescent="0.25">
      <c r="K8553" s="26" t="s">
        <v>111</v>
      </c>
      <c r="L8553" s="27" t="s">
        <v>116</v>
      </c>
      <c r="M8553" s="10">
        <v>24.309213191799692</v>
      </c>
    </row>
    <row r="8554" spans="11:13" x14ac:dyDescent="0.25">
      <c r="K8554" s="26" t="s">
        <v>111</v>
      </c>
      <c r="L8554" s="27" t="s">
        <v>117</v>
      </c>
      <c r="M8554" s="10">
        <v>70.546737213403873</v>
      </c>
    </row>
    <row r="8555" spans="11:13" x14ac:dyDescent="0.25">
      <c r="K8555" s="26" t="s">
        <v>111</v>
      </c>
      <c r="L8555" s="27" t="s">
        <v>118</v>
      </c>
      <c r="M8555" s="10">
        <v>123.5</v>
      </c>
    </row>
    <row r="8556" spans="11:13" x14ac:dyDescent="0.25">
      <c r="K8556" s="26" t="s">
        <v>110</v>
      </c>
      <c r="L8556" s="27" t="s">
        <v>119</v>
      </c>
      <c r="M8556" s="10">
        <v>26.323236178655804</v>
      </c>
    </row>
    <row r="8557" spans="11:13" x14ac:dyDescent="0.25">
      <c r="K8557" s="26" t="s">
        <v>110</v>
      </c>
      <c r="L8557" s="27" t="s">
        <v>115</v>
      </c>
      <c r="M8557" s="10">
        <v>25.696041524803107</v>
      </c>
    </row>
    <row r="8558" spans="11:13" x14ac:dyDescent="0.25">
      <c r="K8558" s="26" t="s">
        <v>111</v>
      </c>
      <c r="L8558" s="27" t="s">
        <v>116</v>
      </c>
      <c r="M8558" s="10">
        <v>0.584559991528116</v>
      </c>
    </row>
    <row r="8559" spans="11:13" x14ac:dyDescent="0.25">
      <c r="K8559" s="26" t="s">
        <v>111</v>
      </c>
      <c r="L8559" s="27" t="s">
        <v>117</v>
      </c>
      <c r="M8559" s="10">
        <v>42.359419675950441</v>
      </c>
    </row>
    <row r="8560" spans="11:13" x14ac:dyDescent="0.25">
      <c r="K8560" s="26" t="s">
        <v>111</v>
      </c>
      <c r="L8560" s="27" t="s">
        <v>118</v>
      </c>
      <c r="M8560" s="10">
        <v>52.949274594938046</v>
      </c>
    </row>
    <row r="8561" spans="11:13" x14ac:dyDescent="0.25">
      <c r="K8561" s="26" t="s">
        <v>111</v>
      </c>
      <c r="L8561" s="27" t="s">
        <v>119</v>
      </c>
      <c r="M8561" s="10">
        <v>52.949274594938046</v>
      </c>
    </row>
    <row r="8562" spans="11:13" x14ac:dyDescent="0.25">
      <c r="K8562" s="26" t="s">
        <v>111</v>
      </c>
      <c r="L8562" s="27" t="s">
        <v>115</v>
      </c>
      <c r="M8562" s="10">
        <v>529.49274594938049</v>
      </c>
    </row>
    <row r="8563" spans="11:13" x14ac:dyDescent="0.25">
      <c r="K8563" s="26" t="s">
        <v>111</v>
      </c>
      <c r="L8563" s="27" t="s">
        <v>116</v>
      </c>
      <c r="M8563" s="10">
        <v>85.384600000000006</v>
      </c>
    </row>
    <row r="8564" spans="11:13" x14ac:dyDescent="0.25">
      <c r="K8564" s="26" t="s">
        <v>111</v>
      </c>
      <c r="L8564" s="27" t="s">
        <v>117</v>
      </c>
      <c r="M8564" s="10">
        <v>52.949274594938046</v>
      </c>
    </row>
    <row r="8565" spans="11:13" x14ac:dyDescent="0.25">
      <c r="K8565" s="26" t="s">
        <v>111</v>
      </c>
      <c r="L8565" s="27" t="s">
        <v>118</v>
      </c>
      <c r="M8565" s="10">
        <v>44.091710758377424</v>
      </c>
    </row>
    <row r="8566" spans="11:13" x14ac:dyDescent="0.25">
      <c r="K8566" s="26" t="s">
        <v>111</v>
      </c>
      <c r="L8566" s="27" t="s">
        <v>119</v>
      </c>
      <c r="M8566" s="10">
        <v>64.110196268786581</v>
      </c>
    </row>
    <row r="8567" spans="11:13" x14ac:dyDescent="0.25">
      <c r="K8567" s="26" t="s">
        <v>111</v>
      </c>
      <c r="L8567" s="27" t="s">
        <v>115</v>
      </c>
      <c r="M8567" s="10">
        <v>55.114638447971785</v>
      </c>
    </row>
    <row r="8568" spans="11:13" x14ac:dyDescent="0.25">
      <c r="K8568" s="26" t="s">
        <v>111</v>
      </c>
      <c r="L8568" s="27" t="s">
        <v>116</v>
      </c>
      <c r="M8568" s="10">
        <v>30</v>
      </c>
    </row>
    <row r="8569" spans="11:13" x14ac:dyDescent="0.25">
      <c r="K8569" s="26" t="s">
        <v>111</v>
      </c>
      <c r="L8569" s="27" t="s">
        <v>117</v>
      </c>
      <c r="M8569" s="10">
        <v>8</v>
      </c>
    </row>
    <row r="8570" spans="11:13" x14ac:dyDescent="0.25">
      <c r="K8570" s="26" t="s">
        <v>109</v>
      </c>
      <c r="L8570" s="27" t="s">
        <v>118</v>
      </c>
      <c r="M8570" s="10">
        <v>23.105360443622921</v>
      </c>
    </row>
    <row r="8571" spans="11:13" x14ac:dyDescent="0.25">
      <c r="K8571" s="26" t="s">
        <v>109</v>
      </c>
      <c r="L8571" s="27" t="s">
        <v>119</v>
      </c>
      <c r="M8571" s="10">
        <v>26.186075169439309</v>
      </c>
    </row>
    <row r="8572" spans="11:13" x14ac:dyDescent="0.25">
      <c r="K8572" s="26" t="s">
        <v>111</v>
      </c>
      <c r="L8572" s="27" t="s">
        <v>115</v>
      </c>
      <c r="M8572" s="10">
        <v>115.16415828161914</v>
      </c>
    </row>
    <row r="8573" spans="11:13" x14ac:dyDescent="0.25">
      <c r="K8573" s="26" t="s">
        <v>110</v>
      </c>
      <c r="L8573" s="27" t="s">
        <v>116</v>
      </c>
      <c r="M8573" s="10">
        <v>103.41261633919338</v>
      </c>
    </row>
    <row r="8574" spans="11:13" x14ac:dyDescent="0.25">
      <c r="K8574" s="26" t="s">
        <v>111</v>
      </c>
      <c r="L8574" s="27" t="s">
        <v>117</v>
      </c>
      <c r="M8574" s="10">
        <v>110.22927689594357</v>
      </c>
    </row>
    <row r="8575" spans="11:13" x14ac:dyDescent="0.25">
      <c r="K8575" s="26" t="s">
        <v>110</v>
      </c>
      <c r="L8575" s="27" t="s">
        <v>118</v>
      </c>
      <c r="M8575" s="10">
        <v>370.64492216456637</v>
      </c>
    </row>
    <row r="8576" spans="11:13" x14ac:dyDescent="0.25">
      <c r="K8576" s="26" t="s">
        <v>110</v>
      </c>
      <c r="L8576" s="27" t="s">
        <v>119</v>
      </c>
      <c r="M8576" s="10">
        <v>77.017868145409736</v>
      </c>
    </row>
    <row r="8577" spans="11:13" x14ac:dyDescent="0.25">
      <c r="K8577" s="26" t="s">
        <v>109</v>
      </c>
      <c r="L8577" s="27" t="s">
        <v>115</v>
      </c>
      <c r="M8577" s="10">
        <v>385.08934072704869</v>
      </c>
    </row>
    <row r="8578" spans="11:13" x14ac:dyDescent="0.25">
      <c r="K8578" s="26" t="s">
        <v>111</v>
      </c>
      <c r="L8578" s="27" t="s">
        <v>116</v>
      </c>
      <c r="M8578" s="10">
        <v>385.08934072704869</v>
      </c>
    </row>
    <row r="8579" spans="11:13" x14ac:dyDescent="0.25">
      <c r="K8579" s="26" t="s">
        <v>112</v>
      </c>
      <c r="L8579" s="27" t="s">
        <v>117</v>
      </c>
      <c r="M8579" s="10">
        <v>1203.6591237361581</v>
      </c>
    </row>
    <row r="8580" spans="11:13" x14ac:dyDescent="0.25">
      <c r="K8580" s="26" t="s">
        <v>111</v>
      </c>
      <c r="L8580" s="27" t="s">
        <v>118</v>
      </c>
      <c r="M8580" s="10">
        <v>385.08934072704869</v>
      </c>
    </row>
    <row r="8581" spans="11:13" x14ac:dyDescent="0.25">
      <c r="K8581" s="26" t="s">
        <v>112</v>
      </c>
      <c r="L8581" s="27" t="s">
        <v>119</v>
      </c>
      <c r="M8581" s="10">
        <v>385.08934072704869</v>
      </c>
    </row>
    <row r="8582" spans="11:13" x14ac:dyDescent="0.25">
      <c r="K8582" s="26" t="s">
        <v>111</v>
      </c>
      <c r="L8582" s="27" t="s">
        <v>115</v>
      </c>
      <c r="M8582" s="10">
        <v>64.24010381200776</v>
      </c>
    </row>
    <row r="8583" spans="11:13" x14ac:dyDescent="0.25">
      <c r="K8583" s="26" t="s">
        <v>111</v>
      </c>
      <c r="L8583" s="27" t="s">
        <v>116</v>
      </c>
      <c r="M8583" s="10">
        <v>635.3912951392565</v>
      </c>
    </row>
    <row r="8584" spans="11:13" x14ac:dyDescent="0.25">
      <c r="K8584" s="26" t="s">
        <v>111</v>
      </c>
      <c r="L8584" s="27" t="s">
        <v>117</v>
      </c>
      <c r="M8584" s="10">
        <v>1203.6591237361581</v>
      </c>
    </row>
    <row r="8585" spans="11:13" x14ac:dyDescent="0.25">
      <c r="K8585" s="26" t="s">
        <v>111</v>
      </c>
      <c r="L8585" s="27" t="s">
        <v>118</v>
      </c>
      <c r="M8585" s="10">
        <v>500</v>
      </c>
    </row>
    <row r="8586" spans="11:13" x14ac:dyDescent="0.25">
      <c r="K8586" s="26" t="s">
        <v>112</v>
      </c>
      <c r="L8586" s="27" t="s">
        <v>119</v>
      </c>
      <c r="M8586" s="10">
        <v>400</v>
      </c>
    </row>
    <row r="8587" spans="11:13" x14ac:dyDescent="0.25">
      <c r="K8587" s="26" t="s">
        <v>112</v>
      </c>
      <c r="L8587" s="27" t="s">
        <v>115</v>
      </c>
      <c r="M8587" s="10">
        <v>200</v>
      </c>
    </row>
    <row r="8588" spans="11:13" x14ac:dyDescent="0.25">
      <c r="K8588" s="26" t="s">
        <v>111</v>
      </c>
      <c r="L8588" s="27" t="s">
        <v>116</v>
      </c>
      <c r="M8588" s="10">
        <v>2106.4778774029878</v>
      </c>
    </row>
    <row r="8589" spans="11:13" x14ac:dyDescent="0.25">
      <c r="K8589" s="26" t="s">
        <v>112</v>
      </c>
      <c r="L8589" s="27" t="s">
        <v>117</v>
      </c>
      <c r="M8589" s="10">
        <v>549.51596801817072</v>
      </c>
    </row>
    <row r="8590" spans="11:13" x14ac:dyDescent="0.25">
      <c r="K8590" s="26" t="s">
        <v>110</v>
      </c>
      <c r="L8590" s="27" t="s">
        <v>118</v>
      </c>
      <c r="M8590" s="10">
        <v>366.3439786787805</v>
      </c>
    </row>
    <row r="8591" spans="11:13" x14ac:dyDescent="0.25">
      <c r="K8591" s="26" t="s">
        <v>110</v>
      </c>
      <c r="L8591" s="27" t="s">
        <v>119</v>
      </c>
      <c r="M8591" s="10">
        <v>531.19876908423169</v>
      </c>
    </row>
    <row r="8592" spans="11:13" x14ac:dyDescent="0.25">
      <c r="K8592" s="26" t="s">
        <v>110</v>
      </c>
      <c r="L8592" s="27" t="s">
        <v>115</v>
      </c>
      <c r="M8592" s="10">
        <v>366.3439786787805</v>
      </c>
    </row>
    <row r="8593" spans="11:13" x14ac:dyDescent="0.25">
      <c r="K8593" s="26" t="s">
        <v>110</v>
      </c>
      <c r="L8593" s="27" t="s">
        <v>116</v>
      </c>
      <c r="M8593" s="10">
        <v>233.13245999999998</v>
      </c>
    </row>
    <row r="8594" spans="11:13" x14ac:dyDescent="0.25">
      <c r="K8594" s="26" t="s">
        <v>110</v>
      </c>
      <c r="L8594" s="27" t="s">
        <v>117</v>
      </c>
      <c r="M8594" s="10">
        <v>330.68783068783068</v>
      </c>
    </row>
    <row r="8595" spans="11:13" x14ac:dyDescent="0.25">
      <c r="K8595" s="26" t="s">
        <v>110</v>
      </c>
      <c r="L8595" s="27" t="s">
        <v>118</v>
      </c>
      <c r="M8595" s="10">
        <v>600</v>
      </c>
    </row>
    <row r="8596" spans="11:13" x14ac:dyDescent="0.25">
      <c r="K8596" s="26" t="s">
        <v>111</v>
      </c>
      <c r="L8596" s="27" t="s">
        <v>119</v>
      </c>
      <c r="M8596" s="10">
        <v>600</v>
      </c>
    </row>
    <row r="8597" spans="11:13" x14ac:dyDescent="0.25">
      <c r="K8597" s="26" t="s">
        <v>111</v>
      </c>
      <c r="L8597" s="27" t="s">
        <v>115</v>
      </c>
      <c r="M8597" s="10">
        <v>330.68783068783068</v>
      </c>
    </row>
    <row r="8598" spans="11:13" x14ac:dyDescent="0.25">
      <c r="K8598" s="26" t="s">
        <v>111</v>
      </c>
      <c r="L8598" s="27" t="s">
        <v>116</v>
      </c>
      <c r="M8598" s="10">
        <v>658.08090446639505</v>
      </c>
    </row>
    <row r="8599" spans="11:13" x14ac:dyDescent="0.25">
      <c r="K8599" s="26" t="s">
        <v>111</v>
      </c>
      <c r="L8599" s="27" t="s">
        <v>117</v>
      </c>
      <c r="M8599" s="10">
        <v>549.51596801817072</v>
      </c>
    </row>
    <row r="8600" spans="11:13" x14ac:dyDescent="0.25">
      <c r="K8600" s="26" t="s">
        <v>111</v>
      </c>
      <c r="L8600" s="27" t="s">
        <v>118</v>
      </c>
      <c r="M8600" s="10">
        <v>29.266789895255702</v>
      </c>
    </row>
    <row r="8601" spans="11:13" x14ac:dyDescent="0.25">
      <c r="K8601" s="26" t="s">
        <v>111</v>
      </c>
      <c r="L8601" s="27" t="s">
        <v>119</v>
      </c>
      <c r="M8601" s="10">
        <v>15.884782378481413</v>
      </c>
    </row>
    <row r="8602" spans="11:13" x14ac:dyDescent="0.25">
      <c r="K8602" s="26" t="s">
        <v>111</v>
      </c>
      <c r="L8602" s="27" t="s">
        <v>115</v>
      </c>
      <c r="M8602" s="10">
        <v>17.636684303350968</v>
      </c>
    </row>
    <row r="8603" spans="11:13" x14ac:dyDescent="0.25">
      <c r="K8603" s="26" t="s">
        <v>111</v>
      </c>
      <c r="L8603" s="27" t="s">
        <v>116</v>
      </c>
      <c r="M8603" s="10">
        <v>5.0705467372134034</v>
      </c>
    </row>
    <row r="8604" spans="11:13" x14ac:dyDescent="0.25">
      <c r="K8604" s="26" t="s">
        <v>111</v>
      </c>
      <c r="L8604" s="27" t="s">
        <v>117</v>
      </c>
      <c r="M8604" s="10">
        <v>33.06878306878307</v>
      </c>
    </row>
    <row r="8605" spans="11:13" x14ac:dyDescent="0.25">
      <c r="K8605" s="26" t="s">
        <v>111</v>
      </c>
      <c r="L8605" s="27" t="s">
        <v>118</v>
      </c>
      <c r="M8605" s="10">
        <v>8.4718839351900872</v>
      </c>
    </row>
    <row r="8606" spans="11:13" x14ac:dyDescent="0.25">
      <c r="K8606" s="26" t="s">
        <v>111</v>
      </c>
      <c r="L8606" s="27" t="s">
        <v>119</v>
      </c>
      <c r="M8606" s="10">
        <v>7.9423911892407064</v>
      </c>
    </row>
    <row r="8607" spans="11:13" x14ac:dyDescent="0.25">
      <c r="K8607" s="26" t="s">
        <v>111</v>
      </c>
      <c r="L8607" s="27" t="s">
        <v>115</v>
      </c>
      <c r="M8607" s="10">
        <v>352.73368606701939</v>
      </c>
    </row>
    <row r="8608" spans="11:13" x14ac:dyDescent="0.25">
      <c r="K8608" s="26" t="s">
        <v>112</v>
      </c>
      <c r="L8608" s="27" t="s">
        <v>116</v>
      </c>
      <c r="M8608" s="10">
        <v>8.2600868368103342</v>
      </c>
    </row>
    <row r="8609" spans="11:13" x14ac:dyDescent="0.25">
      <c r="K8609" s="26" t="s">
        <v>112</v>
      </c>
      <c r="L8609" s="27" t="s">
        <v>117</v>
      </c>
      <c r="M8609" s="10">
        <v>22.045855379188712</v>
      </c>
    </row>
    <row r="8610" spans="11:13" x14ac:dyDescent="0.25">
      <c r="K8610" s="26" t="s">
        <v>114</v>
      </c>
      <c r="L8610" s="27" t="s">
        <v>118</v>
      </c>
      <c r="M8610" s="10">
        <v>750</v>
      </c>
    </row>
    <row r="8611" spans="11:13" x14ac:dyDescent="0.25">
      <c r="K8611" s="26" t="s">
        <v>114</v>
      </c>
      <c r="L8611" s="27" t="s">
        <v>119</v>
      </c>
      <c r="M8611" s="10">
        <v>8.1955204913692672</v>
      </c>
    </row>
    <row r="8612" spans="11:13" x14ac:dyDescent="0.25">
      <c r="K8612" s="26" t="s">
        <v>111</v>
      </c>
      <c r="L8612" s="27" t="s">
        <v>115</v>
      </c>
      <c r="M8612" s="10">
        <v>3.8544062287204657</v>
      </c>
    </row>
    <row r="8613" spans="11:13" x14ac:dyDescent="0.25">
      <c r="K8613" s="26" t="s">
        <v>111</v>
      </c>
      <c r="L8613" s="27" t="s">
        <v>116</v>
      </c>
      <c r="M8613" s="10">
        <v>14.5</v>
      </c>
    </row>
    <row r="8614" spans="11:13" x14ac:dyDescent="0.25">
      <c r="K8614" s="26" t="s">
        <v>111</v>
      </c>
      <c r="L8614" s="27" t="s">
        <v>117</v>
      </c>
      <c r="M8614" s="10">
        <v>105.89854918987609</v>
      </c>
    </row>
    <row r="8615" spans="11:13" x14ac:dyDescent="0.25">
      <c r="K8615" s="26" t="s">
        <v>111</v>
      </c>
      <c r="L8615" s="27" t="s">
        <v>118</v>
      </c>
      <c r="M8615" s="10">
        <v>61.614294516327789</v>
      </c>
    </row>
    <row r="8616" spans="11:13" x14ac:dyDescent="0.25">
      <c r="K8616" s="26" t="s">
        <v>111</v>
      </c>
      <c r="L8616" s="27" t="s">
        <v>119</v>
      </c>
      <c r="M8616" s="10">
        <v>61.614294516327789</v>
      </c>
    </row>
    <row r="8617" spans="11:13" x14ac:dyDescent="0.25">
      <c r="K8617" s="26" t="s">
        <v>111</v>
      </c>
      <c r="L8617" s="27" t="s">
        <v>115</v>
      </c>
      <c r="M8617" s="10">
        <v>23.105360443622921</v>
      </c>
    </row>
    <row r="8618" spans="11:13" x14ac:dyDescent="0.25">
      <c r="K8618" s="26" t="s">
        <v>111</v>
      </c>
      <c r="L8618" s="27" t="s">
        <v>116</v>
      </c>
      <c r="M8618" s="10">
        <v>1078.2501540357364</v>
      </c>
    </row>
    <row r="8619" spans="11:13" x14ac:dyDescent="0.25">
      <c r="K8619" s="26" t="s">
        <v>111</v>
      </c>
      <c r="L8619" s="27" t="s">
        <v>117</v>
      </c>
      <c r="M8619" s="10">
        <v>92.421441774491683</v>
      </c>
    </row>
    <row r="8620" spans="11:13" x14ac:dyDescent="0.25">
      <c r="K8620" s="26" t="s">
        <v>111</v>
      </c>
      <c r="L8620" s="27" t="s">
        <v>118</v>
      </c>
      <c r="M8620" s="10">
        <v>107.82501540357363</v>
      </c>
    </row>
    <row r="8621" spans="11:13" x14ac:dyDescent="0.25">
      <c r="K8621" s="26" t="s">
        <v>111</v>
      </c>
      <c r="L8621" s="27" t="s">
        <v>119</v>
      </c>
      <c r="M8621" s="10">
        <v>107.82501540357363</v>
      </c>
    </row>
    <row r="8622" spans="11:13" x14ac:dyDescent="0.25">
      <c r="K8622" s="26" t="s">
        <v>110</v>
      </c>
      <c r="L8622" s="27" t="s">
        <v>115</v>
      </c>
      <c r="M8622" s="10">
        <v>115.16415828161914</v>
      </c>
    </row>
    <row r="8623" spans="11:13" x14ac:dyDescent="0.25">
      <c r="K8623" s="26" t="s">
        <v>111</v>
      </c>
      <c r="L8623" s="27" t="s">
        <v>116</v>
      </c>
      <c r="M8623" s="10">
        <v>77.017868145409736</v>
      </c>
    </row>
    <row r="8624" spans="11:13" x14ac:dyDescent="0.25">
      <c r="K8624" s="26" t="s">
        <v>110</v>
      </c>
      <c r="L8624" s="27" t="s">
        <v>117</v>
      </c>
      <c r="M8624" s="10">
        <v>24.645717806531117</v>
      </c>
    </row>
    <row r="8625" spans="11:13" x14ac:dyDescent="0.25">
      <c r="K8625" s="26" t="s">
        <v>110</v>
      </c>
      <c r="L8625" s="27" t="s">
        <v>118</v>
      </c>
      <c r="M8625" s="10">
        <v>21.179709837975221</v>
      </c>
    </row>
    <row r="8626" spans="11:13" x14ac:dyDescent="0.25">
      <c r="K8626" s="26" t="s">
        <v>110</v>
      </c>
      <c r="L8626" s="27" t="s">
        <v>119</v>
      </c>
      <c r="M8626" s="10">
        <v>39.682539682539684</v>
      </c>
    </row>
    <row r="8627" spans="11:13" x14ac:dyDescent="0.25">
      <c r="K8627" s="26" t="s">
        <v>110</v>
      </c>
      <c r="L8627" s="27" t="s">
        <v>115</v>
      </c>
      <c r="M8627" s="10">
        <v>77.017868145409736</v>
      </c>
    </row>
    <row r="8628" spans="11:13" x14ac:dyDescent="0.25">
      <c r="K8628" s="26" t="s">
        <v>110</v>
      </c>
      <c r="L8628" s="27" t="s">
        <v>116</v>
      </c>
      <c r="M8628" s="10">
        <v>64.110196268786581</v>
      </c>
    </row>
    <row r="8629" spans="11:13" x14ac:dyDescent="0.25">
      <c r="K8629" s="26" t="s">
        <v>110</v>
      </c>
      <c r="L8629" s="27" t="s">
        <v>117</v>
      </c>
      <c r="M8629" s="10">
        <v>21.179709837975221</v>
      </c>
    </row>
    <row r="8630" spans="11:13" x14ac:dyDescent="0.25">
      <c r="K8630" s="26" t="s">
        <v>110</v>
      </c>
      <c r="L8630" s="27" t="s">
        <v>118</v>
      </c>
      <c r="M8630" s="10">
        <v>65.178425941013529</v>
      </c>
    </row>
    <row r="8631" spans="11:13" x14ac:dyDescent="0.25">
      <c r="K8631" s="26" t="s">
        <v>114</v>
      </c>
      <c r="L8631" s="27" t="s">
        <v>119</v>
      </c>
      <c r="M8631" s="10">
        <v>293.30291673456088</v>
      </c>
    </row>
    <row r="8632" spans="11:13" x14ac:dyDescent="0.25">
      <c r="K8632" s="26" t="s">
        <v>110</v>
      </c>
      <c r="L8632" s="27" t="s">
        <v>115</v>
      </c>
      <c r="M8632" s="10">
        <v>30.807147258163894</v>
      </c>
    </row>
    <row r="8633" spans="11:13" x14ac:dyDescent="0.25">
      <c r="K8633" s="26" t="s">
        <v>111</v>
      </c>
      <c r="L8633" s="27" t="s">
        <v>116</v>
      </c>
      <c r="M8633" s="10">
        <v>23.105360443622921</v>
      </c>
    </row>
    <row r="8634" spans="11:13" x14ac:dyDescent="0.25">
      <c r="K8634" s="26" t="s">
        <v>110</v>
      </c>
      <c r="L8634" s="27" t="s">
        <v>117</v>
      </c>
      <c r="M8634" s="10">
        <v>30.807147258163894</v>
      </c>
    </row>
    <row r="8635" spans="11:13" x14ac:dyDescent="0.25">
      <c r="K8635" s="26" t="s">
        <v>110</v>
      </c>
      <c r="L8635" s="27" t="s">
        <v>118</v>
      </c>
      <c r="M8635" s="10">
        <v>20.257677659833075</v>
      </c>
    </row>
    <row r="8636" spans="11:13" x14ac:dyDescent="0.25">
      <c r="K8636" s="26" t="s">
        <v>111</v>
      </c>
      <c r="L8636" s="27" t="s">
        <v>119</v>
      </c>
      <c r="M8636" s="10">
        <v>70.664114193208547</v>
      </c>
    </row>
    <row r="8637" spans="11:13" x14ac:dyDescent="0.25">
      <c r="K8637" s="26" t="s">
        <v>113</v>
      </c>
      <c r="L8637" s="27" t="s">
        <v>115</v>
      </c>
      <c r="M8637" s="10">
        <v>30.807147258163894</v>
      </c>
    </row>
    <row r="8638" spans="11:13" x14ac:dyDescent="0.25">
      <c r="K8638" s="26" t="s">
        <v>110</v>
      </c>
      <c r="L8638" s="27" t="s">
        <v>116</v>
      </c>
      <c r="M8638" s="10">
        <v>18.317198933939025</v>
      </c>
    </row>
    <row r="8639" spans="11:13" x14ac:dyDescent="0.25">
      <c r="K8639" s="26" t="s">
        <v>110</v>
      </c>
      <c r="L8639" s="27" t="s">
        <v>117</v>
      </c>
      <c r="M8639" s="10">
        <v>283.60748723766307</v>
      </c>
    </row>
    <row r="8640" spans="11:13" x14ac:dyDescent="0.25">
      <c r="K8640" s="26" t="s">
        <v>110</v>
      </c>
      <c r="L8640" s="27" t="s">
        <v>118</v>
      </c>
      <c r="M8640" s="10">
        <v>419.94726000000003</v>
      </c>
    </row>
    <row r="8641" spans="11:13" x14ac:dyDescent="0.25">
      <c r="K8641" s="26" t="s">
        <v>110</v>
      </c>
      <c r="L8641" s="27" t="s">
        <v>119</v>
      </c>
      <c r="M8641" s="10">
        <v>183.17198933939025</v>
      </c>
    </row>
    <row r="8642" spans="11:13" x14ac:dyDescent="0.25">
      <c r="K8642" s="26" t="s">
        <v>113</v>
      </c>
      <c r="L8642" s="27" t="s">
        <v>115</v>
      </c>
      <c r="M8642" s="10">
        <v>77.017868145409736</v>
      </c>
    </row>
    <row r="8643" spans="11:13" x14ac:dyDescent="0.25">
      <c r="K8643" s="26" t="s">
        <v>113</v>
      </c>
      <c r="L8643" s="27" t="s">
        <v>116</v>
      </c>
      <c r="M8643" s="10">
        <v>16.294606485253382</v>
      </c>
    </row>
    <row r="8644" spans="11:13" x14ac:dyDescent="0.25">
      <c r="K8644" s="26" t="s">
        <v>113</v>
      </c>
      <c r="L8644" s="27" t="s">
        <v>117</v>
      </c>
      <c r="M8644" s="10">
        <v>123.22858903265558</v>
      </c>
    </row>
    <row r="8645" spans="11:13" x14ac:dyDescent="0.25">
      <c r="K8645" s="26" t="s">
        <v>113</v>
      </c>
      <c r="L8645" s="27" t="s">
        <v>118</v>
      </c>
      <c r="M8645" s="10">
        <v>105.89854918987609</v>
      </c>
    </row>
    <row r="8646" spans="11:13" x14ac:dyDescent="0.25">
      <c r="K8646" s="26" t="s">
        <v>110</v>
      </c>
      <c r="L8646" s="27" t="s">
        <v>119</v>
      </c>
      <c r="M8646" s="10">
        <v>152.46348900658001</v>
      </c>
    </row>
    <row r="8647" spans="11:13" x14ac:dyDescent="0.25">
      <c r="K8647" s="26" t="s">
        <v>110</v>
      </c>
      <c r="L8647" s="27" t="s">
        <v>115</v>
      </c>
      <c r="M8647" s="10">
        <v>215.25175167019717</v>
      </c>
    </row>
    <row r="8648" spans="11:13" x14ac:dyDescent="0.25">
      <c r="K8648" s="26" t="s">
        <v>110</v>
      </c>
      <c r="L8648" s="27" t="s">
        <v>116</v>
      </c>
      <c r="M8648" s="10">
        <v>45.792997334847563</v>
      </c>
    </row>
    <row r="8649" spans="11:13" x14ac:dyDescent="0.25">
      <c r="K8649" s="26" t="s">
        <v>110</v>
      </c>
      <c r="L8649" s="27" t="s">
        <v>117</v>
      </c>
      <c r="M8649" s="10">
        <v>10.782501540357364</v>
      </c>
    </row>
    <row r="8650" spans="11:13" x14ac:dyDescent="0.25">
      <c r="K8650" s="26" t="s">
        <v>110</v>
      </c>
      <c r="L8650" s="27" t="s">
        <v>118</v>
      </c>
      <c r="M8650" s="10">
        <v>26.323236178655804</v>
      </c>
    </row>
    <row r="8651" spans="11:13" x14ac:dyDescent="0.25">
      <c r="K8651" s="26" t="s">
        <v>111</v>
      </c>
      <c r="L8651" s="27" t="s">
        <v>119</v>
      </c>
      <c r="M8651" s="10">
        <v>13.161618089327902</v>
      </c>
    </row>
    <row r="8652" spans="11:13" x14ac:dyDescent="0.25">
      <c r="K8652" s="26" t="s">
        <v>110</v>
      </c>
      <c r="L8652" s="27" t="s">
        <v>115</v>
      </c>
      <c r="M8652" s="10">
        <v>56.170759107687374</v>
      </c>
    </row>
    <row r="8653" spans="11:13" x14ac:dyDescent="0.25">
      <c r="K8653" s="26" t="s">
        <v>113</v>
      </c>
      <c r="L8653" s="27" t="s">
        <v>116</v>
      </c>
      <c r="M8653" s="10">
        <v>40.357362908194702</v>
      </c>
    </row>
    <row r="8654" spans="11:13" x14ac:dyDescent="0.25">
      <c r="K8654" s="26" t="s">
        <v>110</v>
      </c>
      <c r="L8654" s="27" t="s">
        <v>117</v>
      </c>
      <c r="M8654" s="10">
        <v>17.416225749559082</v>
      </c>
    </row>
    <row r="8655" spans="11:13" x14ac:dyDescent="0.25">
      <c r="K8655" s="26" t="s">
        <v>110</v>
      </c>
      <c r="L8655" s="27" t="s">
        <v>118</v>
      </c>
      <c r="M8655" s="10">
        <v>27.475798400908538</v>
      </c>
    </row>
    <row r="8656" spans="11:13" x14ac:dyDescent="0.25">
      <c r="K8656" s="26" t="s">
        <v>110</v>
      </c>
      <c r="L8656" s="27" t="s">
        <v>119</v>
      </c>
      <c r="M8656" s="10">
        <v>19.27203114360233</v>
      </c>
    </row>
    <row r="8657" spans="11:13" x14ac:dyDescent="0.25">
      <c r="K8657" s="26" t="s">
        <v>110</v>
      </c>
      <c r="L8657" s="27" t="s">
        <v>115</v>
      </c>
      <c r="M8657" s="10">
        <v>92.421441774491683</v>
      </c>
    </row>
    <row r="8658" spans="11:13" x14ac:dyDescent="0.25">
      <c r="K8658" s="26" t="s">
        <v>110</v>
      </c>
      <c r="L8658" s="27" t="s">
        <v>116</v>
      </c>
      <c r="M8658" s="10">
        <v>69.316081330868769</v>
      </c>
    </row>
    <row r="8659" spans="11:13" x14ac:dyDescent="0.25">
      <c r="K8659" s="26" t="s">
        <v>110</v>
      </c>
      <c r="L8659" s="27" t="s">
        <v>117</v>
      </c>
      <c r="M8659" s="10">
        <v>40</v>
      </c>
    </row>
    <row r="8660" spans="11:13" x14ac:dyDescent="0.25">
      <c r="K8660" s="26" t="s">
        <v>113</v>
      </c>
      <c r="L8660" s="27" t="s">
        <v>118</v>
      </c>
      <c r="M8660" s="10">
        <v>107.82501540357363</v>
      </c>
    </row>
    <row r="8661" spans="11:13" x14ac:dyDescent="0.25">
      <c r="K8661" s="26" t="s">
        <v>113</v>
      </c>
      <c r="L8661" s="27" t="s">
        <v>119</v>
      </c>
      <c r="M8661" s="10">
        <v>85.174975042816456</v>
      </c>
    </row>
    <row r="8662" spans="11:13" x14ac:dyDescent="0.25">
      <c r="K8662" s="26" t="s">
        <v>113</v>
      </c>
      <c r="L8662" s="27" t="s">
        <v>115</v>
      </c>
      <c r="M8662" s="10">
        <v>91.585994669695125</v>
      </c>
    </row>
    <row r="8663" spans="11:13" x14ac:dyDescent="0.25">
      <c r="K8663" s="26" t="s">
        <v>113</v>
      </c>
      <c r="L8663" s="27" t="s">
        <v>116</v>
      </c>
      <c r="M8663" s="10">
        <v>95.556512019323435</v>
      </c>
    </row>
    <row r="8664" spans="11:13" x14ac:dyDescent="0.25">
      <c r="K8664" s="26" t="s">
        <v>111</v>
      </c>
      <c r="L8664" s="27" t="s">
        <v>117</v>
      </c>
      <c r="M8664" s="10">
        <v>2.3105360443622922E-2</v>
      </c>
    </row>
    <row r="8665" spans="11:13" x14ac:dyDescent="0.25">
      <c r="K8665" s="26" t="s">
        <v>111</v>
      </c>
      <c r="L8665" s="27" t="s">
        <v>118</v>
      </c>
      <c r="M8665" s="10">
        <v>49.356067834979626</v>
      </c>
    </row>
    <row r="8666" spans="11:13" x14ac:dyDescent="0.25">
      <c r="K8666" s="26" t="s">
        <v>111</v>
      </c>
      <c r="L8666" s="27" t="s">
        <v>119</v>
      </c>
      <c r="M8666" s="10">
        <v>146.65145836728044</v>
      </c>
    </row>
    <row r="8667" spans="11:13" x14ac:dyDescent="0.25">
      <c r="K8667" s="26" t="s">
        <v>111</v>
      </c>
      <c r="L8667" s="27" t="s">
        <v>115</v>
      </c>
      <c r="M8667" s="10">
        <v>60</v>
      </c>
    </row>
    <row r="8668" spans="11:13" x14ac:dyDescent="0.25">
      <c r="K8668" s="26" t="s">
        <v>111</v>
      </c>
      <c r="L8668" s="27" t="s">
        <v>116</v>
      </c>
      <c r="M8668" s="10">
        <v>261.86075169439312</v>
      </c>
    </row>
    <row r="8669" spans="11:13" x14ac:dyDescent="0.25">
      <c r="K8669" s="26" t="s">
        <v>111</v>
      </c>
      <c r="L8669" s="27" t="s">
        <v>117</v>
      </c>
      <c r="M8669" s="10">
        <v>69.316081330868769</v>
      </c>
    </row>
    <row r="8670" spans="11:13" x14ac:dyDescent="0.25">
      <c r="K8670" s="26" t="s">
        <v>110</v>
      </c>
      <c r="L8670" s="27" t="s">
        <v>118</v>
      </c>
      <c r="M8670" s="10">
        <v>23.105360443622921</v>
      </c>
    </row>
    <row r="8671" spans="11:13" x14ac:dyDescent="0.25">
      <c r="K8671" s="26" t="s">
        <v>110</v>
      </c>
      <c r="L8671" s="27" t="s">
        <v>119</v>
      </c>
      <c r="M8671" s="10">
        <v>14.443909484833895</v>
      </c>
    </row>
    <row r="8672" spans="11:13" x14ac:dyDescent="0.25">
      <c r="K8672" s="26" t="s">
        <v>110</v>
      </c>
      <c r="L8672" s="27" t="s">
        <v>115</v>
      </c>
      <c r="M8672" s="10">
        <v>38.508934072704868</v>
      </c>
    </row>
    <row r="8673" spans="11:13" x14ac:dyDescent="0.25">
      <c r="K8673" s="26" t="s">
        <v>110</v>
      </c>
      <c r="L8673" s="27" t="s">
        <v>116</v>
      </c>
      <c r="M8673" s="10">
        <v>127.9508630731759</v>
      </c>
    </row>
    <row r="8674" spans="11:13" x14ac:dyDescent="0.25">
      <c r="K8674" s="26" t="s">
        <v>111</v>
      </c>
      <c r="L8674" s="27" t="s">
        <v>117</v>
      </c>
      <c r="M8674" s="10">
        <v>118.05570263687387</v>
      </c>
    </row>
    <row r="8675" spans="11:13" x14ac:dyDescent="0.25">
      <c r="K8675" s="26" t="s">
        <v>113</v>
      </c>
      <c r="L8675" s="27" t="s">
        <v>118</v>
      </c>
      <c r="M8675" s="10">
        <v>317.69564756962825</v>
      </c>
    </row>
    <row r="8676" spans="11:13" x14ac:dyDescent="0.25">
      <c r="K8676" s="26" t="s">
        <v>113</v>
      </c>
      <c r="L8676" s="27" t="s">
        <v>119</v>
      </c>
      <c r="M8676" s="10">
        <v>12</v>
      </c>
    </row>
    <row r="8677" spans="11:13" x14ac:dyDescent="0.25">
      <c r="K8677" s="26" t="s">
        <v>113</v>
      </c>
      <c r="L8677" s="27" t="s">
        <v>115</v>
      </c>
      <c r="M8677" s="10">
        <v>12</v>
      </c>
    </row>
    <row r="8678" spans="11:13" x14ac:dyDescent="0.25">
      <c r="K8678" s="26" t="s">
        <v>113</v>
      </c>
      <c r="L8678" s="27" t="s">
        <v>116</v>
      </c>
      <c r="M8678" s="10">
        <v>46.210720887245841</v>
      </c>
    </row>
    <row r="8679" spans="11:13" x14ac:dyDescent="0.25">
      <c r="K8679" s="26" t="s">
        <v>111</v>
      </c>
      <c r="L8679" s="27" t="s">
        <v>117</v>
      </c>
      <c r="M8679" s="10">
        <v>211.79709837975219</v>
      </c>
    </row>
    <row r="8680" spans="11:13" x14ac:dyDescent="0.25">
      <c r="K8680" s="26" t="s">
        <v>111</v>
      </c>
      <c r="L8680" s="27" t="s">
        <v>118</v>
      </c>
      <c r="M8680" s="10">
        <v>18.317198933939025</v>
      </c>
    </row>
    <row r="8681" spans="11:13" x14ac:dyDescent="0.25">
      <c r="K8681" s="26" t="s">
        <v>111</v>
      </c>
      <c r="L8681" s="27" t="s">
        <v>119</v>
      </c>
      <c r="M8681" s="10">
        <v>16.943930991990143</v>
      </c>
    </row>
    <row r="8682" spans="11:13" x14ac:dyDescent="0.25">
      <c r="K8682" s="26" t="s">
        <v>110</v>
      </c>
      <c r="L8682" s="27" t="s">
        <v>115</v>
      </c>
      <c r="M8682" s="10">
        <v>22.896498667423781</v>
      </c>
    </row>
    <row r="8683" spans="11:13" x14ac:dyDescent="0.25">
      <c r="K8683" s="26" t="s">
        <v>110</v>
      </c>
      <c r="L8683" s="27" t="s">
        <v>116</v>
      </c>
      <c r="M8683" s="10">
        <v>10.58985491898761</v>
      </c>
    </row>
    <row r="8684" spans="11:13" x14ac:dyDescent="0.25">
      <c r="K8684" s="26" t="s">
        <v>110</v>
      </c>
      <c r="L8684" s="27" t="s">
        <v>117</v>
      </c>
      <c r="M8684" s="10">
        <v>127.0782590278513</v>
      </c>
    </row>
    <row r="8685" spans="11:13" x14ac:dyDescent="0.25">
      <c r="K8685" s="26" t="s">
        <v>110</v>
      </c>
      <c r="L8685" s="27" t="s">
        <v>118</v>
      </c>
      <c r="M8685" s="10">
        <v>24.073182474723158</v>
      </c>
    </row>
    <row r="8686" spans="11:13" x14ac:dyDescent="0.25">
      <c r="K8686" s="26" t="s">
        <v>111</v>
      </c>
      <c r="L8686" s="27" t="s">
        <v>119</v>
      </c>
      <c r="M8686" s="10">
        <v>92.421441774491683</v>
      </c>
    </row>
    <row r="8687" spans="11:13" x14ac:dyDescent="0.25">
      <c r="K8687" s="26" t="s">
        <v>111</v>
      </c>
      <c r="L8687" s="27" t="s">
        <v>115</v>
      </c>
      <c r="M8687" s="10">
        <v>38.508934072704868</v>
      </c>
    </row>
    <row r="8688" spans="11:13" x14ac:dyDescent="0.25">
      <c r="K8688" s="26" t="s">
        <v>111</v>
      </c>
      <c r="L8688" s="27" t="s">
        <v>116</v>
      </c>
      <c r="M8688" s="10">
        <v>137.37899200454268</v>
      </c>
    </row>
    <row r="8689" spans="11:13" x14ac:dyDescent="0.25">
      <c r="K8689" s="26" t="s">
        <v>110</v>
      </c>
      <c r="L8689" s="27" t="s">
        <v>117</v>
      </c>
      <c r="M8689" s="10">
        <v>27.475798400908538</v>
      </c>
    </row>
    <row r="8690" spans="11:13" x14ac:dyDescent="0.25">
      <c r="K8690" s="26" t="s">
        <v>110</v>
      </c>
      <c r="L8690" s="27" t="s">
        <v>118</v>
      </c>
      <c r="M8690" s="10">
        <v>45.792997334847563</v>
      </c>
    </row>
    <row r="8691" spans="11:13" x14ac:dyDescent="0.25">
      <c r="K8691" s="26" t="s">
        <v>110</v>
      </c>
      <c r="L8691" s="27" t="s">
        <v>119</v>
      </c>
      <c r="M8691" s="10">
        <v>462.10720887245844</v>
      </c>
    </row>
    <row r="8692" spans="11:13" x14ac:dyDescent="0.25">
      <c r="K8692" s="26" t="s">
        <v>110</v>
      </c>
      <c r="L8692" s="27" t="s">
        <v>115</v>
      </c>
      <c r="M8692" s="10">
        <v>770.17868145409739</v>
      </c>
    </row>
    <row r="8693" spans="11:13" x14ac:dyDescent="0.25">
      <c r="K8693" s="26" t="s">
        <v>110</v>
      </c>
      <c r="L8693" s="27" t="s">
        <v>116</v>
      </c>
      <c r="M8693" s="10">
        <v>770.17868145409739</v>
      </c>
    </row>
    <row r="8694" spans="11:13" x14ac:dyDescent="0.25">
      <c r="K8694" s="26" t="s">
        <v>110</v>
      </c>
      <c r="L8694" s="27" t="s">
        <v>117</v>
      </c>
      <c r="M8694" s="10">
        <v>693.16081330868769</v>
      </c>
    </row>
    <row r="8695" spans="11:13" x14ac:dyDescent="0.25">
      <c r="K8695" s="26" t="s">
        <v>110</v>
      </c>
      <c r="L8695" s="27" t="s">
        <v>118</v>
      </c>
      <c r="M8695" s="10">
        <v>200</v>
      </c>
    </row>
    <row r="8696" spans="11:13" x14ac:dyDescent="0.25">
      <c r="K8696" s="26" t="s">
        <v>110</v>
      </c>
      <c r="L8696" s="27" t="s">
        <v>119</v>
      </c>
      <c r="M8696" s="10">
        <v>915.85994669695117</v>
      </c>
    </row>
    <row r="8697" spans="11:13" x14ac:dyDescent="0.25">
      <c r="K8697" s="26" t="s">
        <v>111</v>
      </c>
      <c r="L8697" s="27" t="s">
        <v>115</v>
      </c>
      <c r="M8697" s="10">
        <v>360</v>
      </c>
    </row>
    <row r="8698" spans="11:13" x14ac:dyDescent="0.25">
      <c r="K8698" s="26" t="s">
        <v>111</v>
      </c>
      <c r="L8698" s="27" t="s">
        <v>116</v>
      </c>
      <c r="M8698" s="10">
        <v>1771.4109673444241</v>
      </c>
    </row>
    <row r="8699" spans="11:13" x14ac:dyDescent="0.25">
      <c r="K8699" s="26" t="s">
        <v>111</v>
      </c>
      <c r="L8699" s="27" t="s">
        <v>117</v>
      </c>
      <c r="M8699" s="10">
        <v>1771.4109673444241</v>
      </c>
    </row>
    <row r="8700" spans="11:13" x14ac:dyDescent="0.25">
      <c r="K8700" s="26" t="s">
        <v>111</v>
      </c>
      <c r="L8700" s="27" t="s">
        <v>118</v>
      </c>
      <c r="M8700" s="10">
        <v>1771.4109673444241</v>
      </c>
    </row>
    <row r="8701" spans="11:13" x14ac:dyDescent="0.25">
      <c r="K8701" s="26" t="s">
        <v>111</v>
      </c>
      <c r="L8701" s="27" t="s">
        <v>119</v>
      </c>
      <c r="M8701" s="10">
        <v>38.508934072704868</v>
      </c>
    </row>
    <row r="8702" spans="11:13" x14ac:dyDescent="0.25">
      <c r="K8702" s="26" t="s">
        <v>111</v>
      </c>
      <c r="L8702" s="27" t="s">
        <v>115</v>
      </c>
      <c r="M8702" s="10">
        <v>38.508934072704868</v>
      </c>
    </row>
    <row r="8703" spans="11:13" x14ac:dyDescent="0.25">
      <c r="K8703" s="26" t="s">
        <v>112</v>
      </c>
      <c r="L8703" s="27" t="s">
        <v>116</v>
      </c>
      <c r="M8703" s="10">
        <v>77.017868145409736</v>
      </c>
    </row>
    <row r="8704" spans="11:13" x14ac:dyDescent="0.25">
      <c r="K8704" s="26" t="s">
        <v>110</v>
      </c>
      <c r="L8704" s="27" t="s">
        <v>117</v>
      </c>
      <c r="M8704" s="10">
        <v>15.403573629081947</v>
      </c>
    </row>
    <row r="8705" spans="11:13" x14ac:dyDescent="0.25">
      <c r="K8705" s="26" t="s">
        <v>112</v>
      </c>
      <c r="L8705" s="27" t="s">
        <v>118</v>
      </c>
      <c r="M8705" s="10">
        <v>274.75798400908536</v>
      </c>
    </row>
    <row r="8706" spans="11:13" x14ac:dyDescent="0.25">
      <c r="K8706" s="26" t="s">
        <v>110</v>
      </c>
      <c r="L8706" s="27" t="s">
        <v>119</v>
      </c>
      <c r="M8706" s="10">
        <v>38.54406228720466</v>
      </c>
    </row>
    <row r="8707" spans="11:13" x14ac:dyDescent="0.25">
      <c r="K8707" s="26" t="s">
        <v>109</v>
      </c>
      <c r="L8707" s="27" t="s">
        <v>115</v>
      </c>
      <c r="M8707" s="10">
        <v>14.132822838641708</v>
      </c>
    </row>
    <row r="8708" spans="11:13" x14ac:dyDescent="0.25">
      <c r="K8708" s="26" t="s">
        <v>109</v>
      </c>
      <c r="L8708" s="27" t="s">
        <v>116</v>
      </c>
      <c r="M8708" s="10">
        <v>38.508934072704868</v>
      </c>
    </row>
    <row r="8709" spans="11:13" x14ac:dyDescent="0.25">
      <c r="K8709" s="26" t="s">
        <v>113</v>
      </c>
      <c r="L8709" s="27" t="s">
        <v>117</v>
      </c>
      <c r="M8709" s="10">
        <v>25.696041524803107</v>
      </c>
    </row>
    <row r="8710" spans="11:13" x14ac:dyDescent="0.25">
      <c r="K8710" s="26" t="s">
        <v>112</v>
      </c>
      <c r="L8710" s="27" t="s">
        <v>118</v>
      </c>
      <c r="M8710" s="10">
        <v>95.308694270888495</v>
      </c>
    </row>
    <row r="8711" spans="11:13" x14ac:dyDescent="0.25">
      <c r="K8711" s="26" t="s">
        <v>112</v>
      </c>
      <c r="L8711" s="27" t="s">
        <v>119</v>
      </c>
      <c r="M8711" s="10">
        <v>12.848020762401553</v>
      </c>
    </row>
    <row r="8712" spans="11:13" x14ac:dyDescent="0.25">
      <c r="K8712" s="26" t="s">
        <v>113</v>
      </c>
      <c r="L8712" s="27" t="s">
        <v>115</v>
      </c>
      <c r="M8712" s="10">
        <v>317.69564756962825</v>
      </c>
    </row>
    <row r="8713" spans="11:13" x14ac:dyDescent="0.25">
      <c r="K8713" s="26" t="s">
        <v>113</v>
      </c>
      <c r="L8713" s="27" t="s">
        <v>116</v>
      </c>
      <c r="M8713" s="10">
        <v>102.54474213703273</v>
      </c>
    </row>
    <row r="8714" spans="11:13" x14ac:dyDescent="0.25">
      <c r="K8714" s="26" t="s">
        <v>111</v>
      </c>
      <c r="L8714" s="27" t="s">
        <v>117</v>
      </c>
      <c r="M8714" s="10">
        <v>13.737899200454269</v>
      </c>
    </row>
    <row r="8715" spans="11:13" x14ac:dyDescent="0.25">
      <c r="K8715" s="26" t="s">
        <v>111</v>
      </c>
      <c r="L8715" s="27" t="s">
        <v>118</v>
      </c>
      <c r="M8715" s="10">
        <v>13.035685188202706</v>
      </c>
    </row>
    <row r="8716" spans="11:13" x14ac:dyDescent="0.25">
      <c r="K8716" s="26" t="s">
        <v>111</v>
      </c>
      <c r="L8716" s="27" t="s">
        <v>119</v>
      </c>
      <c r="M8716" s="10">
        <v>18.317198933939025</v>
      </c>
    </row>
    <row r="8717" spans="11:13" x14ac:dyDescent="0.25">
      <c r="K8717" s="26" t="s">
        <v>110</v>
      </c>
      <c r="L8717" s="27" t="s">
        <v>115</v>
      </c>
      <c r="M8717" s="10">
        <v>23.105360443622921</v>
      </c>
    </row>
    <row r="8718" spans="11:13" x14ac:dyDescent="0.25">
      <c r="K8718" s="26" t="s">
        <v>110</v>
      </c>
      <c r="L8718" s="27" t="s">
        <v>116</v>
      </c>
      <c r="M8718" s="10">
        <v>82.427395202725606</v>
      </c>
    </row>
    <row r="8719" spans="11:13" x14ac:dyDescent="0.25">
      <c r="K8719" s="26" t="s">
        <v>110</v>
      </c>
      <c r="L8719" s="27" t="s">
        <v>117</v>
      </c>
      <c r="M8719" s="10">
        <v>27.475798400908538</v>
      </c>
    </row>
    <row r="8720" spans="11:13" x14ac:dyDescent="0.25">
      <c r="K8720" s="26" t="s">
        <v>110</v>
      </c>
      <c r="L8720" s="27" t="s">
        <v>118</v>
      </c>
      <c r="M8720" s="10">
        <v>77.017868145409736</v>
      </c>
    </row>
    <row r="8721" spans="11:13" x14ac:dyDescent="0.25">
      <c r="K8721" s="26" t="s">
        <v>110</v>
      </c>
      <c r="L8721" s="27" t="s">
        <v>119</v>
      </c>
      <c r="M8721" s="10">
        <v>123.22858903265558</v>
      </c>
    </row>
    <row r="8722" spans="11:13" x14ac:dyDescent="0.25">
      <c r="K8722" s="26" t="s">
        <v>110</v>
      </c>
      <c r="L8722" s="27" t="s">
        <v>115</v>
      </c>
      <c r="M8722" s="10">
        <v>51.890289103039287</v>
      </c>
    </row>
    <row r="8723" spans="11:13" x14ac:dyDescent="0.25">
      <c r="K8723" s="26" t="s">
        <v>110</v>
      </c>
      <c r="L8723" s="27" t="s">
        <v>116</v>
      </c>
      <c r="M8723" s="10">
        <v>53.912507701786815</v>
      </c>
    </row>
    <row r="8724" spans="11:13" x14ac:dyDescent="0.25">
      <c r="K8724" s="26" t="s">
        <v>111</v>
      </c>
      <c r="L8724" s="27" t="s">
        <v>117</v>
      </c>
      <c r="M8724" s="10">
        <v>27.726432532347506</v>
      </c>
    </row>
    <row r="8725" spans="11:13" x14ac:dyDescent="0.25">
      <c r="K8725" s="26" t="s">
        <v>110</v>
      </c>
      <c r="L8725" s="27" t="s">
        <v>118</v>
      </c>
      <c r="M8725" s="10">
        <v>80.243941582410528</v>
      </c>
    </row>
    <row r="8726" spans="11:13" x14ac:dyDescent="0.25">
      <c r="K8726" s="26" t="s">
        <v>111</v>
      </c>
      <c r="L8726" s="27" t="s">
        <v>119</v>
      </c>
      <c r="M8726" s="10">
        <v>30.807147258163894</v>
      </c>
    </row>
    <row r="8727" spans="11:13" x14ac:dyDescent="0.25">
      <c r="K8727" s="26" t="s">
        <v>110</v>
      </c>
      <c r="L8727" s="27" t="s">
        <v>115</v>
      </c>
      <c r="M8727" s="10">
        <v>92.421441774491683</v>
      </c>
    </row>
    <row r="8728" spans="11:13" x14ac:dyDescent="0.25">
      <c r="K8728" s="26" t="s">
        <v>110</v>
      </c>
      <c r="L8728" s="27" t="s">
        <v>116</v>
      </c>
      <c r="M8728" s="10">
        <v>154.03573629081947</v>
      </c>
    </row>
    <row r="8729" spans="11:13" x14ac:dyDescent="0.25">
      <c r="K8729" s="26" t="s">
        <v>110</v>
      </c>
      <c r="L8729" s="27" t="s">
        <v>117</v>
      </c>
      <c r="M8729" s="10">
        <v>92.421441774491683</v>
      </c>
    </row>
    <row r="8730" spans="11:13" x14ac:dyDescent="0.25">
      <c r="K8730" s="26" t="s">
        <v>109</v>
      </c>
      <c r="L8730" s="27" t="s">
        <v>118</v>
      </c>
      <c r="M8730" s="10">
        <v>68.941744226128904</v>
      </c>
    </row>
    <row r="8731" spans="11:13" x14ac:dyDescent="0.25">
      <c r="K8731" s="26" t="s">
        <v>109</v>
      </c>
      <c r="L8731" s="27" t="s">
        <v>119</v>
      </c>
      <c r="M8731" s="10">
        <v>105.89854918987609</v>
      </c>
    </row>
    <row r="8732" spans="11:13" x14ac:dyDescent="0.25">
      <c r="K8732" s="26" t="s">
        <v>111</v>
      </c>
      <c r="L8732" s="27" t="s">
        <v>115</v>
      </c>
      <c r="M8732" s="10">
        <v>54.951596801817075</v>
      </c>
    </row>
    <row r="8733" spans="11:13" x14ac:dyDescent="0.25">
      <c r="K8733" s="26" t="s">
        <v>111</v>
      </c>
      <c r="L8733" s="27" t="s">
        <v>116</v>
      </c>
      <c r="M8733" s="10">
        <v>96.292729898892631</v>
      </c>
    </row>
    <row r="8734" spans="11:13" x14ac:dyDescent="0.25">
      <c r="K8734" s="26" t="s">
        <v>111</v>
      </c>
      <c r="L8734" s="27" t="s">
        <v>117</v>
      </c>
      <c r="M8734" s="10">
        <v>52.669961915566006</v>
      </c>
    </row>
    <row r="8735" spans="11:13" x14ac:dyDescent="0.25">
      <c r="K8735" s="26" t="s">
        <v>111</v>
      </c>
      <c r="L8735" s="27" t="s">
        <v>118</v>
      </c>
      <c r="M8735" s="10">
        <v>85.174975042816456</v>
      </c>
    </row>
    <row r="8736" spans="11:13" x14ac:dyDescent="0.25">
      <c r="K8736" s="26" t="s">
        <v>111</v>
      </c>
      <c r="L8736" s="27" t="s">
        <v>119</v>
      </c>
      <c r="M8736" s="10">
        <v>190.61738854177699</v>
      </c>
    </row>
    <row r="8737" spans="11:13" x14ac:dyDescent="0.25">
      <c r="K8737" s="26" t="s">
        <v>111</v>
      </c>
      <c r="L8737" s="27" t="s">
        <v>115</v>
      </c>
      <c r="M8737" s="10">
        <v>184.84288354898337</v>
      </c>
    </row>
    <row r="8738" spans="11:13" x14ac:dyDescent="0.25">
      <c r="K8738" s="26" t="s">
        <v>111</v>
      </c>
      <c r="L8738" s="27" t="s">
        <v>116</v>
      </c>
      <c r="M8738" s="10">
        <v>105.89854918987609</v>
      </c>
    </row>
    <row r="8739" spans="11:13" x14ac:dyDescent="0.25">
      <c r="K8739" s="26" t="s">
        <v>111</v>
      </c>
      <c r="L8739" s="27" t="s">
        <v>117</v>
      </c>
      <c r="M8739" s="10">
        <v>46.210720887245841</v>
      </c>
    </row>
    <row r="8740" spans="11:13" x14ac:dyDescent="0.25">
      <c r="K8740" s="26" t="s">
        <v>111</v>
      </c>
      <c r="L8740" s="27" t="s">
        <v>118</v>
      </c>
      <c r="M8740" s="10">
        <v>21.179709837975221</v>
      </c>
    </row>
    <row r="8741" spans="11:13" x14ac:dyDescent="0.25">
      <c r="K8741" s="26" t="s">
        <v>110</v>
      </c>
      <c r="L8741" s="27" t="s">
        <v>119</v>
      </c>
      <c r="M8741" s="10">
        <v>61.614294516327789</v>
      </c>
    </row>
    <row r="8742" spans="11:13" x14ac:dyDescent="0.25">
      <c r="K8742" s="26" t="s">
        <v>110</v>
      </c>
      <c r="L8742" s="27" t="s">
        <v>115</v>
      </c>
      <c r="M8742" s="10">
        <v>82.427395202725606</v>
      </c>
    </row>
    <row r="8743" spans="11:13" x14ac:dyDescent="0.25">
      <c r="K8743" s="26" t="s">
        <v>110</v>
      </c>
      <c r="L8743" s="27" t="s">
        <v>116</v>
      </c>
      <c r="M8743" s="10">
        <v>53.912507701786815</v>
      </c>
    </row>
    <row r="8744" spans="11:13" x14ac:dyDescent="0.25">
      <c r="K8744" s="26" t="s">
        <v>110</v>
      </c>
      <c r="L8744" s="27" t="s">
        <v>117</v>
      </c>
      <c r="M8744" s="10">
        <v>45.792997334847563</v>
      </c>
    </row>
    <row r="8745" spans="11:13" x14ac:dyDescent="0.25">
      <c r="K8745" s="26" t="s">
        <v>110</v>
      </c>
      <c r="L8745" s="27" t="s">
        <v>118</v>
      </c>
      <c r="M8745" s="10">
        <v>51.706308169596689</v>
      </c>
    </row>
    <row r="8746" spans="11:13" x14ac:dyDescent="0.25">
      <c r="K8746" s="26" t="s">
        <v>110</v>
      </c>
      <c r="L8746" s="27" t="s">
        <v>119</v>
      </c>
      <c r="M8746" s="10">
        <v>34.470872113064452</v>
      </c>
    </row>
    <row r="8747" spans="11:13" x14ac:dyDescent="0.25">
      <c r="K8747" s="26" t="s">
        <v>110</v>
      </c>
      <c r="L8747" s="27" t="s">
        <v>115</v>
      </c>
      <c r="M8747" s="10">
        <v>41.58964879852126</v>
      </c>
    </row>
    <row r="8748" spans="11:13" x14ac:dyDescent="0.25">
      <c r="K8748" s="26" t="s">
        <v>110</v>
      </c>
      <c r="L8748" s="27" t="s">
        <v>116</v>
      </c>
      <c r="M8748" s="10">
        <v>36.63439786787805</v>
      </c>
    </row>
    <row r="8749" spans="11:13" x14ac:dyDescent="0.25">
      <c r="K8749" s="26" t="s">
        <v>113</v>
      </c>
      <c r="L8749" s="27" t="s">
        <v>117</v>
      </c>
      <c r="M8749" s="10">
        <v>254.15651805570261</v>
      </c>
    </row>
    <row r="8750" spans="11:13" x14ac:dyDescent="0.25">
      <c r="K8750" s="26" t="s">
        <v>113</v>
      </c>
      <c r="L8750" s="27" t="s">
        <v>118</v>
      </c>
      <c r="M8750" s="10">
        <v>128.22039253757316</v>
      </c>
    </row>
    <row r="8751" spans="11:13" x14ac:dyDescent="0.25">
      <c r="K8751" s="26" t="s">
        <v>113</v>
      </c>
      <c r="L8751" s="27" t="s">
        <v>119</v>
      </c>
      <c r="M8751" s="10">
        <v>40.049291435613064</v>
      </c>
    </row>
    <row r="8752" spans="11:13" x14ac:dyDescent="0.25">
      <c r="K8752" s="26" t="s">
        <v>110</v>
      </c>
      <c r="L8752" s="27" t="s">
        <v>115</v>
      </c>
      <c r="M8752" s="10">
        <v>73.2687957357561</v>
      </c>
    </row>
    <row r="8753" spans="11:13" x14ac:dyDescent="0.25">
      <c r="K8753" s="26" t="s">
        <v>110</v>
      </c>
      <c r="L8753" s="27" t="s">
        <v>116</v>
      </c>
      <c r="M8753" s="10">
        <v>154.03573629081947</v>
      </c>
    </row>
    <row r="8754" spans="11:13" x14ac:dyDescent="0.25">
      <c r="K8754" s="26" t="s">
        <v>110</v>
      </c>
      <c r="L8754" s="27" t="s">
        <v>117</v>
      </c>
      <c r="M8754" s="10">
        <v>123.22858903265558</v>
      </c>
    </row>
    <row r="8755" spans="11:13" x14ac:dyDescent="0.25">
      <c r="K8755" s="26" t="s">
        <v>110</v>
      </c>
      <c r="L8755" s="27" t="s">
        <v>118</v>
      </c>
      <c r="M8755" s="10">
        <v>658.08090446639505</v>
      </c>
    </row>
    <row r="8756" spans="11:13" x14ac:dyDescent="0.25">
      <c r="K8756" s="26" t="s">
        <v>110</v>
      </c>
      <c r="L8756" s="27" t="s">
        <v>119</v>
      </c>
      <c r="M8756" s="10">
        <v>261.86075169439312</v>
      </c>
    </row>
    <row r="8757" spans="11:13" x14ac:dyDescent="0.25">
      <c r="K8757" s="26" t="s">
        <v>110</v>
      </c>
      <c r="L8757" s="27" t="s">
        <v>115</v>
      </c>
      <c r="M8757" s="10">
        <v>200.24645717806533</v>
      </c>
    </row>
    <row r="8758" spans="11:13" x14ac:dyDescent="0.25">
      <c r="K8758" s="26" t="s">
        <v>110</v>
      </c>
      <c r="L8758" s="27" t="s">
        <v>116</v>
      </c>
      <c r="M8758" s="10">
        <v>500</v>
      </c>
    </row>
    <row r="8759" spans="11:13" x14ac:dyDescent="0.25">
      <c r="K8759" s="26" t="s">
        <v>109</v>
      </c>
      <c r="L8759" s="27" t="s">
        <v>117</v>
      </c>
      <c r="M8759" s="10">
        <v>600</v>
      </c>
    </row>
    <row r="8760" spans="11:13" x14ac:dyDescent="0.25">
      <c r="K8760" s="26" t="s">
        <v>109</v>
      </c>
      <c r="L8760" s="27" t="s">
        <v>118</v>
      </c>
      <c r="M8760" s="10">
        <v>364.63819787699538</v>
      </c>
    </row>
    <row r="8761" spans="11:13" x14ac:dyDescent="0.25">
      <c r="K8761" s="26" t="s">
        <v>110</v>
      </c>
      <c r="L8761" s="27" t="s">
        <v>119</v>
      </c>
      <c r="M8761" s="10">
        <v>110</v>
      </c>
    </row>
    <row r="8762" spans="11:13" x14ac:dyDescent="0.25">
      <c r="K8762" s="26" t="s">
        <v>110</v>
      </c>
      <c r="L8762" s="27" t="s">
        <v>115</v>
      </c>
      <c r="M8762" s="10">
        <v>9.6292729898892634E-2</v>
      </c>
    </row>
    <row r="8763" spans="11:13" x14ac:dyDescent="0.25">
      <c r="K8763" s="26" t="s">
        <v>110</v>
      </c>
      <c r="L8763" s="27" t="s">
        <v>116</v>
      </c>
      <c r="M8763" s="10">
        <v>21.179709837975221</v>
      </c>
    </row>
    <row r="8764" spans="11:13" x14ac:dyDescent="0.25">
      <c r="K8764" s="26" t="s">
        <v>110</v>
      </c>
      <c r="L8764" s="27" t="s">
        <v>117</v>
      </c>
      <c r="M8764" s="10">
        <v>4.2359419675950436</v>
      </c>
    </row>
    <row r="8765" spans="11:13" x14ac:dyDescent="0.25">
      <c r="K8765" s="26" t="s">
        <v>110</v>
      </c>
      <c r="L8765" s="27" t="s">
        <v>118</v>
      </c>
      <c r="M8765" s="10">
        <v>277.26432532347508</v>
      </c>
    </row>
    <row r="8766" spans="11:13" x14ac:dyDescent="0.25">
      <c r="K8766" s="26" t="s">
        <v>110</v>
      </c>
      <c r="L8766" s="27" t="s">
        <v>119</v>
      </c>
      <c r="M8766" s="10">
        <v>401.21970791205263</v>
      </c>
    </row>
    <row r="8767" spans="11:13" x14ac:dyDescent="0.25">
      <c r="K8767" s="26" t="s">
        <v>110</v>
      </c>
      <c r="L8767" s="27" t="s">
        <v>115</v>
      </c>
      <c r="M8767" s="10">
        <v>77.017868145409736</v>
      </c>
    </row>
    <row r="8768" spans="11:13" x14ac:dyDescent="0.25">
      <c r="K8768" s="26" t="s">
        <v>113</v>
      </c>
      <c r="L8768" s="27" t="s">
        <v>116</v>
      </c>
      <c r="M8768" s="10">
        <v>274.75798400908536</v>
      </c>
    </row>
    <row r="8769" spans="11:13" x14ac:dyDescent="0.25">
      <c r="K8769" s="26" t="s">
        <v>113</v>
      </c>
      <c r="L8769" s="27" t="s">
        <v>117</v>
      </c>
      <c r="M8769" s="10">
        <v>274.75798400908536</v>
      </c>
    </row>
    <row r="8770" spans="11:13" x14ac:dyDescent="0.25">
      <c r="K8770" s="26" t="s">
        <v>114</v>
      </c>
      <c r="L8770" s="27" t="s">
        <v>118</v>
      </c>
      <c r="M8770" s="10">
        <v>169.43767870380177</v>
      </c>
    </row>
    <row r="8771" spans="11:13" x14ac:dyDescent="0.25">
      <c r="K8771" s="26" t="s">
        <v>109</v>
      </c>
      <c r="L8771" s="27" t="s">
        <v>119</v>
      </c>
      <c r="M8771" s="10">
        <v>46.210720887245841</v>
      </c>
    </row>
    <row r="8772" spans="11:13" x14ac:dyDescent="0.25">
      <c r="K8772" s="26" t="s">
        <v>110</v>
      </c>
      <c r="L8772" s="27" t="s">
        <v>115</v>
      </c>
      <c r="M8772" s="10">
        <v>91.585994669695125</v>
      </c>
    </row>
    <row r="8773" spans="11:13" x14ac:dyDescent="0.25">
      <c r="K8773" s="26" t="s">
        <v>114</v>
      </c>
      <c r="L8773" s="27" t="s">
        <v>116</v>
      </c>
      <c r="M8773" s="10">
        <v>240</v>
      </c>
    </row>
    <row r="8774" spans="11:13" x14ac:dyDescent="0.25">
      <c r="K8774" s="26" t="s">
        <v>113</v>
      </c>
      <c r="L8774" s="27" t="s">
        <v>117</v>
      </c>
      <c r="M8774" s="10">
        <v>158.84782378481412</v>
      </c>
    </row>
    <row r="8775" spans="11:13" x14ac:dyDescent="0.25">
      <c r="K8775" s="26" t="s">
        <v>110</v>
      </c>
      <c r="L8775" s="27" t="s">
        <v>118</v>
      </c>
      <c r="M8775" s="10">
        <v>40</v>
      </c>
    </row>
    <row r="8776" spans="11:13" x14ac:dyDescent="0.25">
      <c r="K8776" s="26" t="s">
        <v>110</v>
      </c>
      <c r="L8776" s="27" t="s">
        <v>119</v>
      </c>
      <c r="M8776" s="10">
        <v>80</v>
      </c>
    </row>
    <row r="8777" spans="11:13" x14ac:dyDescent="0.25">
      <c r="K8777" s="26" t="s">
        <v>110</v>
      </c>
      <c r="L8777" s="27" t="s">
        <v>115</v>
      </c>
      <c r="M8777" s="10">
        <v>120.3659123736158</v>
      </c>
    </row>
    <row r="8778" spans="11:13" x14ac:dyDescent="0.25">
      <c r="K8778" s="26" t="s">
        <v>111</v>
      </c>
      <c r="L8778" s="27" t="s">
        <v>116</v>
      </c>
      <c r="M8778" s="10">
        <v>667.16085989621945</v>
      </c>
    </row>
    <row r="8779" spans="11:13" x14ac:dyDescent="0.25">
      <c r="K8779" s="26" t="s">
        <v>110</v>
      </c>
      <c r="L8779" s="27" t="s">
        <v>117</v>
      </c>
      <c r="M8779" s="10">
        <v>308.07147258163894</v>
      </c>
    </row>
    <row r="8780" spans="11:13" x14ac:dyDescent="0.25">
      <c r="K8780" s="26" t="s">
        <v>109</v>
      </c>
      <c r="L8780" s="27" t="s">
        <v>118</v>
      </c>
      <c r="M8780" s="10">
        <v>123.22858903265558</v>
      </c>
    </row>
    <row r="8781" spans="11:13" x14ac:dyDescent="0.25">
      <c r="K8781" s="26" t="s">
        <v>109</v>
      </c>
      <c r="L8781" s="27" t="s">
        <v>119</v>
      </c>
      <c r="M8781" s="10">
        <v>60</v>
      </c>
    </row>
    <row r="8782" spans="11:13" x14ac:dyDescent="0.25">
      <c r="K8782" s="26" t="s">
        <v>111</v>
      </c>
      <c r="L8782" s="27" t="s">
        <v>115</v>
      </c>
      <c r="M8782" s="10">
        <v>69.316081330868769</v>
      </c>
    </row>
    <row r="8783" spans="11:13" x14ac:dyDescent="0.25">
      <c r="K8783" s="26" t="s">
        <v>113</v>
      </c>
      <c r="L8783" s="27" t="s">
        <v>116</v>
      </c>
      <c r="M8783" s="10">
        <v>476.54347135444243</v>
      </c>
    </row>
    <row r="8784" spans="11:13" x14ac:dyDescent="0.25">
      <c r="K8784" s="26" t="s">
        <v>110</v>
      </c>
      <c r="L8784" s="27" t="s">
        <v>117</v>
      </c>
      <c r="M8784" s="10">
        <v>40</v>
      </c>
    </row>
    <row r="8785" spans="11:13" x14ac:dyDescent="0.25">
      <c r="K8785" s="26" t="s">
        <v>109</v>
      </c>
      <c r="L8785" s="27" t="s">
        <v>118</v>
      </c>
      <c r="M8785" s="10">
        <v>63.001089873336575</v>
      </c>
    </row>
    <row r="8786" spans="11:13" x14ac:dyDescent="0.25">
      <c r="K8786" s="26" t="s">
        <v>110</v>
      </c>
      <c r="L8786" s="27" t="s">
        <v>119</v>
      </c>
      <c r="M8786" s="10">
        <v>123.22858903265558</v>
      </c>
    </row>
    <row r="8787" spans="11:13" x14ac:dyDescent="0.25">
      <c r="K8787" s="26" t="s">
        <v>111</v>
      </c>
      <c r="L8787" s="27" t="s">
        <v>115</v>
      </c>
      <c r="M8787" s="10">
        <v>123.22858903265558</v>
      </c>
    </row>
    <row r="8788" spans="11:13" x14ac:dyDescent="0.25">
      <c r="K8788" s="26" t="s">
        <v>111</v>
      </c>
      <c r="L8788" s="27" t="s">
        <v>116</v>
      </c>
      <c r="M8788" s="10">
        <v>127.0782590278513</v>
      </c>
    </row>
    <row r="8789" spans="11:13" x14ac:dyDescent="0.25">
      <c r="K8789" s="26" t="s">
        <v>111</v>
      </c>
      <c r="L8789" s="27" t="s">
        <v>117</v>
      </c>
      <c r="M8789" s="10">
        <v>476.54347135444243</v>
      </c>
    </row>
    <row r="8790" spans="11:13" x14ac:dyDescent="0.25">
      <c r="K8790" s="26" t="s">
        <v>111</v>
      </c>
      <c r="L8790" s="27" t="s">
        <v>118</v>
      </c>
      <c r="M8790" s="10">
        <v>123.22858903265558</v>
      </c>
    </row>
    <row r="8791" spans="11:13" x14ac:dyDescent="0.25">
      <c r="K8791" s="26" t="s">
        <v>110</v>
      </c>
      <c r="L8791" s="27" t="s">
        <v>119</v>
      </c>
      <c r="M8791" s="10">
        <v>91.585994669695125</v>
      </c>
    </row>
    <row r="8792" spans="11:13" x14ac:dyDescent="0.25">
      <c r="K8792" s="26" t="s">
        <v>110</v>
      </c>
      <c r="L8792" s="27" t="s">
        <v>115</v>
      </c>
      <c r="M8792" s="10">
        <v>370.64492216456637</v>
      </c>
    </row>
    <row r="8793" spans="11:13" x14ac:dyDescent="0.25">
      <c r="K8793" s="26" t="s">
        <v>113</v>
      </c>
      <c r="L8793" s="27" t="s">
        <v>116</v>
      </c>
      <c r="M8793" s="10">
        <v>500</v>
      </c>
    </row>
    <row r="8794" spans="11:13" x14ac:dyDescent="0.25">
      <c r="K8794" s="26" t="s">
        <v>110</v>
      </c>
      <c r="L8794" s="27" t="s">
        <v>117</v>
      </c>
      <c r="M8794" s="10">
        <v>16.452022611659878</v>
      </c>
    </row>
    <row r="8795" spans="11:13" x14ac:dyDescent="0.25">
      <c r="K8795" s="26" t="s">
        <v>110</v>
      </c>
      <c r="L8795" s="27" t="s">
        <v>118</v>
      </c>
      <c r="M8795" s="10">
        <v>98.712135669959252</v>
      </c>
    </row>
    <row r="8796" spans="11:13" x14ac:dyDescent="0.25">
      <c r="K8796" s="26" t="s">
        <v>111</v>
      </c>
      <c r="L8796" s="27" t="s">
        <v>119</v>
      </c>
      <c r="M8796" s="10">
        <v>65.808090446639511</v>
      </c>
    </row>
    <row r="8797" spans="11:13" x14ac:dyDescent="0.25">
      <c r="K8797" s="26" t="s">
        <v>111</v>
      </c>
      <c r="L8797" s="27" t="s">
        <v>115</v>
      </c>
      <c r="M8797" s="10">
        <v>110.22927689594357</v>
      </c>
    </row>
    <row r="8798" spans="11:13" x14ac:dyDescent="0.25">
      <c r="K8798" s="26" t="s">
        <v>110</v>
      </c>
      <c r="L8798" s="27" t="s">
        <v>116</v>
      </c>
      <c r="M8798" s="10">
        <v>74.128984432913256</v>
      </c>
    </row>
    <row r="8799" spans="11:13" x14ac:dyDescent="0.25">
      <c r="K8799" s="26" t="s">
        <v>110</v>
      </c>
      <c r="L8799" s="27" t="s">
        <v>117</v>
      </c>
      <c r="M8799" s="10">
        <v>23.724947042528925</v>
      </c>
    </row>
    <row r="8800" spans="11:13" x14ac:dyDescent="0.25">
      <c r="K8800" s="26" t="s">
        <v>111</v>
      </c>
      <c r="L8800" s="27" t="s">
        <v>118</v>
      </c>
      <c r="M8800" s="10">
        <v>16.452022611659878</v>
      </c>
    </row>
    <row r="8801" spans="11:13" x14ac:dyDescent="0.25">
      <c r="K8801" s="26" t="s">
        <v>111</v>
      </c>
      <c r="L8801" s="27" t="s">
        <v>119</v>
      </c>
      <c r="M8801" s="10">
        <v>118.45456280395112</v>
      </c>
    </row>
    <row r="8802" spans="11:13" x14ac:dyDescent="0.25">
      <c r="K8802" s="26" t="s">
        <v>110</v>
      </c>
      <c r="L8802" s="27" t="s">
        <v>115</v>
      </c>
      <c r="M8802" s="10">
        <v>13.737899200454269</v>
      </c>
    </row>
    <row r="8803" spans="11:13" x14ac:dyDescent="0.25">
      <c r="K8803" s="26" t="s">
        <v>111</v>
      </c>
      <c r="L8803" s="27" t="s">
        <v>116</v>
      </c>
      <c r="M8803" s="10">
        <v>84.718839351900883</v>
      </c>
    </row>
    <row r="8804" spans="11:13" x14ac:dyDescent="0.25">
      <c r="K8804" s="26" t="s">
        <v>111</v>
      </c>
      <c r="L8804" s="27" t="s">
        <v>117</v>
      </c>
      <c r="M8804" s="10">
        <v>18.906434057002969</v>
      </c>
    </row>
    <row r="8805" spans="11:13" x14ac:dyDescent="0.25">
      <c r="K8805" s="26" t="s">
        <v>111</v>
      </c>
      <c r="L8805" s="27" t="s">
        <v>118</v>
      </c>
      <c r="M8805" s="10">
        <v>40.515355319666149</v>
      </c>
    </row>
    <row r="8806" spans="11:13" x14ac:dyDescent="0.25">
      <c r="K8806" s="26" t="s">
        <v>111</v>
      </c>
      <c r="L8806" s="27" t="s">
        <v>119</v>
      </c>
      <c r="M8806" s="10">
        <v>12</v>
      </c>
    </row>
    <row r="8807" spans="11:13" x14ac:dyDescent="0.25">
      <c r="K8807" s="26" t="s">
        <v>111</v>
      </c>
      <c r="L8807" s="27" t="s">
        <v>115</v>
      </c>
      <c r="M8807" s="10">
        <v>27.475798400908538</v>
      </c>
    </row>
    <row r="8808" spans="11:13" x14ac:dyDescent="0.25">
      <c r="K8808" s="26" t="s">
        <v>110</v>
      </c>
      <c r="L8808" s="27" t="s">
        <v>116</v>
      </c>
      <c r="M8808" s="10">
        <v>12</v>
      </c>
    </row>
    <row r="8809" spans="11:13" x14ac:dyDescent="0.25">
      <c r="K8809" s="26" t="s">
        <v>110</v>
      </c>
      <c r="L8809" s="27" t="s">
        <v>117</v>
      </c>
      <c r="M8809" s="10">
        <v>105.89854918987609</v>
      </c>
    </row>
    <row r="8810" spans="11:13" x14ac:dyDescent="0.25">
      <c r="K8810" s="26" t="s">
        <v>111</v>
      </c>
      <c r="L8810" s="27" t="s">
        <v>118</v>
      </c>
      <c r="M8810" s="10">
        <v>10.58985491898761</v>
      </c>
    </row>
    <row r="8811" spans="11:13" x14ac:dyDescent="0.25">
      <c r="K8811" s="26" t="s">
        <v>111</v>
      </c>
      <c r="L8811" s="27" t="s">
        <v>119</v>
      </c>
      <c r="M8811" s="10">
        <v>12</v>
      </c>
    </row>
    <row r="8812" spans="11:13" x14ac:dyDescent="0.25">
      <c r="K8812" s="26" t="s">
        <v>111</v>
      </c>
      <c r="L8812" s="27" t="s">
        <v>115</v>
      </c>
      <c r="M8812" s="10">
        <v>21.179709837975221</v>
      </c>
    </row>
    <row r="8813" spans="11:13" x14ac:dyDescent="0.25">
      <c r="K8813" s="26" t="s">
        <v>110</v>
      </c>
      <c r="L8813" s="27" t="s">
        <v>116</v>
      </c>
      <c r="M8813" s="10">
        <v>8.1030710639332302</v>
      </c>
    </row>
    <row r="8814" spans="11:13" x14ac:dyDescent="0.25">
      <c r="K8814" s="26" t="s">
        <v>111</v>
      </c>
      <c r="L8814" s="27" t="s">
        <v>117</v>
      </c>
      <c r="M8814" s="10">
        <v>12.322858903265558</v>
      </c>
    </row>
    <row r="8815" spans="11:13" x14ac:dyDescent="0.25">
      <c r="K8815" s="26" t="s">
        <v>111</v>
      </c>
      <c r="L8815" s="27" t="s">
        <v>118</v>
      </c>
      <c r="M8815" s="10">
        <v>18.317198933939025</v>
      </c>
    </row>
    <row r="8816" spans="11:13" x14ac:dyDescent="0.25">
      <c r="K8816" s="26" t="s">
        <v>111</v>
      </c>
      <c r="L8816" s="27" t="s">
        <v>119</v>
      </c>
      <c r="M8816" s="10">
        <v>7.3268795735756092</v>
      </c>
    </row>
    <row r="8817" spans="11:13" x14ac:dyDescent="0.25">
      <c r="K8817" s="26" t="s">
        <v>111</v>
      </c>
      <c r="L8817" s="27" t="s">
        <v>115</v>
      </c>
      <c r="M8817" s="10">
        <v>100</v>
      </c>
    </row>
    <row r="8818" spans="11:13" x14ac:dyDescent="0.25">
      <c r="K8818" s="26" t="s">
        <v>109</v>
      </c>
      <c r="L8818" s="27" t="s">
        <v>116</v>
      </c>
      <c r="M8818" s="10">
        <v>13.279969227105791</v>
      </c>
    </row>
    <row r="8819" spans="11:13" x14ac:dyDescent="0.25">
      <c r="K8819" s="26" t="s">
        <v>109</v>
      </c>
      <c r="L8819" s="27" t="s">
        <v>117</v>
      </c>
      <c r="M8819" s="10">
        <v>320.5509813439329</v>
      </c>
    </row>
    <row r="8820" spans="11:13" x14ac:dyDescent="0.25">
      <c r="K8820" s="26" t="s">
        <v>109</v>
      </c>
      <c r="L8820" s="27" t="s">
        <v>118</v>
      </c>
      <c r="M8820" s="10">
        <v>399.5590828924162</v>
      </c>
    </row>
    <row r="8821" spans="11:13" x14ac:dyDescent="0.25">
      <c r="K8821" s="26" t="s">
        <v>110</v>
      </c>
      <c r="L8821" s="27" t="s">
        <v>119</v>
      </c>
      <c r="M8821" s="10">
        <v>56.721497447532613</v>
      </c>
    </row>
    <row r="8822" spans="11:13" x14ac:dyDescent="0.25">
      <c r="K8822" s="26" t="s">
        <v>111</v>
      </c>
      <c r="L8822" s="27" t="s">
        <v>115</v>
      </c>
      <c r="M8822" s="10">
        <v>21.179709837975221</v>
      </c>
    </row>
    <row r="8823" spans="11:13" x14ac:dyDescent="0.25">
      <c r="K8823" s="26" t="s">
        <v>111</v>
      </c>
      <c r="L8823" s="27" t="s">
        <v>116</v>
      </c>
      <c r="M8823" s="10">
        <v>89.936145336810867</v>
      </c>
    </row>
    <row r="8824" spans="11:13" x14ac:dyDescent="0.25">
      <c r="K8824" s="26" t="s">
        <v>111</v>
      </c>
      <c r="L8824" s="27" t="s">
        <v>117</v>
      </c>
      <c r="M8824" s="10">
        <v>9.6292729898892624</v>
      </c>
    </row>
    <row r="8825" spans="11:13" x14ac:dyDescent="0.25">
      <c r="K8825" s="26" t="s">
        <v>111</v>
      </c>
      <c r="L8825" s="27" t="s">
        <v>118</v>
      </c>
      <c r="M8825" s="10">
        <v>91.585994669695125</v>
      </c>
    </row>
    <row r="8826" spans="11:13" x14ac:dyDescent="0.25">
      <c r="K8826" s="26" t="s">
        <v>110</v>
      </c>
      <c r="L8826" s="27" t="s">
        <v>119</v>
      </c>
      <c r="M8826" s="10">
        <v>2.63232361786558</v>
      </c>
    </row>
    <row r="8827" spans="11:13" x14ac:dyDescent="0.25">
      <c r="K8827" s="26" t="s">
        <v>111</v>
      </c>
      <c r="L8827" s="27" t="s">
        <v>115</v>
      </c>
      <c r="M8827" s="10">
        <v>15.384742975344651</v>
      </c>
    </row>
    <row r="8828" spans="11:13" x14ac:dyDescent="0.25">
      <c r="K8828" s="26" t="s">
        <v>111</v>
      </c>
      <c r="L8828" s="27" t="s">
        <v>116</v>
      </c>
      <c r="M8828" s="10">
        <v>15.403573629081947</v>
      </c>
    </row>
    <row r="8829" spans="11:13" x14ac:dyDescent="0.25">
      <c r="K8829" s="26" t="s">
        <v>111</v>
      </c>
      <c r="L8829" s="27" t="s">
        <v>117</v>
      </c>
      <c r="M8829" s="10">
        <v>7.7017868145409736</v>
      </c>
    </row>
    <row r="8830" spans="11:13" x14ac:dyDescent="0.25">
      <c r="K8830" s="26" t="s">
        <v>111</v>
      </c>
      <c r="L8830" s="27" t="s">
        <v>118</v>
      </c>
      <c r="M8830" s="10">
        <v>15.884782378481413</v>
      </c>
    </row>
    <row r="8831" spans="11:13" x14ac:dyDescent="0.25">
      <c r="K8831" s="26" t="s">
        <v>111</v>
      </c>
      <c r="L8831" s="27" t="s">
        <v>119</v>
      </c>
      <c r="M8831" s="10">
        <v>12.848020762401553</v>
      </c>
    </row>
    <row r="8832" spans="11:13" x14ac:dyDescent="0.25">
      <c r="K8832" s="26" t="s">
        <v>111</v>
      </c>
      <c r="L8832" s="27" t="s">
        <v>115</v>
      </c>
      <c r="M8832" s="10">
        <v>12.848020762401553</v>
      </c>
    </row>
    <row r="8833" spans="11:13" x14ac:dyDescent="0.25">
      <c r="K8833" s="26" t="s">
        <v>111</v>
      </c>
      <c r="L8833" s="27" t="s">
        <v>116</v>
      </c>
      <c r="M8833" s="10">
        <v>21.179709837975221</v>
      </c>
    </row>
    <row r="8834" spans="11:13" x14ac:dyDescent="0.25">
      <c r="K8834" s="26" t="s">
        <v>111</v>
      </c>
      <c r="L8834" s="27" t="s">
        <v>117</v>
      </c>
      <c r="M8834" s="10">
        <v>16.294606485253382</v>
      </c>
    </row>
    <row r="8835" spans="11:13" x14ac:dyDescent="0.25">
      <c r="K8835" s="26" t="s">
        <v>111</v>
      </c>
      <c r="L8835" s="27" t="s">
        <v>118</v>
      </c>
      <c r="M8835" s="10">
        <v>21.179709837975221</v>
      </c>
    </row>
    <row r="8836" spans="11:13" x14ac:dyDescent="0.25">
      <c r="K8836" s="26" t="s">
        <v>111</v>
      </c>
      <c r="L8836" s="27" t="s">
        <v>119</v>
      </c>
      <c r="M8836" s="10">
        <v>40.515355319666149</v>
      </c>
    </row>
    <row r="8837" spans="11:13" x14ac:dyDescent="0.25">
      <c r="K8837" s="26" t="s">
        <v>111</v>
      </c>
      <c r="L8837" s="27" t="s">
        <v>115</v>
      </c>
      <c r="M8837" s="10">
        <v>158.84782378481412</v>
      </c>
    </row>
    <row r="8838" spans="11:13" x14ac:dyDescent="0.25">
      <c r="K8838" s="26" t="s">
        <v>111</v>
      </c>
      <c r="L8838" s="27" t="s">
        <v>116</v>
      </c>
      <c r="M8838" s="10">
        <v>54.951596801817075</v>
      </c>
    </row>
    <row r="8839" spans="11:13" x14ac:dyDescent="0.25">
      <c r="K8839" s="26" t="s">
        <v>111</v>
      </c>
      <c r="L8839" s="27" t="s">
        <v>117</v>
      </c>
      <c r="M8839" s="10">
        <v>194.47370553439754</v>
      </c>
    </row>
    <row r="8840" spans="11:13" x14ac:dyDescent="0.25">
      <c r="K8840" s="26" t="s">
        <v>111</v>
      </c>
      <c r="L8840" s="27" t="s">
        <v>118</v>
      </c>
      <c r="M8840" s="10">
        <v>651.78425941013529</v>
      </c>
    </row>
    <row r="8841" spans="11:13" x14ac:dyDescent="0.25">
      <c r="K8841" s="26" t="s">
        <v>111</v>
      </c>
      <c r="L8841" s="27" t="s">
        <v>119</v>
      </c>
      <c r="M8841" s="10">
        <v>488.83819455760147</v>
      </c>
    </row>
    <row r="8842" spans="11:13" x14ac:dyDescent="0.25">
      <c r="K8842" s="26" t="s">
        <v>111</v>
      </c>
      <c r="L8842" s="27" t="s">
        <v>115</v>
      </c>
      <c r="M8842" s="10">
        <v>27.475798400908538</v>
      </c>
    </row>
    <row r="8843" spans="11:13" x14ac:dyDescent="0.25">
      <c r="K8843" s="26" t="s">
        <v>111</v>
      </c>
      <c r="L8843" s="27" t="s">
        <v>116</v>
      </c>
      <c r="M8843" s="10">
        <v>16.485479040545119</v>
      </c>
    </row>
    <row r="8844" spans="11:13" x14ac:dyDescent="0.25">
      <c r="K8844" s="26" t="s">
        <v>111</v>
      </c>
      <c r="L8844" s="27" t="s">
        <v>117</v>
      </c>
      <c r="M8844" s="10">
        <v>52.949274594938046</v>
      </c>
    </row>
    <row r="8845" spans="11:13" x14ac:dyDescent="0.25">
      <c r="K8845" s="26" t="s">
        <v>111</v>
      </c>
      <c r="L8845" s="27" t="s">
        <v>118</v>
      </c>
      <c r="M8845" s="10">
        <v>30.807147258163894</v>
      </c>
    </row>
    <row r="8846" spans="11:13" x14ac:dyDescent="0.25">
      <c r="K8846" s="26" t="s">
        <v>111</v>
      </c>
      <c r="L8846" s="27" t="s">
        <v>119</v>
      </c>
      <c r="M8846" s="10">
        <v>154.03573629081947</v>
      </c>
    </row>
    <row r="8847" spans="11:13" x14ac:dyDescent="0.25">
      <c r="K8847" s="26" t="s">
        <v>109</v>
      </c>
      <c r="L8847" s="27" t="s">
        <v>115</v>
      </c>
      <c r="M8847" s="10">
        <v>154.03573629081947</v>
      </c>
    </row>
    <row r="8848" spans="11:13" x14ac:dyDescent="0.25">
      <c r="K8848" s="26" t="s">
        <v>111</v>
      </c>
      <c r="L8848" s="27" t="s">
        <v>116</v>
      </c>
      <c r="M8848" s="10">
        <v>120.3659123736158</v>
      </c>
    </row>
    <row r="8849" spans="11:13" x14ac:dyDescent="0.25">
      <c r="K8849" s="26" t="s">
        <v>111</v>
      </c>
      <c r="L8849" s="27" t="s">
        <v>117</v>
      </c>
      <c r="M8849" s="10">
        <v>23.29768082177274</v>
      </c>
    </row>
    <row r="8850" spans="11:13" x14ac:dyDescent="0.25">
      <c r="K8850" s="26" t="s">
        <v>111</v>
      </c>
      <c r="L8850" s="27" t="s">
        <v>118</v>
      </c>
      <c r="M8850" s="10">
        <v>48.146364949446316</v>
      </c>
    </row>
    <row r="8851" spans="11:13" x14ac:dyDescent="0.25">
      <c r="K8851" s="26" t="s">
        <v>111</v>
      </c>
      <c r="L8851" s="27" t="s">
        <v>119</v>
      </c>
      <c r="M8851" s="10">
        <v>15.884782378481413</v>
      </c>
    </row>
    <row r="8852" spans="11:13" x14ac:dyDescent="0.25">
      <c r="K8852" s="26" t="s">
        <v>111</v>
      </c>
      <c r="L8852" s="27" t="s">
        <v>115</v>
      </c>
      <c r="M8852" s="10">
        <v>308.07147258163894</v>
      </c>
    </row>
    <row r="8853" spans="11:13" x14ac:dyDescent="0.25">
      <c r="K8853" s="26" t="s">
        <v>111</v>
      </c>
      <c r="L8853" s="27" t="s">
        <v>116</v>
      </c>
      <c r="M8853" s="10">
        <v>183.17198933939025</v>
      </c>
    </row>
    <row r="8854" spans="11:13" x14ac:dyDescent="0.25">
      <c r="K8854" s="26" t="s">
        <v>111</v>
      </c>
      <c r="L8854" s="27" t="s">
        <v>117</v>
      </c>
      <c r="M8854" s="10">
        <v>68.689496002271341</v>
      </c>
    </row>
    <row r="8855" spans="11:13" x14ac:dyDescent="0.25">
      <c r="K8855" s="26" t="s">
        <v>110</v>
      </c>
      <c r="L8855" s="27" t="s">
        <v>118</v>
      </c>
      <c r="M8855" s="10">
        <v>457.92997334847558</v>
      </c>
    </row>
    <row r="8856" spans="11:13" x14ac:dyDescent="0.25">
      <c r="K8856" s="26" t="s">
        <v>110</v>
      </c>
      <c r="L8856" s="27" t="s">
        <v>119</v>
      </c>
      <c r="M8856" s="10">
        <v>68.689496002271341</v>
      </c>
    </row>
    <row r="8857" spans="11:13" x14ac:dyDescent="0.25">
      <c r="K8857" s="26" t="s">
        <v>111</v>
      </c>
      <c r="L8857" s="27" t="s">
        <v>115</v>
      </c>
      <c r="M8857" s="10">
        <v>457.92997334847558</v>
      </c>
    </row>
    <row r="8858" spans="11:13" x14ac:dyDescent="0.25">
      <c r="K8858" s="26" t="s">
        <v>111</v>
      </c>
      <c r="L8858" s="27" t="s">
        <v>116</v>
      </c>
      <c r="M8858" s="10">
        <v>366.3439786787805</v>
      </c>
    </row>
    <row r="8859" spans="11:13" x14ac:dyDescent="0.25">
      <c r="K8859" s="26" t="s">
        <v>111</v>
      </c>
      <c r="L8859" s="27" t="s">
        <v>117</v>
      </c>
      <c r="M8859" s="10">
        <v>183.17198933939025</v>
      </c>
    </row>
    <row r="8860" spans="11:13" x14ac:dyDescent="0.25">
      <c r="K8860" s="26" t="s">
        <v>111</v>
      </c>
      <c r="L8860" s="27" t="s">
        <v>118</v>
      </c>
      <c r="M8860" s="10">
        <v>228.96498667423779</v>
      </c>
    </row>
    <row r="8861" spans="11:13" x14ac:dyDescent="0.25">
      <c r="K8861" s="26" t="s">
        <v>110</v>
      </c>
      <c r="L8861" s="27" t="s">
        <v>119</v>
      </c>
      <c r="M8861" s="10">
        <v>1058.985491898761</v>
      </c>
    </row>
    <row r="8862" spans="11:13" x14ac:dyDescent="0.25">
      <c r="K8862" s="26" t="s">
        <v>113</v>
      </c>
      <c r="L8862" s="27" t="s">
        <v>115</v>
      </c>
      <c r="M8862" s="10">
        <v>9.7236852767198769</v>
      </c>
    </row>
    <row r="8863" spans="11:13" x14ac:dyDescent="0.25">
      <c r="K8863" s="26" t="s">
        <v>111</v>
      </c>
      <c r="L8863" s="27" t="s">
        <v>116</v>
      </c>
      <c r="M8863" s="10">
        <v>11.906179307060365</v>
      </c>
    </row>
    <row r="8864" spans="11:13" x14ac:dyDescent="0.25">
      <c r="K8864" s="26" t="s">
        <v>111</v>
      </c>
      <c r="L8864" s="27" t="s">
        <v>117</v>
      </c>
      <c r="M8864" s="10">
        <v>27.475798400908538</v>
      </c>
    </row>
    <row r="8865" spans="11:13" x14ac:dyDescent="0.25">
      <c r="K8865" s="26" t="s">
        <v>110</v>
      </c>
      <c r="L8865" s="27" t="s">
        <v>118</v>
      </c>
      <c r="M8865" s="10">
        <v>73.2687957357561</v>
      </c>
    </row>
    <row r="8866" spans="11:13" x14ac:dyDescent="0.25">
      <c r="K8866" s="26" t="s">
        <v>110</v>
      </c>
      <c r="L8866" s="27" t="s">
        <v>119</v>
      </c>
      <c r="M8866" s="10">
        <v>23.105360443622921</v>
      </c>
    </row>
    <row r="8867" spans="11:13" x14ac:dyDescent="0.25">
      <c r="K8867" s="26" t="s">
        <v>114</v>
      </c>
      <c r="L8867" s="27" t="s">
        <v>115</v>
      </c>
      <c r="M8867" s="10">
        <v>45.792997334847563</v>
      </c>
    </row>
    <row r="8868" spans="11:13" x14ac:dyDescent="0.25">
      <c r="K8868" s="26" t="s">
        <v>113</v>
      </c>
      <c r="L8868" s="27" t="s">
        <v>116</v>
      </c>
      <c r="M8868" s="10">
        <v>77.017868145409736</v>
      </c>
    </row>
    <row r="8869" spans="11:13" x14ac:dyDescent="0.25">
      <c r="K8869" s="26" t="s">
        <v>110</v>
      </c>
      <c r="L8869" s="27" t="s">
        <v>117</v>
      </c>
      <c r="M8869" s="10">
        <v>117.06715958102281</v>
      </c>
    </row>
    <row r="8870" spans="11:13" x14ac:dyDescent="0.25">
      <c r="K8870" s="26" t="s">
        <v>111</v>
      </c>
      <c r="L8870" s="27" t="s">
        <v>118</v>
      </c>
      <c r="M8870" s="10">
        <v>200</v>
      </c>
    </row>
    <row r="8871" spans="11:13" x14ac:dyDescent="0.25">
      <c r="K8871" s="26" t="s">
        <v>110</v>
      </c>
      <c r="L8871" s="27" t="s">
        <v>119</v>
      </c>
      <c r="M8871" s="10">
        <v>3.2120051906003884</v>
      </c>
    </row>
    <row r="8872" spans="11:13" x14ac:dyDescent="0.25">
      <c r="K8872" s="26" t="s">
        <v>110</v>
      </c>
      <c r="L8872" s="27" t="s">
        <v>115</v>
      </c>
      <c r="M8872" s="10">
        <v>274.75798400908536</v>
      </c>
    </row>
    <row r="8873" spans="11:13" x14ac:dyDescent="0.25">
      <c r="K8873" s="26" t="s">
        <v>110</v>
      </c>
      <c r="L8873" s="27" t="s">
        <v>116</v>
      </c>
      <c r="M8873" s="10">
        <v>274.75798400908536</v>
      </c>
    </row>
    <row r="8874" spans="11:13" x14ac:dyDescent="0.25">
      <c r="K8874" s="26" t="s">
        <v>112</v>
      </c>
      <c r="L8874" s="27" t="s">
        <v>117</v>
      </c>
      <c r="M8874" s="10">
        <v>183.17198933939025</v>
      </c>
    </row>
    <row r="8875" spans="11:13" x14ac:dyDescent="0.25">
      <c r="K8875" s="26" t="s">
        <v>109</v>
      </c>
      <c r="L8875" s="27" t="s">
        <v>118</v>
      </c>
      <c r="M8875" s="10">
        <v>65.178425941013529</v>
      </c>
    </row>
    <row r="8876" spans="11:13" x14ac:dyDescent="0.25">
      <c r="K8876" s="26" t="s">
        <v>109</v>
      </c>
      <c r="L8876" s="27" t="s">
        <v>119</v>
      </c>
      <c r="M8876" s="10">
        <v>47.443006777572393</v>
      </c>
    </row>
    <row r="8877" spans="11:13" x14ac:dyDescent="0.25">
      <c r="K8877" s="26" t="s">
        <v>109</v>
      </c>
      <c r="L8877" s="27" t="s">
        <v>115</v>
      </c>
      <c r="M8877" s="10">
        <v>12.848020762401553</v>
      </c>
    </row>
    <row r="8878" spans="11:13" x14ac:dyDescent="0.25">
      <c r="K8878" s="26" t="s">
        <v>110</v>
      </c>
      <c r="L8878" s="27" t="s">
        <v>116</v>
      </c>
      <c r="M8878" s="10">
        <v>54.951596801817075</v>
      </c>
    </row>
    <row r="8879" spans="11:13" x14ac:dyDescent="0.25">
      <c r="K8879" s="26" t="s">
        <v>110</v>
      </c>
      <c r="L8879" s="27" t="s">
        <v>117</v>
      </c>
      <c r="M8879" s="10">
        <v>109.90319360363415</v>
      </c>
    </row>
    <row r="8880" spans="11:13" x14ac:dyDescent="0.25">
      <c r="K8880" s="26" t="s">
        <v>110</v>
      </c>
      <c r="L8880" s="27" t="s">
        <v>118</v>
      </c>
      <c r="M8880" s="10">
        <v>21.179709837975221</v>
      </c>
    </row>
    <row r="8881" spans="11:13" x14ac:dyDescent="0.25">
      <c r="K8881" s="26" t="s">
        <v>109</v>
      </c>
      <c r="L8881" s="27" t="s">
        <v>119</v>
      </c>
      <c r="M8881" s="10">
        <v>6.4240103812007767</v>
      </c>
    </row>
    <row r="8882" spans="11:13" x14ac:dyDescent="0.25">
      <c r="K8882" s="26" t="s">
        <v>113</v>
      </c>
      <c r="L8882" s="27" t="s">
        <v>115</v>
      </c>
      <c r="M8882" s="10">
        <v>6.5808090446639511</v>
      </c>
    </row>
    <row r="8883" spans="11:13" x14ac:dyDescent="0.25">
      <c r="K8883" s="26" t="s">
        <v>112</v>
      </c>
      <c r="L8883" s="27" t="s">
        <v>116</v>
      </c>
      <c r="M8883" s="10">
        <v>12.822039253757318</v>
      </c>
    </row>
    <row r="8884" spans="11:13" x14ac:dyDescent="0.25">
      <c r="K8884" s="26" t="s">
        <v>112</v>
      </c>
      <c r="L8884" s="27" t="s">
        <v>117</v>
      </c>
      <c r="M8884" s="10">
        <v>100</v>
      </c>
    </row>
    <row r="8885" spans="11:13" x14ac:dyDescent="0.25">
      <c r="K8885" s="26" t="s">
        <v>111</v>
      </c>
      <c r="L8885" s="27" t="s">
        <v>118</v>
      </c>
      <c r="M8885" s="10">
        <v>770.17868145409739</v>
      </c>
    </row>
    <row r="8886" spans="11:13" x14ac:dyDescent="0.25">
      <c r="K8886" s="26" t="s">
        <v>111</v>
      </c>
      <c r="L8886" s="27" t="s">
        <v>119</v>
      </c>
      <c r="M8886" s="10">
        <v>231.05360443622922</v>
      </c>
    </row>
    <row r="8887" spans="11:13" x14ac:dyDescent="0.25">
      <c r="K8887" s="26" t="s">
        <v>111</v>
      </c>
      <c r="L8887" s="27" t="s">
        <v>115</v>
      </c>
      <c r="M8887" s="10">
        <v>66.137566137566139</v>
      </c>
    </row>
    <row r="8888" spans="11:13" x14ac:dyDescent="0.25">
      <c r="K8888" s="26" t="s">
        <v>111</v>
      </c>
      <c r="L8888" s="27" t="s">
        <v>116</v>
      </c>
      <c r="M8888" s="10">
        <v>529.49274594938049</v>
      </c>
    </row>
    <row r="8889" spans="11:13" x14ac:dyDescent="0.25">
      <c r="K8889" s="26" t="s">
        <v>111</v>
      </c>
      <c r="L8889" s="27" t="s">
        <v>117</v>
      </c>
      <c r="M8889" s="10">
        <v>211.79709837975219</v>
      </c>
    </row>
    <row r="8890" spans="11:13" x14ac:dyDescent="0.25">
      <c r="K8890" s="26" t="s">
        <v>110</v>
      </c>
      <c r="L8890" s="27" t="s">
        <v>118</v>
      </c>
      <c r="M8890" s="10">
        <v>11.022927689594356</v>
      </c>
    </row>
    <row r="8891" spans="11:13" x14ac:dyDescent="0.25">
      <c r="K8891" s="26" t="s">
        <v>110</v>
      </c>
      <c r="L8891" s="27" t="s">
        <v>119</v>
      </c>
      <c r="M8891" s="10">
        <v>33.06878306878307</v>
      </c>
    </row>
    <row r="8892" spans="11:13" x14ac:dyDescent="0.25">
      <c r="K8892" s="26" t="s">
        <v>110</v>
      </c>
      <c r="L8892" s="27" t="s">
        <v>115</v>
      </c>
      <c r="M8892" s="10">
        <v>11.022927689594356</v>
      </c>
    </row>
    <row r="8893" spans="11:13" x14ac:dyDescent="0.25">
      <c r="K8893" s="26" t="s">
        <v>110</v>
      </c>
      <c r="L8893" s="27" t="s">
        <v>116</v>
      </c>
      <c r="M8893" s="10">
        <v>11.022927689594356</v>
      </c>
    </row>
    <row r="8894" spans="11:13" x14ac:dyDescent="0.25">
      <c r="K8894" s="26" t="s">
        <v>110</v>
      </c>
      <c r="L8894" s="27" t="s">
        <v>117</v>
      </c>
      <c r="M8894" s="10">
        <v>11.022927689594356</v>
      </c>
    </row>
    <row r="8895" spans="11:13" x14ac:dyDescent="0.25">
      <c r="K8895" s="26" t="s">
        <v>110</v>
      </c>
      <c r="L8895" s="27" t="s">
        <v>118</v>
      </c>
      <c r="M8895" s="10">
        <v>11.022927689594356</v>
      </c>
    </row>
    <row r="8896" spans="11:13" x14ac:dyDescent="0.25">
      <c r="K8896" s="26" t="s">
        <v>110</v>
      </c>
      <c r="L8896" s="27" t="s">
        <v>119</v>
      </c>
      <c r="M8896" s="10">
        <v>11.022927689594356</v>
      </c>
    </row>
    <row r="8897" spans="11:13" x14ac:dyDescent="0.25">
      <c r="K8897" s="26" t="s">
        <v>110</v>
      </c>
      <c r="L8897" s="27" t="s">
        <v>115</v>
      </c>
      <c r="M8897" s="10">
        <v>11.022927689594356</v>
      </c>
    </row>
    <row r="8898" spans="11:13" x14ac:dyDescent="0.25">
      <c r="K8898" s="26" t="s">
        <v>110</v>
      </c>
      <c r="L8898" s="27" t="s">
        <v>116</v>
      </c>
      <c r="M8898" s="10">
        <v>11.022927689594356</v>
      </c>
    </row>
    <row r="8899" spans="11:13" x14ac:dyDescent="0.25">
      <c r="K8899" s="26" t="s">
        <v>111</v>
      </c>
      <c r="L8899" s="27" t="s">
        <v>117</v>
      </c>
      <c r="M8899" s="10">
        <v>11.022927689594356</v>
      </c>
    </row>
    <row r="8900" spans="11:13" x14ac:dyDescent="0.25">
      <c r="K8900" s="26" t="s">
        <v>111</v>
      </c>
      <c r="L8900" s="27" t="s">
        <v>118</v>
      </c>
      <c r="M8900" s="10">
        <v>11.022927689594356</v>
      </c>
    </row>
    <row r="8901" spans="11:13" x14ac:dyDescent="0.25">
      <c r="K8901" s="26" t="s">
        <v>110</v>
      </c>
      <c r="L8901" s="27" t="s">
        <v>119</v>
      </c>
      <c r="M8901" s="10">
        <v>55.114638447971785</v>
      </c>
    </row>
    <row r="8902" spans="11:13" x14ac:dyDescent="0.25">
      <c r="K8902" s="26" t="s">
        <v>110</v>
      </c>
      <c r="L8902" s="27" t="s">
        <v>115</v>
      </c>
      <c r="M8902" s="10">
        <v>11.022927689594356</v>
      </c>
    </row>
    <row r="8903" spans="11:13" x14ac:dyDescent="0.25">
      <c r="K8903" s="26" t="s">
        <v>110</v>
      </c>
      <c r="L8903" s="27" t="s">
        <v>116</v>
      </c>
      <c r="M8903" s="10">
        <v>11.022927689594356</v>
      </c>
    </row>
    <row r="8904" spans="11:13" x14ac:dyDescent="0.25">
      <c r="K8904" s="26" t="s">
        <v>111</v>
      </c>
      <c r="L8904" s="27" t="s">
        <v>117</v>
      </c>
      <c r="M8904" s="10">
        <v>11.022927689594356</v>
      </c>
    </row>
    <row r="8905" spans="11:13" x14ac:dyDescent="0.25">
      <c r="K8905" s="26" t="s">
        <v>111</v>
      </c>
      <c r="L8905" s="27" t="s">
        <v>118</v>
      </c>
      <c r="M8905" s="10">
        <v>77.017868145409736</v>
      </c>
    </row>
    <row r="8906" spans="11:13" x14ac:dyDescent="0.25">
      <c r="K8906" s="26" t="s">
        <v>111</v>
      </c>
      <c r="L8906" s="27" t="s">
        <v>119</v>
      </c>
      <c r="M8906" s="10">
        <v>52.949274594938046</v>
      </c>
    </row>
    <row r="8907" spans="11:13" x14ac:dyDescent="0.25">
      <c r="K8907" s="26" t="s">
        <v>111</v>
      </c>
      <c r="L8907" s="27" t="s">
        <v>115</v>
      </c>
      <c r="M8907" s="10">
        <v>110.22927689594357</v>
      </c>
    </row>
    <row r="8908" spans="11:13" x14ac:dyDescent="0.25">
      <c r="K8908" s="26" t="s">
        <v>110</v>
      </c>
      <c r="L8908" s="27" t="s">
        <v>116</v>
      </c>
      <c r="M8908" s="10">
        <v>44.091710758377424</v>
      </c>
    </row>
    <row r="8909" spans="11:13" x14ac:dyDescent="0.25">
      <c r="K8909" s="26" t="s">
        <v>111</v>
      </c>
      <c r="L8909" s="27" t="s">
        <v>117</v>
      </c>
      <c r="M8909" s="10">
        <v>405.15355319666151</v>
      </c>
    </row>
    <row r="8910" spans="11:13" x14ac:dyDescent="0.25">
      <c r="K8910" s="26" t="s">
        <v>112</v>
      </c>
      <c r="L8910" s="27" t="s">
        <v>118</v>
      </c>
      <c r="M8910" s="10">
        <v>22.045855379188712</v>
      </c>
    </row>
    <row r="8911" spans="11:13" x14ac:dyDescent="0.25">
      <c r="K8911" s="26" t="s">
        <v>111</v>
      </c>
      <c r="L8911" s="27" t="s">
        <v>119</v>
      </c>
      <c r="M8911" s="10">
        <v>52.949274594938046</v>
      </c>
    </row>
    <row r="8912" spans="11:13" x14ac:dyDescent="0.25">
      <c r="K8912" s="26" t="s">
        <v>111</v>
      </c>
      <c r="L8912" s="27" t="s">
        <v>115</v>
      </c>
      <c r="M8912" s="10">
        <v>211.79709837975219</v>
      </c>
    </row>
    <row r="8913" spans="11:13" x14ac:dyDescent="0.25">
      <c r="K8913" s="26" t="s">
        <v>110</v>
      </c>
      <c r="L8913" s="27" t="s">
        <v>116</v>
      </c>
      <c r="M8913" s="10">
        <v>110.22927689594357</v>
      </c>
    </row>
    <row r="8914" spans="11:13" x14ac:dyDescent="0.25">
      <c r="K8914" s="26" t="s">
        <v>110</v>
      </c>
      <c r="L8914" s="27" t="s">
        <v>117</v>
      </c>
      <c r="M8914" s="10">
        <v>1058.985491898761</v>
      </c>
    </row>
    <row r="8915" spans="11:13" x14ac:dyDescent="0.25">
      <c r="K8915" s="26" t="s">
        <v>111</v>
      </c>
      <c r="L8915" s="27" t="s">
        <v>118</v>
      </c>
      <c r="M8915" s="10">
        <v>110.22927689594357</v>
      </c>
    </row>
    <row r="8916" spans="11:13" x14ac:dyDescent="0.25">
      <c r="K8916" s="26" t="s">
        <v>111</v>
      </c>
      <c r="L8916" s="27" t="s">
        <v>119</v>
      </c>
      <c r="M8916" s="10">
        <v>385.08934072704869</v>
      </c>
    </row>
    <row r="8917" spans="11:13" x14ac:dyDescent="0.25">
      <c r="K8917" s="26" t="s">
        <v>111</v>
      </c>
      <c r="L8917" s="27" t="s">
        <v>115</v>
      </c>
      <c r="M8917" s="10">
        <v>33.06878306878307</v>
      </c>
    </row>
    <row r="8918" spans="11:13" x14ac:dyDescent="0.25">
      <c r="K8918" s="26" t="s">
        <v>111</v>
      </c>
      <c r="L8918" s="27" t="s">
        <v>116</v>
      </c>
      <c r="M8918" s="10">
        <v>100</v>
      </c>
    </row>
    <row r="8919" spans="11:13" x14ac:dyDescent="0.25">
      <c r="K8919" s="26" t="s">
        <v>111</v>
      </c>
      <c r="L8919" s="27" t="s">
        <v>117</v>
      </c>
      <c r="M8919" s="10">
        <v>100</v>
      </c>
    </row>
    <row r="8920" spans="11:13" x14ac:dyDescent="0.25">
      <c r="K8920" s="26" t="s">
        <v>111</v>
      </c>
      <c r="L8920" s="27" t="s">
        <v>118</v>
      </c>
      <c r="M8920" s="10">
        <v>55.114638447971785</v>
      </c>
    </row>
    <row r="8921" spans="11:13" x14ac:dyDescent="0.25">
      <c r="K8921" s="26" t="s">
        <v>111</v>
      </c>
      <c r="L8921" s="27" t="s">
        <v>119</v>
      </c>
      <c r="M8921" s="10">
        <v>55.114638447971785</v>
      </c>
    </row>
    <row r="8922" spans="11:13" x14ac:dyDescent="0.25">
      <c r="K8922" s="26" t="s">
        <v>111</v>
      </c>
      <c r="L8922" s="27" t="s">
        <v>115</v>
      </c>
      <c r="M8922" s="10">
        <v>55.114638447971785</v>
      </c>
    </row>
    <row r="8923" spans="11:13" x14ac:dyDescent="0.25">
      <c r="K8923" s="26" t="s">
        <v>111</v>
      </c>
      <c r="L8923" s="27" t="s">
        <v>116</v>
      </c>
      <c r="M8923" s="10">
        <v>55.114638447971785</v>
      </c>
    </row>
    <row r="8924" spans="11:13" x14ac:dyDescent="0.25">
      <c r="K8924" s="26" t="s">
        <v>111</v>
      </c>
      <c r="L8924" s="27" t="s">
        <v>117</v>
      </c>
      <c r="M8924" s="10">
        <v>55.114638447971785</v>
      </c>
    </row>
    <row r="8925" spans="11:13" x14ac:dyDescent="0.25">
      <c r="K8925" s="26" t="s">
        <v>111</v>
      </c>
      <c r="L8925" s="27" t="s">
        <v>118</v>
      </c>
      <c r="M8925" s="10">
        <v>55.114638447971785</v>
      </c>
    </row>
    <row r="8926" spans="11:13" x14ac:dyDescent="0.25">
      <c r="K8926" s="26" t="s">
        <v>111</v>
      </c>
      <c r="L8926" s="27" t="s">
        <v>119</v>
      </c>
      <c r="M8926" s="10">
        <v>110.22927689594357</v>
      </c>
    </row>
    <row r="8927" spans="11:13" x14ac:dyDescent="0.25">
      <c r="K8927" s="26" t="s">
        <v>111</v>
      </c>
      <c r="L8927" s="27" t="s">
        <v>115</v>
      </c>
      <c r="M8927" s="10">
        <v>55.114638447971785</v>
      </c>
    </row>
    <row r="8928" spans="11:13" x14ac:dyDescent="0.25">
      <c r="K8928" s="26" t="s">
        <v>111</v>
      </c>
      <c r="L8928" s="27" t="s">
        <v>116</v>
      </c>
      <c r="M8928" s="10">
        <v>40</v>
      </c>
    </row>
    <row r="8929" spans="11:13" x14ac:dyDescent="0.25">
      <c r="K8929" s="26" t="s">
        <v>111</v>
      </c>
      <c r="L8929" s="27" t="s">
        <v>117</v>
      </c>
      <c r="M8929" s="10">
        <v>100</v>
      </c>
    </row>
    <row r="8930" spans="11:13" x14ac:dyDescent="0.25">
      <c r="K8930" s="26" t="s">
        <v>111</v>
      </c>
      <c r="L8930" s="27" t="s">
        <v>118</v>
      </c>
      <c r="M8930" s="10">
        <v>110.22927689594357</v>
      </c>
    </row>
    <row r="8931" spans="11:13" x14ac:dyDescent="0.25">
      <c r="K8931" s="26" t="s">
        <v>111</v>
      </c>
      <c r="L8931" s="27" t="s">
        <v>119</v>
      </c>
      <c r="M8931" s="10">
        <v>110.22927689594357</v>
      </c>
    </row>
    <row r="8932" spans="11:13" x14ac:dyDescent="0.25">
      <c r="K8932" s="26" t="s">
        <v>110</v>
      </c>
      <c r="L8932" s="27" t="s">
        <v>115</v>
      </c>
      <c r="M8932" s="10">
        <v>110.22927689594357</v>
      </c>
    </row>
    <row r="8933" spans="11:13" x14ac:dyDescent="0.25">
      <c r="K8933" s="26" t="s">
        <v>110</v>
      </c>
      <c r="L8933" s="27" t="s">
        <v>116</v>
      </c>
      <c r="M8933" s="10">
        <v>55.114638447971785</v>
      </c>
    </row>
    <row r="8934" spans="11:13" x14ac:dyDescent="0.25">
      <c r="K8934" s="26" t="s">
        <v>110</v>
      </c>
      <c r="L8934" s="27" t="s">
        <v>117</v>
      </c>
      <c r="M8934" s="10">
        <v>66.137566137566139</v>
      </c>
    </row>
    <row r="8935" spans="11:13" x14ac:dyDescent="0.25">
      <c r="K8935" s="26" t="s">
        <v>109</v>
      </c>
      <c r="L8935" s="27" t="s">
        <v>118</v>
      </c>
      <c r="M8935" s="10">
        <v>55.114638447971785</v>
      </c>
    </row>
    <row r="8936" spans="11:13" x14ac:dyDescent="0.25">
      <c r="K8936" s="26" t="s">
        <v>112</v>
      </c>
      <c r="L8936" s="27" t="s">
        <v>119</v>
      </c>
      <c r="M8936" s="10">
        <v>55.114638447971785</v>
      </c>
    </row>
    <row r="8937" spans="11:13" x14ac:dyDescent="0.25">
      <c r="K8937" s="26" t="s">
        <v>112</v>
      </c>
      <c r="L8937" s="27" t="s">
        <v>115</v>
      </c>
      <c r="M8937" s="10">
        <v>66.137566137566139</v>
      </c>
    </row>
    <row r="8938" spans="11:13" x14ac:dyDescent="0.25">
      <c r="K8938" s="26" t="s">
        <v>111</v>
      </c>
      <c r="L8938" s="27" t="s">
        <v>116</v>
      </c>
      <c r="M8938" s="10">
        <v>110.22927689594357</v>
      </c>
    </row>
    <row r="8939" spans="11:13" x14ac:dyDescent="0.25">
      <c r="K8939" s="26" t="s">
        <v>111</v>
      </c>
      <c r="L8939" s="27" t="s">
        <v>117</v>
      </c>
      <c r="M8939" s="10">
        <v>55.114638447971785</v>
      </c>
    </row>
    <row r="8940" spans="11:13" x14ac:dyDescent="0.25">
      <c r="K8940" s="26" t="s">
        <v>111</v>
      </c>
      <c r="L8940" s="27" t="s">
        <v>118</v>
      </c>
      <c r="M8940" s="10">
        <v>66.137566137566139</v>
      </c>
    </row>
    <row r="8941" spans="11:13" x14ac:dyDescent="0.25">
      <c r="K8941" s="26" t="s">
        <v>113</v>
      </c>
      <c r="L8941" s="27" t="s">
        <v>119</v>
      </c>
      <c r="M8941" s="10">
        <v>55.114638447971785</v>
      </c>
    </row>
    <row r="8942" spans="11:13" x14ac:dyDescent="0.25">
      <c r="K8942" s="26" t="s">
        <v>111</v>
      </c>
      <c r="L8942" s="27" t="s">
        <v>115</v>
      </c>
      <c r="M8942" s="10">
        <v>55.114638447971785</v>
      </c>
    </row>
    <row r="8943" spans="11:13" x14ac:dyDescent="0.25">
      <c r="K8943" s="26" t="s">
        <v>111</v>
      </c>
      <c r="L8943" s="27" t="s">
        <v>116</v>
      </c>
      <c r="M8943" s="10">
        <v>55.114638447971785</v>
      </c>
    </row>
    <row r="8944" spans="11:13" x14ac:dyDescent="0.25">
      <c r="K8944" s="26" t="s">
        <v>110</v>
      </c>
      <c r="L8944" s="27" t="s">
        <v>117</v>
      </c>
      <c r="M8944" s="10">
        <v>66.137566137566139</v>
      </c>
    </row>
    <row r="8945" spans="11:13" x14ac:dyDescent="0.25">
      <c r="K8945" s="26" t="s">
        <v>111</v>
      </c>
      <c r="L8945" s="27" t="s">
        <v>118</v>
      </c>
      <c r="M8945" s="10">
        <v>66.137566137566139</v>
      </c>
    </row>
    <row r="8946" spans="11:13" x14ac:dyDescent="0.25">
      <c r="K8946" s="26" t="s">
        <v>111</v>
      </c>
      <c r="L8946" s="27" t="s">
        <v>119</v>
      </c>
      <c r="M8946" s="10">
        <v>66.137566137566139</v>
      </c>
    </row>
    <row r="8947" spans="11:13" x14ac:dyDescent="0.25">
      <c r="K8947" s="26" t="s">
        <v>111</v>
      </c>
      <c r="L8947" s="27" t="s">
        <v>115</v>
      </c>
      <c r="M8947" s="10">
        <v>10</v>
      </c>
    </row>
    <row r="8948" spans="11:13" x14ac:dyDescent="0.25">
      <c r="K8948" s="26" t="s">
        <v>111</v>
      </c>
      <c r="L8948" s="27" t="s">
        <v>116</v>
      </c>
      <c r="M8948" s="10">
        <v>64.824568511465841</v>
      </c>
    </row>
    <row r="8949" spans="11:13" x14ac:dyDescent="0.25">
      <c r="K8949" s="26" t="s">
        <v>111</v>
      </c>
      <c r="L8949" s="27" t="s">
        <v>117</v>
      </c>
      <c r="M8949" s="10">
        <v>17.636684303350968</v>
      </c>
    </row>
    <row r="8950" spans="11:13" x14ac:dyDescent="0.25">
      <c r="K8950" s="26" t="s">
        <v>111</v>
      </c>
      <c r="L8950" s="27" t="s">
        <v>118</v>
      </c>
      <c r="M8950" s="10">
        <v>30</v>
      </c>
    </row>
    <row r="8951" spans="11:13" x14ac:dyDescent="0.25">
      <c r="K8951" s="26" t="s">
        <v>111</v>
      </c>
      <c r="L8951" s="27" t="s">
        <v>119</v>
      </c>
      <c r="M8951" s="10">
        <v>66.137566137566139</v>
      </c>
    </row>
    <row r="8952" spans="11:13" x14ac:dyDescent="0.25">
      <c r="K8952" s="26" t="s">
        <v>111</v>
      </c>
      <c r="L8952" s="27" t="s">
        <v>115</v>
      </c>
      <c r="M8952" s="10">
        <v>75</v>
      </c>
    </row>
    <row r="8953" spans="11:13" x14ac:dyDescent="0.25">
      <c r="K8953" s="26" t="s">
        <v>111</v>
      </c>
      <c r="L8953" s="27" t="s">
        <v>116</v>
      </c>
      <c r="M8953" s="10">
        <v>4.409171075837742</v>
      </c>
    </row>
    <row r="8954" spans="11:13" x14ac:dyDescent="0.25">
      <c r="K8954" s="26" t="s">
        <v>111</v>
      </c>
      <c r="L8954" s="27" t="s">
        <v>117</v>
      </c>
      <c r="M8954" s="10">
        <v>55.114638447971785</v>
      </c>
    </row>
    <row r="8955" spans="11:13" x14ac:dyDescent="0.25">
      <c r="K8955" s="26" t="s">
        <v>111</v>
      </c>
      <c r="L8955" s="27" t="s">
        <v>118</v>
      </c>
      <c r="M8955" s="10">
        <v>11.022927689594356</v>
      </c>
    </row>
    <row r="8956" spans="11:13" x14ac:dyDescent="0.25">
      <c r="K8956" s="26" t="s">
        <v>111</v>
      </c>
      <c r="L8956" s="27" t="s">
        <v>119</v>
      </c>
      <c r="M8956" s="10">
        <v>100</v>
      </c>
    </row>
    <row r="8957" spans="11:13" x14ac:dyDescent="0.25">
      <c r="K8957" s="26" t="s">
        <v>111</v>
      </c>
      <c r="L8957" s="27" t="s">
        <v>115</v>
      </c>
      <c r="M8957" s="10">
        <v>100</v>
      </c>
    </row>
    <row r="8958" spans="11:13" x14ac:dyDescent="0.25">
      <c r="K8958" s="26" t="s">
        <v>111</v>
      </c>
      <c r="L8958" s="27" t="s">
        <v>116</v>
      </c>
      <c r="M8958" s="10">
        <v>99.206349206349202</v>
      </c>
    </row>
    <row r="8959" spans="11:13" x14ac:dyDescent="0.25">
      <c r="K8959" s="26" t="s">
        <v>111</v>
      </c>
      <c r="L8959" s="27" t="s">
        <v>117</v>
      </c>
      <c r="M8959" s="10">
        <v>77.160493827160494</v>
      </c>
    </row>
    <row r="8960" spans="11:13" x14ac:dyDescent="0.25">
      <c r="K8960" s="26" t="s">
        <v>111</v>
      </c>
      <c r="L8960" s="27" t="s">
        <v>118</v>
      </c>
      <c r="M8960" s="10">
        <v>88.183421516754848</v>
      </c>
    </row>
    <row r="8961" spans="11:13" x14ac:dyDescent="0.25">
      <c r="K8961" s="26" t="s">
        <v>111</v>
      </c>
      <c r="L8961" s="27" t="s">
        <v>119</v>
      </c>
      <c r="M8961" s="10">
        <v>132.27513227513228</v>
      </c>
    </row>
    <row r="8962" spans="11:13" x14ac:dyDescent="0.25">
      <c r="K8962" s="26" t="s">
        <v>111</v>
      </c>
      <c r="L8962" s="27" t="s">
        <v>115</v>
      </c>
      <c r="M8962" s="10">
        <v>77.160493827160494</v>
      </c>
    </row>
    <row r="8963" spans="11:13" x14ac:dyDescent="0.25">
      <c r="K8963" s="26" t="s">
        <v>111</v>
      </c>
      <c r="L8963" s="27" t="s">
        <v>116</v>
      </c>
      <c r="M8963" s="10">
        <v>99.206349206349202</v>
      </c>
    </row>
    <row r="8964" spans="11:13" x14ac:dyDescent="0.25">
      <c r="K8964" s="26" t="s">
        <v>110</v>
      </c>
      <c r="L8964" s="27" t="s">
        <v>117</v>
      </c>
      <c r="M8964" s="10">
        <v>77.160493827160494</v>
      </c>
    </row>
    <row r="8965" spans="11:13" x14ac:dyDescent="0.25">
      <c r="K8965" s="26" t="s">
        <v>113</v>
      </c>
      <c r="L8965" s="27" t="s">
        <v>118</v>
      </c>
      <c r="M8965" s="10">
        <v>77.160493827160494</v>
      </c>
    </row>
    <row r="8966" spans="11:13" x14ac:dyDescent="0.25">
      <c r="K8966" s="26" t="s">
        <v>114</v>
      </c>
      <c r="L8966" s="27" t="s">
        <v>119</v>
      </c>
      <c r="M8966" s="10">
        <v>66.137566137566139</v>
      </c>
    </row>
    <row r="8967" spans="11:13" x14ac:dyDescent="0.25">
      <c r="K8967" s="26" t="s">
        <v>111</v>
      </c>
      <c r="L8967" s="27" t="s">
        <v>115</v>
      </c>
      <c r="M8967" s="10">
        <v>77.160493827160494</v>
      </c>
    </row>
    <row r="8968" spans="11:13" x14ac:dyDescent="0.25">
      <c r="K8968" s="26" t="s">
        <v>113</v>
      </c>
      <c r="L8968" s="27" t="s">
        <v>116</v>
      </c>
      <c r="M8968" s="10">
        <v>44.091710758377424</v>
      </c>
    </row>
    <row r="8969" spans="11:13" x14ac:dyDescent="0.25">
      <c r="K8969" s="26" t="s">
        <v>111</v>
      </c>
      <c r="L8969" s="27" t="s">
        <v>117</v>
      </c>
      <c r="M8969" s="10">
        <v>88.183421516754848</v>
      </c>
    </row>
    <row r="8970" spans="11:13" x14ac:dyDescent="0.25">
      <c r="K8970" s="26" t="s">
        <v>111</v>
      </c>
      <c r="L8970" s="27" t="s">
        <v>118</v>
      </c>
      <c r="M8970" s="10">
        <v>88.183421516754848</v>
      </c>
    </row>
    <row r="8971" spans="11:13" x14ac:dyDescent="0.25">
      <c r="K8971" s="26" t="s">
        <v>113</v>
      </c>
      <c r="L8971" s="27" t="s">
        <v>119</v>
      </c>
      <c r="M8971" s="10">
        <v>88.183421516754848</v>
      </c>
    </row>
    <row r="8972" spans="11:13" x14ac:dyDescent="0.25">
      <c r="K8972" s="26" t="s">
        <v>110</v>
      </c>
      <c r="L8972" s="27" t="s">
        <v>115</v>
      </c>
      <c r="M8972" s="10">
        <v>77.160493827160494</v>
      </c>
    </row>
    <row r="8973" spans="11:13" x14ac:dyDescent="0.25">
      <c r="K8973" s="26" t="s">
        <v>111</v>
      </c>
      <c r="L8973" s="27" t="s">
        <v>116</v>
      </c>
      <c r="M8973" s="10">
        <v>30.064368584019633</v>
      </c>
    </row>
    <row r="8974" spans="11:13" x14ac:dyDescent="0.25">
      <c r="K8974" s="26" t="s">
        <v>112</v>
      </c>
      <c r="L8974" s="27" t="s">
        <v>117</v>
      </c>
      <c r="M8974" s="10">
        <v>44.091710758377424</v>
      </c>
    </row>
    <row r="8975" spans="11:13" x14ac:dyDescent="0.25">
      <c r="K8975" s="26" t="s">
        <v>110</v>
      </c>
      <c r="L8975" s="27" t="s">
        <v>118</v>
      </c>
      <c r="M8975" s="10">
        <v>22.045855379188712</v>
      </c>
    </row>
    <row r="8976" spans="11:13" x14ac:dyDescent="0.25">
      <c r="K8976" s="26" t="s">
        <v>110</v>
      </c>
      <c r="L8976" s="27" t="s">
        <v>119</v>
      </c>
      <c r="M8976" s="10">
        <v>30.013345890568292</v>
      </c>
    </row>
    <row r="8977" spans="11:13" x14ac:dyDescent="0.25">
      <c r="K8977" s="26" t="s">
        <v>110</v>
      </c>
      <c r="L8977" s="27" t="s">
        <v>115</v>
      </c>
      <c r="M8977" s="10">
        <v>137.66811394683893</v>
      </c>
    </row>
    <row r="8978" spans="11:13" x14ac:dyDescent="0.25">
      <c r="K8978" s="26" t="s">
        <v>110</v>
      </c>
      <c r="L8978" s="27" t="s">
        <v>116</v>
      </c>
      <c r="M8978" s="10">
        <v>38.54406228720466</v>
      </c>
    </row>
    <row r="8979" spans="11:13" x14ac:dyDescent="0.25">
      <c r="K8979" s="26" t="s">
        <v>111</v>
      </c>
      <c r="L8979" s="27" t="s">
        <v>117</v>
      </c>
      <c r="M8979" s="10">
        <v>22.045855379188712</v>
      </c>
    </row>
    <row r="8980" spans="11:13" x14ac:dyDescent="0.25">
      <c r="K8980" s="26" t="s">
        <v>110</v>
      </c>
      <c r="L8980" s="27" t="s">
        <v>118</v>
      </c>
      <c r="M8980" s="10">
        <v>33.06878306878307</v>
      </c>
    </row>
    <row r="8981" spans="11:13" x14ac:dyDescent="0.25">
      <c r="K8981" s="26" t="s">
        <v>110</v>
      </c>
      <c r="L8981" s="27" t="s">
        <v>119</v>
      </c>
      <c r="M8981" s="10">
        <v>77.017868145409736</v>
      </c>
    </row>
    <row r="8982" spans="11:13" x14ac:dyDescent="0.25">
      <c r="K8982" s="26" t="s">
        <v>113</v>
      </c>
      <c r="L8982" s="27" t="s">
        <v>115</v>
      </c>
      <c r="M8982" s="10">
        <v>18.456106563954421</v>
      </c>
    </row>
    <row r="8983" spans="11:13" x14ac:dyDescent="0.25">
      <c r="K8983" s="26" t="s">
        <v>112</v>
      </c>
      <c r="L8983" s="27" t="s">
        <v>116</v>
      </c>
      <c r="M8983" s="10">
        <v>57.763401109057305</v>
      </c>
    </row>
    <row r="8984" spans="11:13" x14ac:dyDescent="0.25">
      <c r="K8984" s="26" t="s">
        <v>110</v>
      </c>
      <c r="L8984" s="27" t="s">
        <v>117</v>
      </c>
      <c r="M8984" s="10">
        <v>264.74637297469025</v>
      </c>
    </row>
    <row r="8985" spans="11:13" x14ac:dyDescent="0.25">
      <c r="K8985" s="26" t="s">
        <v>110</v>
      </c>
      <c r="L8985" s="27" t="s">
        <v>118</v>
      </c>
      <c r="M8985" s="10">
        <v>105.89854918987609</v>
      </c>
    </row>
    <row r="8986" spans="11:13" x14ac:dyDescent="0.25">
      <c r="K8986" s="26" t="s">
        <v>111</v>
      </c>
      <c r="L8986" s="27" t="s">
        <v>119</v>
      </c>
      <c r="M8986" s="10">
        <v>91.9</v>
      </c>
    </row>
    <row r="8987" spans="11:13" x14ac:dyDescent="0.25">
      <c r="K8987" s="26" t="s">
        <v>110</v>
      </c>
      <c r="L8987" s="27" t="s">
        <v>115</v>
      </c>
      <c r="M8987" s="10">
        <v>61.614294516327789</v>
      </c>
    </row>
    <row r="8988" spans="11:13" x14ac:dyDescent="0.25">
      <c r="K8988" s="26" t="s">
        <v>110</v>
      </c>
      <c r="L8988" s="27" t="s">
        <v>116</v>
      </c>
      <c r="M8988" s="10">
        <v>110.22927689594357</v>
      </c>
    </row>
    <row r="8989" spans="11:13" x14ac:dyDescent="0.25">
      <c r="K8989" s="26" t="s">
        <v>113</v>
      </c>
      <c r="L8989" s="27" t="s">
        <v>117</v>
      </c>
      <c r="M8989" s="10">
        <v>12.848020762401553</v>
      </c>
    </row>
    <row r="8990" spans="11:13" x14ac:dyDescent="0.25">
      <c r="K8990" s="26" t="s">
        <v>113</v>
      </c>
      <c r="L8990" s="27" t="s">
        <v>118</v>
      </c>
      <c r="M8990" s="10">
        <v>107.96159323746957</v>
      </c>
    </row>
    <row r="8991" spans="11:13" x14ac:dyDescent="0.25">
      <c r="K8991" s="26" t="s">
        <v>113</v>
      </c>
      <c r="L8991" s="27" t="s">
        <v>119</v>
      </c>
      <c r="M8991" s="10">
        <v>321.58772453714334</v>
      </c>
    </row>
    <row r="8992" spans="11:13" x14ac:dyDescent="0.25">
      <c r="K8992" s="26" t="s">
        <v>113</v>
      </c>
      <c r="L8992" s="27" t="s">
        <v>115</v>
      </c>
      <c r="M8992" s="10">
        <v>114.85275876326548</v>
      </c>
    </row>
    <row r="8993" spans="11:13" x14ac:dyDescent="0.25">
      <c r="K8993" s="26" t="s">
        <v>111</v>
      </c>
      <c r="L8993" s="27" t="s">
        <v>116</v>
      </c>
      <c r="M8993" s="10">
        <v>105.89854918987609</v>
      </c>
    </row>
    <row r="8994" spans="11:13" x14ac:dyDescent="0.25">
      <c r="K8994" s="26" t="s">
        <v>110</v>
      </c>
      <c r="L8994" s="27" t="s">
        <v>117</v>
      </c>
      <c r="M8994" s="10">
        <v>38.508934072704868</v>
      </c>
    </row>
    <row r="8995" spans="11:13" x14ac:dyDescent="0.25">
      <c r="K8995" s="26" t="s">
        <v>110</v>
      </c>
      <c r="L8995" s="27" t="s">
        <v>118</v>
      </c>
      <c r="M8995" s="10">
        <v>20</v>
      </c>
    </row>
    <row r="8996" spans="11:13" x14ac:dyDescent="0.25">
      <c r="K8996" s="26" t="s">
        <v>113</v>
      </c>
      <c r="L8996" s="27" t="s">
        <v>119</v>
      </c>
      <c r="M8996" s="10">
        <v>12.848020762401553</v>
      </c>
    </row>
    <row r="8997" spans="11:13" x14ac:dyDescent="0.25">
      <c r="K8997" s="26" t="s">
        <v>111</v>
      </c>
      <c r="L8997" s="27" t="s">
        <v>115</v>
      </c>
      <c r="M8997" s="10">
        <v>150</v>
      </c>
    </row>
    <row r="8998" spans="11:13" x14ac:dyDescent="0.25">
      <c r="K8998" s="26" t="s">
        <v>111</v>
      </c>
      <c r="L8998" s="27" t="s">
        <v>116</v>
      </c>
      <c r="M8998" s="10">
        <v>51.392083049606214</v>
      </c>
    </row>
    <row r="8999" spans="11:13" x14ac:dyDescent="0.25">
      <c r="K8999" s="26" t="s">
        <v>111</v>
      </c>
      <c r="L8999" s="27" t="s">
        <v>117</v>
      </c>
      <c r="M8999" s="10">
        <v>211.79709837975219</v>
      </c>
    </row>
    <row r="9000" spans="11:13" x14ac:dyDescent="0.25">
      <c r="K9000" s="26" t="s">
        <v>111</v>
      </c>
      <c r="L9000" s="27" t="s">
        <v>118</v>
      </c>
      <c r="M9000" s="10">
        <v>200</v>
      </c>
    </row>
    <row r="9001" spans="11:13" x14ac:dyDescent="0.25">
      <c r="K9001" s="26" t="s">
        <v>111</v>
      </c>
      <c r="L9001" s="27" t="s">
        <v>119</v>
      </c>
      <c r="M9001" s="10">
        <v>100</v>
      </c>
    </row>
    <row r="9002" spans="11:13" x14ac:dyDescent="0.25">
      <c r="K9002" s="26" t="s">
        <v>111</v>
      </c>
      <c r="L9002" s="27" t="s">
        <v>115</v>
      </c>
      <c r="M9002" s="10">
        <v>11</v>
      </c>
    </row>
    <row r="9003" spans="11:13" x14ac:dyDescent="0.25">
      <c r="K9003" s="26" t="s">
        <v>111</v>
      </c>
      <c r="L9003" s="27" t="s">
        <v>116</v>
      </c>
      <c r="M9003" s="10">
        <v>18.376441402122481</v>
      </c>
    </row>
    <row r="9004" spans="11:13" x14ac:dyDescent="0.25">
      <c r="K9004" s="26" t="s">
        <v>111</v>
      </c>
      <c r="L9004" s="27" t="s">
        <v>117</v>
      </c>
      <c r="M9004" s="10">
        <v>105.89854918987609</v>
      </c>
    </row>
    <row r="9005" spans="11:13" x14ac:dyDescent="0.25">
      <c r="K9005" s="26" t="s">
        <v>111</v>
      </c>
      <c r="L9005" s="27" t="s">
        <v>118</v>
      </c>
      <c r="M9005" s="10">
        <v>5.8660583346912167</v>
      </c>
    </row>
    <row r="9006" spans="11:13" x14ac:dyDescent="0.25">
      <c r="K9006" s="26" t="s">
        <v>111</v>
      </c>
      <c r="L9006" s="27" t="s">
        <v>119</v>
      </c>
      <c r="M9006" s="10">
        <v>52.949274594938046</v>
      </c>
    </row>
    <row r="9007" spans="11:13" x14ac:dyDescent="0.25">
      <c r="K9007" s="26" t="s">
        <v>111</v>
      </c>
      <c r="L9007" s="27" t="s">
        <v>115</v>
      </c>
      <c r="M9007" s="10">
        <v>5.8660583346912167</v>
      </c>
    </row>
    <row r="9008" spans="11:13" x14ac:dyDescent="0.25">
      <c r="K9008" s="26" t="s">
        <v>111</v>
      </c>
      <c r="L9008" s="27" t="s">
        <v>116</v>
      </c>
      <c r="M9008" s="10">
        <v>44.091710758377424</v>
      </c>
    </row>
    <row r="9009" spans="11:13" x14ac:dyDescent="0.25">
      <c r="K9009" s="26" t="s">
        <v>111</v>
      </c>
      <c r="L9009" s="27" t="s">
        <v>117</v>
      </c>
      <c r="M9009" s="10">
        <v>121.54606595899845</v>
      </c>
    </row>
    <row r="9010" spans="11:13" x14ac:dyDescent="0.25">
      <c r="K9010" s="26" t="s">
        <v>111</v>
      </c>
      <c r="L9010" s="27" t="s">
        <v>118</v>
      </c>
      <c r="M9010" s="10">
        <v>20.257677659833075</v>
      </c>
    </row>
    <row r="9011" spans="11:13" x14ac:dyDescent="0.25">
      <c r="K9011" s="26" t="s">
        <v>111</v>
      </c>
      <c r="L9011" s="27" t="s">
        <v>119</v>
      </c>
      <c r="M9011" s="10">
        <v>162.0614212786646</v>
      </c>
    </row>
    <row r="9012" spans="11:13" x14ac:dyDescent="0.25">
      <c r="K9012" s="26" t="s">
        <v>111</v>
      </c>
      <c r="L9012" s="27" t="s">
        <v>115</v>
      </c>
      <c r="M9012" s="10">
        <v>65.178425941013529</v>
      </c>
    </row>
    <row r="9013" spans="11:13" x14ac:dyDescent="0.25">
      <c r="K9013" s="26" t="s">
        <v>111</v>
      </c>
      <c r="L9013" s="27" t="s">
        <v>116</v>
      </c>
      <c r="M9013" s="10">
        <v>154.03573629081947</v>
      </c>
    </row>
    <row r="9014" spans="11:13" x14ac:dyDescent="0.25">
      <c r="K9014" s="26" t="s">
        <v>111</v>
      </c>
      <c r="L9014" s="27" t="s">
        <v>117</v>
      </c>
      <c r="M9014" s="10">
        <v>77.160493827160494</v>
      </c>
    </row>
    <row r="9015" spans="11:13" x14ac:dyDescent="0.25">
      <c r="K9015" s="26" t="s">
        <v>111</v>
      </c>
      <c r="L9015" s="27" t="s">
        <v>118</v>
      </c>
      <c r="M9015" s="10">
        <v>121.54606595899845</v>
      </c>
    </row>
    <row r="9016" spans="11:13" x14ac:dyDescent="0.25">
      <c r="K9016" s="26" t="s">
        <v>111</v>
      </c>
      <c r="L9016" s="27" t="s">
        <v>119</v>
      </c>
      <c r="M9016" s="10">
        <v>121.54606595899845</v>
      </c>
    </row>
    <row r="9017" spans="11:13" x14ac:dyDescent="0.25">
      <c r="K9017" s="26" t="s">
        <v>110</v>
      </c>
      <c r="L9017" s="27" t="s">
        <v>115</v>
      </c>
      <c r="M9017" s="10">
        <v>275.57319223985888</v>
      </c>
    </row>
    <row r="9018" spans="11:13" x14ac:dyDescent="0.25">
      <c r="K9018" s="26" t="s">
        <v>111</v>
      </c>
      <c r="L9018" s="27" t="s">
        <v>116</v>
      </c>
      <c r="M9018" s="10">
        <v>5.8660583346912167</v>
      </c>
    </row>
    <row r="9019" spans="11:13" x14ac:dyDescent="0.25">
      <c r="K9019" s="26" t="s">
        <v>111</v>
      </c>
      <c r="L9019" s="27" t="s">
        <v>117</v>
      </c>
      <c r="M9019" s="10">
        <v>14.220889717202821</v>
      </c>
    </row>
    <row r="9020" spans="11:13" x14ac:dyDescent="0.25">
      <c r="K9020" s="26" t="s">
        <v>110</v>
      </c>
      <c r="L9020" s="27" t="s">
        <v>118</v>
      </c>
      <c r="M9020" s="10">
        <v>12</v>
      </c>
    </row>
    <row r="9021" spans="11:13" x14ac:dyDescent="0.25">
      <c r="K9021" s="26" t="s">
        <v>111</v>
      </c>
      <c r="L9021" s="27" t="s">
        <v>119</v>
      </c>
      <c r="M9021" s="10">
        <v>110.22927689594357</v>
      </c>
    </row>
    <row r="9022" spans="11:13" x14ac:dyDescent="0.25">
      <c r="K9022" s="26" t="s">
        <v>111</v>
      </c>
      <c r="L9022" s="27" t="s">
        <v>115</v>
      </c>
      <c r="M9022" s="10">
        <v>123.22858903265558</v>
      </c>
    </row>
    <row r="9023" spans="11:13" x14ac:dyDescent="0.25">
      <c r="K9023" s="26" t="s">
        <v>111</v>
      </c>
      <c r="L9023" s="27" t="s">
        <v>116</v>
      </c>
      <c r="M9023" s="10">
        <v>11.022927689594356</v>
      </c>
    </row>
    <row r="9024" spans="11:13" x14ac:dyDescent="0.25">
      <c r="K9024" s="26" t="s">
        <v>111</v>
      </c>
      <c r="L9024" s="27" t="s">
        <v>117</v>
      </c>
      <c r="M9024" s="10">
        <v>70</v>
      </c>
    </row>
    <row r="9025" spans="11:13" x14ac:dyDescent="0.25">
      <c r="K9025" s="26" t="s">
        <v>110</v>
      </c>
      <c r="L9025" s="27" t="s">
        <v>118</v>
      </c>
      <c r="M9025" s="10">
        <v>20</v>
      </c>
    </row>
    <row r="9026" spans="11:13" x14ac:dyDescent="0.25">
      <c r="K9026" s="26" t="s">
        <v>110</v>
      </c>
      <c r="L9026" s="27" t="s">
        <v>119</v>
      </c>
      <c r="M9026" s="10">
        <v>50</v>
      </c>
    </row>
    <row r="9027" spans="11:13" x14ac:dyDescent="0.25">
      <c r="K9027" s="26" t="s">
        <v>111</v>
      </c>
      <c r="L9027" s="27" t="s">
        <v>115</v>
      </c>
      <c r="M9027" s="10">
        <v>45.95</v>
      </c>
    </row>
    <row r="9028" spans="11:13" x14ac:dyDescent="0.25">
      <c r="K9028" s="26" t="s">
        <v>111</v>
      </c>
      <c r="L9028" s="27" t="s">
        <v>116</v>
      </c>
      <c r="M9028" s="10">
        <v>50</v>
      </c>
    </row>
    <row r="9029" spans="11:13" x14ac:dyDescent="0.25">
      <c r="K9029" s="26" t="s">
        <v>111</v>
      </c>
      <c r="L9029" s="27" t="s">
        <v>117</v>
      </c>
      <c r="M9029" s="10">
        <v>338.87535740760353</v>
      </c>
    </row>
    <row r="9030" spans="11:13" x14ac:dyDescent="0.25">
      <c r="K9030" s="26" t="s">
        <v>111</v>
      </c>
      <c r="L9030" s="27" t="s">
        <v>118</v>
      </c>
      <c r="M9030" s="10">
        <v>232.97680821772741</v>
      </c>
    </row>
    <row r="9031" spans="11:13" x14ac:dyDescent="0.25">
      <c r="K9031" s="26" t="s">
        <v>111</v>
      </c>
      <c r="L9031" s="27" t="s">
        <v>119</v>
      </c>
      <c r="M9031" s="10">
        <v>423.59419675950437</v>
      </c>
    </row>
    <row r="9032" spans="11:13" x14ac:dyDescent="0.25">
      <c r="K9032" s="26" t="s">
        <v>112</v>
      </c>
      <c r="L9032" s="27" t="s">
        <v>115</v>
      </c>
      <c r="M9032" s="10">
        <v>50.061614294516332</v>
      </c>
    </row>
    <row r="9033" spans="11:13" x14ac:dyDescent="0.25">
      <c r="K9033" s="26" t="s">
        <v>110</v>
      </c>
      <c r="L9033" s="27" t="s">
        <v>116</v>
      </c>
      <c r="M9033" s="10">
        <v>158.84782378481412</v>
      </c>
    </row>
    <row r="9034" spans="11:13" x14ac:dyDescent="0.25">
      <c r="K9034" s="26" t="s">
        <v>110</v>
      </c>
      <c r="L9034" s="27" t="s">
        <v>117</v>
      </c>
      <c r="M9034" s="10">
        <v>211.79709837975219</v>
      </c>
    </row>
    <row r="9035" spans="11:13" x14ac:dyDescent="0.25">
      <c r="K9035" s="26" t="s">
        <v>110</v>
      </c>
      <c r="L9035" s="27" t="s">
        <v>118</v>
      </c>
      <c r="M9035" s="10">
        <v>75</v>
      </c>
    </row>
    <row r="9036" spans="11:13" x14ac:dyDescent="0.25">
      <c r="K9036" s="26" t="s">
        <v>110</v>
      </c>
      <c r="L9036" s="27" t="s">
        <v>119</v>
      </c>
      <c r="M9036" s="10">
        <v>330.68783068783068</v>
      </c>
    </row>
    <row r="9037" spans="11:13" x14ac:dyDescent="0.25">
      <c r="K9037" s="26" t="s">
        <v>110</v>
      </c>
      <c r="L9037" s="27" t="s">
        <v>115</v>
      </c>
      <c r="M9037" s="10">
        <v>220.45855379188714</v>
      </c>
    </row>
    <row r="9038" spans="11:13" x14ac:dyDescent="0.25">
      <c r="K9038" s="26" t="s">
        <v>110</v>
      </c>
      <c r="L9038" s="27" t="s">
        <v>116</v>
      </c>
      <c r="M9038" s="10">
        <v>220.45855379188714</v>
      </c>
    </row>
    <row r="9039" spans="11:13" x14ac:dyDescent="0.25">
      <c r="K9039" s="26" t="s">
        <v>113</v>
      </c>
      <c r="L9039" s="27" t="s">
        <v>117</v>
      </c>
      <c r="M9039" s="10">
        <v>110.22927689594357</v>
      </c>
    </row>
    <row r="9040" spans="11:13" x14ac:dyDescent="0.25">
      <c r="K9040" s="26" t="s">
        <v>113</v>
      </c>
      <c r="L9040" s="27" t="s">
        <v>118</v>
      </c>
      <c r="M9040" s="10">
        <v>110.22927689594357</v>
      </c>
    </row>
    <row r="9041" spans="11:13" x14ac:dyDescent="0.25">
      <c r="K9041" s="26" t="s">
        <v>113</v>
      </c>
      <c r="L9041" s="27" t="s">
        <v>119</v>
      </c>
      <c r="M9041" s="10">
        <v>110.22927689594357</v>
      </c>
    </row>
    <row r="9042" spans="11:13" x14ac:dyDescent="0.25">
      <c r="K9042" s="26" t="s">
        <v>110</v>
      </c>
      <c r="L9042" s="27" t="s">
        <v>115</v>
      </c>
      <c r="M9042" s="10">
        <v>132.27513227513228</v>
      </c>
    </row>
    <row r="9043" spans="11:13" x14ac:dyDescent="0.25">
      <c r="K9043" s="26" t="s">
        <v>109</v>
      </c>
      <c r="L9043" s="27" t="s">
        <v>116</v>
      </c>
      <c r="M9043" s="10">
        <v>110.22927689594357</v>
      </c>
    </row>
    <row r="9044" spans="11:13" x14ac:dyDescent="0.25">
      <c r="K9044" s="26" t="s">
        <v>110</v>
      </c>
      <c r="L9044" s="27" t="s">
        <v>117</v>
      </c>
      <c r="M9044" s="10">
        <v>110.22927689594357</v>
      </c>
    </row>
    <row r="9045" spans="11:13" x14ac:dyDescent="0.25">
      <c r="K9045" s="26" t="s">
        <v>109</v>
      </c>
      <c r="L9045" s="27" t="s">
        <v>118</v>
      </c>
      <c r="M9045" s="10">
        <v>110.22927689594357</v>
      </c>
    </row>
    <row r="9046" spans="11:13" x14ac:dyDescent="0.25">
      <c r="K9046" s="26" t="s">
        <v>110</v>
      </c>
      <c r="L9046" s="27" t="s">
        <v>119</v>
      </c>
      <c r="M9046" s="10">
        <v>110.22927689594357</v>
      </c>
    </row>
    <row r="9047" spans="11:13" x14ac:dyDescent="0.25">
      <c r="K9047" s="26" t="s">
        <v>110</v>
      </c>
      <c r="L9047" s="27" t="s">
        <v>115</v>
      </c>
      <c r="M9047" s="10">
        <v>110.22927689594357</v>
      </c>
    </row>
    <row r="9048" spans="11:13" x14ac:dyDescent="0.25">
      <c r="K9048" s="26" t="s">
        <v>110</v>
      </c>
      <c r="L9048" s="27" t="s">
        <v>116</v>
      </c>
      <c r="M9048" s="10">
        <v>110.22927689594357</v>
      </c>
    </row>
    <row r="9049" spans="11:13" x14ac:dyDescent="0.25">
      <c r="K9049" s="26" t="s">
        <v>110</v>
      </c>
      <c r="L9049" s="27" t="s">
        <v>117</v>
      </c>
      <c r="M9049" s="10">
        <v>11.022927689594356</v>
      </c>
    </row>
    <row r="9050" spans="11:13" x14ac:dyDescent="0.25">
      <c r="K9050" s="26" t="s">
        <v>109</v>
      </c>
      <c r="L9050" s="27" t="s">
        <v>118</v>
      </c>
      <c r="M9050" s="10">
        <v>20.060985395602632</v>
      </c>
    </row>
    <row r="9051" spans="11:13" x14ac:dyDescent="0.25">
      <c r="K9051" s="26" t="s">
        <v>112</v>
      </c>
      <c r="L9051" s="27" t="s">
        <v>119</v>
      </c>
      <c r="M9051" s="10">
        <v>110.22927689594357</v>
      </c>
    </row>
    <row r="9052" spans="11:13" x14ac:dyDescent="0.25">
      <c r="K9052" s="26" t="s">
        <v>112</v>
      </c>
      <c r="L9052" s="27" t="s">
        <v>115</v>
      </c>
      <c r="M9052" s="10">
        <v>3.0864197530864197</v>
      </c>
    </row>
    <row r="9053" spans="11:13" x14ac:dyDescent="0.25">
      <c r="K9053" s="26" t="s">
        <v>113</v>
      </c>
      <c r="L9053" s="27" t="s">
        <v>116</v>
      </c>
      <c r="M9053" s="10">
        <v>13.227513227513228</v>
      </c>
    </row>
    <row r="9054" spans="11:13" x14ac:dyDescent="0.25">
      <c r="K9054" s="26" t="s">
        <v>110</v>
      </c>
      <c r="L9054" s="27" t="s">
        <v>117</v>
      </c>
      <c r="M9054" s="10">
        <v>13.227513227513228</v>
      </c>
    </row>
    <row r="9055" spans="11:13" x14ac:dyDescent="0.25">
      <c r="K9055" s="26" t="s">
        <v>112</v>
      </c>
      <c r="L9055" s="27" t="s">
        <v>118</v>
      </c>
      <c r="M9055" s="10">
        <v>19.27203114360233</v>
      </c>
    </row>
    <row r="9056" spans="11:13" x14ac:dyDescent="0.25">
      <c r="K9056" s="26" t="s">
        <v>112</v>
      </c>
      <c r="L9056" s="27" t="s">
        <v>119</v>
      </c>
      <c r="M9056" s="10">
        <v>44.091710758377424</v>
      </c>
    </row>
    <row r="9057" spans="11:13" x14ac:dyDescent="0.25">
      <c r="K9057" s="26" t="s">
        <v>112</v>
      </c>
      <c r="L9057" s="27" t="s">
        <v>115</v>
      </c>
      <c r="M9057" s="10">
        <v>80.243941582410528</v>
      </c>
    </row>
    <row r="9058" spans="11:13" x14ac:dyDescent="0.25">
      <c r="K9058" s="26" t="s">
        <v>112</v>
      </c>
      <c r="L9058" s="27" t="s">
        <v>116</v>
      </c>
      <c r="M9058" s="10">
        <v>100</v>
      </c>
    </row>
    <row r="9059" spans="11:13" x14ac:dyDescent="0.25">
      <c r="K9059" s="26" t="s">
        <v>112</v>
      </c>
      <c r="L9059" s="27" t="s">
        <v>117</v>
      </c>
      <c r="M9059" s="10">
        <v>55.153395380903135</v>
      </c>
    </row>
    <row r="9060" spans="11:13" x14ac:dyDescent="0.25">
      <c r="K9060" s="26" t="s">
        <v>112</v>
      </c>
      <c r="L9060" s="27" t="s">
        <v>118</v>
      </c>
      <c r="M9060" s="10">
        <v>150</v>
      </c>
    </row>
    <row r="9061" spans="11:13" x14ac:dyDescent="0.25">
      <c r="K9061" s="26" t="s">
        <v>111</v>
      </c>
      <c r="L9061" s="27" t="s">
        <v>119</v>
      </c>
      <c r="M9061" s="10">
        <v>440.91710758377428</v>
      </c>
    </row>
    <row r="9062" spans="11:13" x14ac:dyDescent="0.25">
      <c r="K9062" s="26" t="s">
        <v>111</v>
      </c>
      <c r="L9062" s="27" t="s">
        <v>115</v>
      </c>
      <c r="M9062" s="10">
        <v>88.183421516754848</v>
      </c>
    </row>
    <row r="9063" spans="11:13" x14ac:dyDescent="0.25">
      <c r="K9063" s="26" t="s">
        <v>111</v>
      </c>
      <c r="L9063" s="27" t="s">
        <v>116</v>
      </c>
      <c r="M9063" s="10">
        <v>11.022927689594356</v>
      </c>
    </row>
    <row r="9064" spans="11:13" x14ac:dyDescent="0.25">
      <c r="K9064" s="26" t="s">
        <v>111</v>
      </c>
      <c r="L9064" s="27" t="s">
        <v>117</v>
      </c>
      <c r="M9064" s="10">
        <v>176.3668430335097</v>
      </c>
    </row>
    <row r="9065" spans="11:13" x14ac:dyDescent="0.25">
      <c r="K9065" s="26" t="s">
        <v>111</v>
      </c>
      <c r="L9065" s="27" t="s">
        <v>118</v>
      </c>
      <c r="M9065" s="10">
        <v>154.32098765432099</v>
      </c>
    </row>
    <row r="9066" spans="11:13" x14ac:dyDescent="0.25">
      <c r="K9066" s="26" t="s">
        <v>111</v>
      </c>
      <c r="L9066" s="27" t="s">
        <v>119</v>
      </c>
      <c r="M9066" s="10">
        <v>264.55026455026456</v>
      </c>
    </row>
    <row r="9067" spans="11:13" x14ac:dyDescent="0.25">
      <c r="K9067" s="26" t="s">
        <v>111</v>
      </c>
      <c r="L9067" s="27" t="s">
        <v>115</v>
      </c>
      <c r="M9067" s="10">
        <v>18.959435626102291</v>
      </c>
    </row>
    <row r="9068" spans="11:13" x14ac:dyDescent="0.25">
      <c r="K9068" s="26" t="s">
        <v>111</v>
      </c>
      <c r="L9068" s="27" t="s">
        <v>116</v>
      </c>
      <c r="M9068" s="10">
        <v>0.44091710758377428</v>
      </c>
    </row>
    <row r="9069" spans="11:13" x14ac:dyDescent="0.25">
      <c r="K9069" s="26" t="s">
        <v>111</v>
      </c>
      <c r="L9069" s="27" t="s">
        <v>117</v>
      </c>
      <c r="M9069" s="10">
        <v>37.173162628636248</v>
      </c>
    </row>
    <row r="9070" spans="11:13" x14ac:dyDescent="0.25">
      <c r="K9070" s="26" t="s">
        <v>111</v>
      </c>
      <c r="L9070" s="27" t="s">
        <v>118</v>
      </c>
      <c r="M9070" s="10">
        <v>96.935367114787994</v>
      </c>
    </row>
    <row r="9071" spans="11:13" x14ac:dyDescent="0.25">
      <c r="K9071" s="26" t="s">
        <v>111</v>
      </c>
      <c r="L9071" s="27" t="s">
        <v>119</v>
      </c>
      <c r="M9071" s="10">
        <v>185.45329196828681</v>
      </c>
    </row>
    <row r="9072" spans="11:13" x14ac:dyDescent="0.25">
      <c r="K9072" s="26" t="s">
        <v>111</v>
      </c>
      <c r="L9072" s="27" t="s">
        <v>115</v>
      </c>
      <c r="M9072" s="10">
        <v>92.037228541882101</v>
      </c>
    </row>
    <row r="9073" spans="11:13" x14ac:dyDescent="0.25">
      <c r="K9073" s="26" t="s">
        <v>111</v>
      </c>
      <c r="L9073" s="27" t="s">
        <v>116</v>
      </c>
      <c r="M9073" s="10">
        <v>354.28219346888477</v>
      </c>
    </row>
    <row r="9074" spans="11:13" x14ac:dyDescent="0.25">
      <c r="K9074" s="26" t="s">
        <v>111</v>
      </c>
      <c r="L9074" s="27" t="s">
        <v>117</v>
      </c>
      <c r="M9074" s="10">
        <v>460.65663312647655</v>
      </c>
    </row>
    <row r="9075" spans="11:13" x14ac:dyDescent="0.25">
      <c r="K9075" s="26" t="s">
        <v>111</v>
      </c>
      <c r="L9075" s="27" t="s">
        <v>118</v>
      </c>
      <c r="M9075" s="10">
        <v>296.51593773165303</v>
      </c>
    </row>
    <row r="9076" spans="11:13" x14ac:dyDescent="0.25">
      <c r="K9076" s="26" t="s">
        <v>111</v>
      </c>
      <c r="L9076" s="27" t="s">
        <v>119</v>
      </c>
      <c r="M9076" s="10">
        <v>211.79709837975219</v>
      </c>
    </row>
    <row r="9077" spans="11:13" x14ac:dyDescent="0.25">
      <c r="K9077" s="26" t="s">
        <v>111</v>
      </c>
      <c r="L9077" s="27" t="s">
        <v>115</v>
      </c>
      <c r="M9077" s="10">
        <v>77.017868145409736</v>
      </c>
    </row>
    <row r="9078" spans="11:13" x14ac:dyDescent="0.25">
      <c r="K9078" s="26" t="s">
        <v>111</v>
      </c>
      <c r="L9078" s="27" t="s">
        <v>116</v>
      </c>
      <c r="M9078" s="10">
        <v>250</v>
      </c>
    </row>
    <row r="9079" spans="11:13" x14ac:dyDescent="0.25">
      <c r="K9079" s="26" t="s">
        <v>111</v>
      </c>
      <c r="L9079" s="27" t="s">
        <v>117</v>
      </c>
      <c r="M9079" s="10">
        <v>68.941744226128904</v>
      </c>
    </row>
    <row r="9080" spans="11:13" x14ac:dyDescent="0.25">
      <c r="K9080" s="26" t="s">
        <v>111</v>
      </c>
      <c r="L9080" s="27" t="s">
        <v>118</v>
      </c>
      <c r="M9080" s="10">
        <v>70.946390744663532</v>
      </c>
    </row>
    <row r="9081" spans="11:13" x14ac:dyDescent="0.25">
      <c r="K9081" s="26" t="s">
        <v>111</v>
      </c>
      <c r="L9081" s="27" t="s">
        <v>119</v>
      </c>
      <c r="M9081" s="10">
        <v>13.035685188202706</v>
      </c>
    </row>
    <row r="9082" spans="11:13" x14ac:dyDescent="0.25">
      <c r="K9082" s="26" t="s">
        <v>111</v>
      </c>
      <c r="L9082" s="27" t="s">
        <v>115</v>
      </c>
      <c r="M9082" s="10">
        <v>35.301607287397374</v>
      </c>
    </row>
    <row r="9083" spans="11:13" x14ac:dyDescent="0.25">
      <c r="K9083" s="26" t="s">
        <v>111</v>
      </c>
      <c r="L9083" s="27" t="s">
        <v>116</v>
      </c>
      <c r="M9083" s="10">
        <v>81.030710639332298</v>
      </c>
    </row>
    <row r="9084" spans="11:13" x14ac:dyDescent="0.25">
      <c r="K9084" s="26" t="s">
        <v>111</v>
      </c>
      <c r="L9084" s="27" t="s">
        <v>117</v>
      </c>
      <c r="M9084" s="10">
        <v>71.649029982363317</v>
      </c>
    </row>
    <row r="9085" spans="11:13" x14ac:dyDescent="0.25">
      <c r="K9085" s="26" t="s">
        <v>111</v>
      </c>
      <c r="L9085" s="27" t="s">
        <v>118</v>
      </c>
      <c r="M9085" s="10">
        <v>68.579207519649955</v>
      </c>
    </row>
    <row r="9086" spans="11:13" x14ac:dyDescent="0.25">
      <c r="K9086" s="26" t="s">
        <v>111</v>
      </c>
      <c r="L9086" s="27" t="s">
        <v>119</v>
      </c>
      <c r="M9086" s="10">
        <v>162.94606485253382</v>
      </c>
    </row>
    <row r="9087" spans="11:13" x14ac:dyDescent="0.25">
      <c r="K9087" s="26" t="s">
        <v>111</v>
      </c>
      <c r="L9087" s="27" t="s">
        <v>115</v>
      </c>
      <c r="M9087" s="10">
        <v>92.421441774491683</v>
      </c>
    </row>
    <row r="9088" spans="11:13" x14ac:dyDescent="0.25">
      <c r="K9088" s="26" t="s">
        <v>111</v>
      </c>
      <c r="L9088" s="27" t="s">
        <v>116</v>
      </c>
      <c r="M9088" s="10">
        <v>66.137566137566139</v>
      </c>
    </row>
    <row r="9089" spans="11:13" x14ac:dyDescent="0.25">
      <c r="K9089" s="26" t="s">
        <v>111</v>
      </c>
      <c r="L9089" s="27" t="s">
        <v>117</v>
      </c>
      <c r="M9089" s="10">
        <v>23.105360443622921</v>
      </c>
    </row>
    <row r="9090" spans="11:13" x14ac:dyDescent="0.25">
      <c r="K9090" s="26" t="s">
        <v>111</v>
      </c>
      <c r="L9090" s="27" t="s">
        <v>118</v>
      </c>
      <c r="M9090" s="10">
        <v>308.07147258163894</v>
      </c>
    </row>
    <row r="9091" spans="11:13" x14ac:dyDescent="0.25">
      <c r="K9091" s="26" t="s">
        <v>110</v>
      </c>
      <c r="L9091" s="27" t="s">
        <v>119</v>
      </c>
      <c r="M9091" s="10">
        <v>40</v>
      </c>
    </row>
    <row r="9092" spans="11:13" x14ac:dyDescent="0.25">
      <c r="K9092" s="26" t="s">
        <v>110</v>
      </c>
      <c r="L9092" s="27" t="s">
        <v>115</v>
      </c>
      <c r="M9092" s="10">
        <v>771.60493827160496</v>
      </c>
    </row>
    <row r="9093" spans="11:13" x14ac:dyDescent="0.25">
      <c r="K9093" s="26" t="s">
        <v>110</v>
      </c>
      <c r="L9093" s="27" t="s">
        <v>116</v>
      </c>
      <c r="M9093" s="10">
        <v>30.8641975308642</v>
      </c>
    </row>
    <row r="9094" spans="11:13" x14ac:dyDescent="0.25">
      <c r="K9094" s="26" t="s">
        <v>110</v>
      </c>
      <c r="L9094" s="27" t="s">
        <v>117</v>
      </c>
      <c r="M9094" s="10">
        <v>76.403780348704586</v>
      </c>
    </row>
    <row r="9095" spans="11:13" x14ac:dyDescent="0.25">
      <c r="K9095" s="26" t="s">
        <v>109</v>
      </c>
      <c r="L9095" s="27" t="s">
        <v>118</v>
      </c>
      <c r="M9095" s="10">
        <v>91.585994669695125</v>
      </c>
    </row>
    <row r="9096" spans="11:13" x14ac:dyDescent="0.25">
      <c r="K9096" s="26" t="s">
        <v>110</v>
      </c>
      <c r="L9096" s="27" t="s">
        <v>119</v>
      </c>
      <c r="M9096" s="10">
        <v>91.585994669695125</v>
      </c>
    </row>
    <row r="9097" spans="11:13" x14ac:dyDescent="0.25">
      <c r="K9097" s="26" t="s">
        <v>110</v>
      </c>
      <c r="L9097" s="27" t="s">
        <v>115</v>
      </c>
      <c r="M9097" s="10">
        <v>91.585994669695125</v>
      </c>
    </row>
    <row r="9098" spans="11:13" x14ac:dyDescent="0.25">
      <c r="K9098" s="26" t="s">
        <v>110</v>
      </c>
      <c r="L9098" s="27" t="s">
        <v>116</v>
      </c>
      <c r="M9098" s="10">
        <v>103.41261633919338</v>
      </c>
    </row>
    <row r="9099" spans="11:13" x14ac:dyDescent="0.25">
      <c r="K9099" s="26" t="s">
        <v>110</v>
      </c>
      <c r="L9099" s="27" t="s">
        <v>117</v>
      </c>
      <c r="M9099" s="10">
        <v>391.73686067019401</v>
      </c>
    </row>
    <row r="9100" spans="11:13" x14ac:dyDescent="0.25">
      <c r="K9100" s="26" t="s">
        <v>111</v>
      </c>
      <c r="L9100" s="27" t="s">
        <v>118</v>
      </c>
      <c r="M9100" s="10">
        <v>72.396796056685147</v>
      </c>
    </row>
    <row r="9101" spans="11:13" x14ac:dyDescent="0.25">
      <c r="K9101" s="26" t="s">
        <v>109</v>
      </c>
      <c r="L9101" s="27" t="s">
        <v>119</v>
      </c>
      <c r="M9101" s="10">
        <v>35.428219346888483</v>
      </c>
    </row>
    <row r="9102" spans="11:13" x14ac:dyDescent="0.25">
      <c r="K9102" s="26" t="s">
        <v>110</v>
      </c>
      <c r="L9102" s="27" t="s">
        <v>115</v>
      </c>
      <c r="M9102" s="10">
        <v>150</v>
      </c>
    </row>
    <row r="9103" spans="11:13" x14ac:dyDescent="0.25">
      <c r="K9103" s="26" t="s">
        <v>110</v>
      </c>
      <c r="L9103" s="27" t="s">
        <v>116</v>
      </c>
      <c r="M9103" s="10">
        <v>40.515355319666149</v>
      </c>
    </row>
    <row r="9104" spans="11:13" x14ac:dyDescent="0.25">
      <c r="K9104" s="26" t="s">
        <v>110</v>
      </c>
      <c r="L9104" s="27" t="s">
        <v>117</v>
      </c>
      <c r="M9104" s="10">
        <v>366.3439786787805</v>
      </c>
    </row>
    <row r="9105" spans="11:13" x14ac:dyDescent="0.25">
      <c r="K9105" s="26" t="s">
        <v>111</v>
      </c>
      <c r="L9105" s="27" t="s">
        <v>118</v>
      </c>
      <c r="M9105" s="10">
        <v>3.1213752521424074</v>
      </c>
    </row>
    <row r="9106" spans="11:13" x14ac:dyDescent="0.25">
      <c r="K9106" s="26" t="s">
        <v>113</v>
      </c>
      <c r="L9106" s="27" t="s">
        <v>119</v>
      </c>
      <c r="M9106" s="10">
        <v>100</v>
      </c>
    </row>
    <row r="9107" spans="11:13" x14ac:dyDescent="0.25">
      <c r="K9107" s="26" t="s">
        <v>110</v>
      </c>
      <c r="L9107" s="27" t="s">
        <v>115</v>
      </c>
      <c r="M9107" s="10">
        <v>296.51593773165303</v>
      </c>
    </row>
    <row r="9108" spans="11:13" x14ac:dyDescent="0.25">
      <c r="K9108" s="26" t="s">
        <v>111</v>
      </c>
      <c r="L9108" s="27" t="s">
        <v>116</v>
      </c>
      <c r="M9108" s="10">
        <v>462.10720887245844</v>
      </c>
    </row>
    <row r="9109" spans="11:13" x14ac:dyDescent="0.25">
      <c r="K9109" s="26" t="s">
        <v>110</v>
      </c>
      <c r="L9109" s="27" t="s">
        <v>117</v>
      </c>
      <c r="M9109" s="10">
        <v>21.565003080714728</v>
      </c>
    </row>
    <row r="9110" spans="11:13" x14ac:dyDescent="0.25">
      <c r="K9110" s="26" t="s">
        <v>111</v>
      </c>
      <c r="L9110" s="27" t="s">
        <v>118</v>
      </c>
      <c r="M9110" s="10">
        <v>46.210720887245841</v>
      </c>
    </row>
    <row r="9111" spans="11:13" x14ac:dyDescent="0.25">
      <c r="K9111" s="26" t="s">
        <v>111</v>
      </c>
      <c r="L9111" s="27" t="s">
        <v>119</v>
      </c>
      <c r="M9111" s="10">
        <v>380</v>
      </c>
    </row>
    <row r="9112" spans="11:13" x14ac:dyDescent="0.25">
      <c r="K9112" s="26" t="s">
        <v>111</v>
      </c>
      <c r="L9112" s="27" t="s">
        <v>115</v>
      </c>
      <c r="M9112" s="10">
        <v>44.091710758377424</v>
      </c>
    </row>
    <row r="9113" spans="11:13" x14ac:dyDescent="0.25">
      <c r="K9113" s="26" t="s">
        <v>111</v>
      </c>
      <c r="L9113" s="27" t="s">
        <v>116</v>
      </c>
      <c r="M9113" s="10">
        <v>44.091710758377424</v>
      </c>
    </row>
    <row r="9114" spans="11:13" x14ac:dyDescent="0.25">
      <c r="K9114" s="26" t="s">
        <v>111</v>
      </c>
      <c r="L9114" s="27" t="s">
        <v>117</v>
      </c>
      <c r="M9114" s="10">
        <v>2310.5360443622922</v>
      </c>
    </row>
    <row r="9115" spans="11:13" x14ac:dyDescent="0.25">
      <c r="K9115" s="26" t="s">
        <v>111</v>
      </c>
      <c r="L9115" s="27" t="s">
        <v>118</v>
      </c>
      <c r="M9115" s="10">
        <v>73.2687957357561</v>
      </c>
    </row>
    <row r="9116" spans="11:13" x14ac:dyDescent="0.25">
      <c r="K9116" s="26" t="s">
        <v>111</v>
      </c>
      <c r="L9116" s="27" t="s">
        <v>119</v>
      </c>
      <c r="M9116" s="10">
        <v>205.47617953783251</v>
      </c>
    </row>
    <row r="9117" spans="11:13" x14ac:dyDescent="0.25">
      <c r="K9117" s="26" t="s">
        <v>111</v>
      </c>
      <c r="L9117" s="27" t="s">
        <v>115</v>
      </c>
      <c r="M9117" s="10">
        <v>440.91710758377428</v>
      </c>
    </row>
    <row r="9118" spans="11:13" x14ac:dyDescent="0.25">
      <c r="K9118" s="26" t="s">
        <v>111</v>
      </c>
      <c r="L9118" s="27" t="s">
        <v>116</v>
      </c>
      <c r="M9118" s="10">
        <v>34.470872113064452</v>
      </c>
    </row>
    <row r="9119" spans="11:13" x14ac:dyDescent="0.25">
      <c r="K9119" s="26" t="s">
        <v>111</v>
      </c>
      <c r="L9119" s="27" t="s">
        <v>117</v>
      </c>
      <c r="M9119" s="10">
        <v>184.84288354898337</v>
      </c>
    </row>
    <row r="9120" spans="11:13" x14ac:dyDescent="0.25">
      <c r="K9120" s="26" t="s">
        <v>111</v>
      </c>
      <c r="L9120" s="27" t="s">
        <v>118</v>
      </c>
      <c r="M9120" s="10">
        <v>220.45855379188714</v>
      </c>
    </row>
    <row r="9121" spans="11:13" x14ac:dyDescent="0.25">
      <c r="K9121" s="26" t="s">
        <v>111</v>
      </c>
      <c r="L9121" s="27" t="s">
        <v>119</v>
      </c>
      <c r="M9121" s="10">
        <v>170.63081695966906</v>
      </c>
    </row>
    <row r="9122" spans="11:13" x14ac:dyDescent="0.25">
      <c r="K9122" s="26" t="s">
        <v>111</v>
      </c>
      <c r="L9122" s="27" t="s">
        <v>115</v>
      </c>
      <c r="M9122" s="10">
        <v>77.017868145409736</v>
      </c>
    </row>
    <row r="9123" spans="11:13" x14ac:dyDescent="0.25">
      <c r="K9123" s="26" t="s">
        <v>111</v>
      </c>
      <c r="L9123" s="27" t="s">
        <v>116</v>
      </c>
      <c r="M9123" s="10">
        <v>924.21441774491689</v>
      </c>
    </row>
    <row r="9124" spans="11:13" x14ac:dyDescent="0.25">
      <c r="K9124" s="26" t="s">
        <v>111</v>
      </c>
      <c r="L9124" s="27" t="s">
        <v>117</v>
      </c>
      <c r="M9124" s="10">
        <v>65.494657014822465</v>
      </c>
    </row>
    <row r="9125" spans="11:13" x14ac:dyDescent="0.25">
      <c r="K9125" s="26" t="s">
        <v>111</v>
      </c>
      <c r="L9125" s="27" t="s">
        <v>118</v>
      </c>
      <c r="M9125" s="10">
        <v>77.017868145409736</v>
      </c>
    </row>
    <row r="9126" spans="11:13" x14ac:dyDescent="0.25">
      <c r="K9126" s="26" t="s">
        <v>111</v>
      </c>
      <c r="L9126" s="27" t="s">
        <v>119</v>
      </c>
      <c r="M9126" s="10">
        <v>396.82539682539681</v>
      </c>
    </row>
    <row r="9127" spans="11:13" x14ac:dyDescent="0.25">
      <c r="K9127" s="26" t="s">
        <v>111</v>
      </c>
      <c r="L9127" s="27" t="s">
        <v>115</v>
      </c>
      <c r="M9127" s="10">
        <v>36.63439786787805</v>
      </c>
    </row>
    <row r="9128" spans="11:13" x14ac:dyDescent="0.25">
      <c r="K9128" s="26" t="s">
        <v>111</v>
      </c>
      <c r="L9128" s="27" t="s">
        <v>116</v>
      </c>
      <c r="M9128" s="10">
        <v>391.73677248677251</v>
      </c>
    </row>
    <row r="9129" spans="11:13" x14ac:dyDescent="0.25">
      <c r="K9129" s="26" t="s">
        <v>111</v>
      </c>
      <c r="L9129" s="27" t="s">
        <v>117</v>
      </c>
      <c r="M9129" s="10">
        <v>23.105360443622921</v>
      </c>
    </row>
    <row r="9130" spans="11:13" x14ac:dyDescent="0.25">
      <c r="K9130" s="26" t="s">
        <v>111</v>
      </c>
      <c r="L9130" s="27" t="s">
        <v>118</v>
      </c>
      <c r="M9130" s="10">
        <v>107.82501540357363</v>
      </c>
    </row>
    <row r="9131" spans="11:13" x14ac:dyDescent="0.25">
      <c r="K9131" s="26" t="s">
        <v>111</v>
      </c>
      <c r="L9131" s="27" t="s">
        <v>119</v>
      </c>
      <c r="M9131" s="10">
        <v>83.512134955610094</v>
      </c>
    </row>
    <row r="9132" spans="11:13" x14ac:dyDescent="0.25">
      <c r="K9132" s="26" t="s">
        <v>111</v>
      </c>
      <c r="L9132" s="27" t="s">
        <v>115</v>
      </c>
      <c r="M9132" s="10">
        <v>51.706308169596689</v>
      </c>
    </row>
    <row r="9133" spans="11:13" x14ac:dyDescent="0.25">
      <c r="K9133" s="26" t="s">
        <v>111</v>
      </c>
      <c r="L9133" s="27" t="s">
        <v>116</v>
      </c>
      <c r="M9133" s="10">
        <v>98.712135669959252</v>
      </c>
    </row>
    <row r="9134" spans="11:13" x14ac:dyDescent="0.25">
      <c r="K9134" s="26" t="s">
        <v>111</v>
      </c>
      <c r="L9134" s="27" t="s">
        <v>117</v>
      </c>
      <c r="M9134" s="10">
        <v>175</v>
      </c>
    </row>
    <row r="9135" spans="11:13" x14ac:dyDescent="0.25">
      <c r="K9135" s="26" t="s">
        <v>111</v>
      </c>
      <c r="L9135" s="27" t="s">
        <v>118</v>
      </c>
      <c r="M9135" s="10">
        <v>98.712135669959252</v>
      </c>
    </row>
    <row r="9136" spans="11:13" x14ac:dyDescent="0.25">
      <c r="K9136" s="26" t="s">
        <v>111</v>
      </c>
      <c r="L9136" s="27" t="s">
        <v>119</v>
      </c>
      <c r="M9136" s="10">
        <v>42.359419675950441</v>
      </c>
    </row>
    <row r="9137" spans="11:13" x14ac:dyDescent="0.25">
      <c r="K9137" s="26" t="s">
        <v>111</v>
      </c>
      <c r="L9137" s="27" t="s">
        <v>115</v>
      </c>
      <c r="M9137" s="10">
        <v>29.30024129610479</v>
      </c>
    </row>
    <row r="9138" spans="11:13" x14ac:dyDescent="0.25">
      <c r="K9138" s="26" t="s">
        <v>111</v>
      </c>
      <c r="L9138" s="27" t="s">
        <v>116</v>
      </c>
      <c r="M9138" s="10">
        <v>38.508934072704868</v>
      </c>
    </row>
    <row r="9139" spans="11:13" x14ac:dyDescent="0.25">
      <c r="K9139" s="26" t="s">
        <v>112</v>
      </c>
      <c r="L9139" s="27" t="s">
        <v>117</v>
      </c>
      <c r="M9139" s="10">
        <v>3086.4197530864199</v>
      </c>
    </row>
    <row r="9140" spans="11:13" x14ac:dyDescent="0.25">
      <c r="K9140" s="26" t="s">
        <v>111</v>
      </c>
      <c r="L9140" s="27" t="s">
        <v>118</v>
      </c>
      <c r="M9140" s="10">
        <v>158.84782378481412</v>
      </c>
    </row>
    <row r="9141" spans="11:13" x14ac:dyDescent="0.25">
      <c r="K9141" s="26" t="s">
        <v>111</v>
      </c>
      <c r="L9141" s="27" t="s">
        <v>119</v>
      </c>
      <c r="M9141" s="10">
        <v>152.79778393351802</v>
      </c>
    </row>
    <row r="9142" spans="11:13" x14ac:dyDescent="0.25">
      <c r="K9142" s="26" t="s">
        <v>111</v>
      </c>
      <c r="L9142" s="27" t="s">
        <v>115</v>
      </c>
      <c r="M9142" s="10">
        <v>61.614294516327789</v>
      </c>
    </row>
    <row r="9143" spans="11:13" x14ac:dyDescent="0.25">
      <c r="K9143" s="26" t="s">
        <v>111</v>
      </c>
      <c r="L9143" s="27" t="s">
        <v>116</v>
      </c>
      <c r="M9143" s="10">
        <v>66.137566137566139</v>
      </c>
    </row>
    <row r="9144" spans="11:13" x14ac:dyDescent="0.25">
      <c r="K9144" s="26" t="s">
        <v>110</v>
      </c>
      <c r="L9144" s="27" t="s">
        <v>117</v>
      </c>
      <c r="M9144" s="10">
        <v>92.421441774491683</v>
      </c>
    </row>
    <row r="9145" spans="11:13" x14ac:dyDescent="0.25">
      <c r="K9145" s="26" t="s">
        <v>110</v>
      </c>
      <c r="L9145" s="27" t="s">
        <v>118</v>
      </c>
      <c r="M9145" s="10">
        <v>46.210720887245841</v>
      </c>
    </row>
    <row r="9146" spans="11:13" x14ac:dyDescent="0.25">
      <c r="K9146" s="26" t="s">
        <v>110</v>
      </c>
      <c r="L9146" s="27" t="s">
        <v>119</v>
      </c>
      <c r="M9146" s="10">
        <v>172.35436056532231</v>
      </c>
    </row>
    <row r="9147" spans="11:13" x14ac:dyDescent="0.25">
      <c r="K9147" s="26" t="s">
        <v>110</v>
      </c>
      <c r="L9147" s="27" t="s">
        <v>115</v>
      </c>
      <c r="M9147" s="10">
        <v>77.017868145409736</v>
      </c>
    </row>
    <row r="9148" spans="11:13" x14ac:dyDescent="0.25">
      <c r="K9148" s="26" t="s">
        <v>110</v>
      </c>
      <c r="L9148" s="27" t="s">
        <v>116</v>
      </c>
      <c r="M9148" s="10">
        <v>137.88348845225781</v>
      </c>
    </row>
    <row r="9149" spans="11:13" x14ac:dyDescent="0.25">
      <c r="K9149" s="26" t="s">
        <v>110</v>
      </c>
      <c r="L9149" s="27" t="s">
        <v>117</v>
      </c>
      <c r="M9149" s="10">
        <v>137.88348845225781</v>
      </c>
    </row>
    <row r="9150" spans="11:13" x14ac:dyDescent="0.25">
      <c r="K9150" s="26" t="s">
        <v>110</v>
      </c>
      <c r="L9150" s="27" t="s">
        <v>118</v>
      </c>
      <c r="M9150" s="10">
        <v>55.114638447971785</v>
      </c>
    </row>
    <row r="9151" spans="11:13" x14ac:dyDescent="0.25">
      <c r="K9151" s="26" t="s">
        <v>111</v>
      </c>
      <c r="L9151" s="27" t="s">
        <v>119</v>
      </c>
      <c r="M9151" s="10">
        <v>185.25</v>
      </c>
    </row>
    <row r="9152" spans="11:13" x14ac:dyDescent="0.25">
      <c r="K9152" s="26" t="s">
        <v>111</v>
      </c>
      <c r="L9152" s="27" t="s">
        <v>115</v>
      </c>
      <c r="M9152" s="10">
        <v>91.585994669695125</v>
      </c>
    </row>
    <row r="9153" spans="11:13" x14ac:dyDescent="0.25">
      <c r="K9153" s="26" t="s">
        <v>110</v>
      </c>
      <c r="L9153" s="27" t="s">
        <v>116</v>
      </c>
      <c r="M9153" s="10">
        <v>38.508934072704868</v>
      </c>
    </row>
    <row r="9154" spans="11:13" x14ac:dyDescent="0.25">
      <c r="K9154" s="26" t="s">
        <v>111</v>
      </c>
      <c r="L9154" s="27" t="s">
        <v>117</v>
      </c>
      <c r="M9154" s="10">
        <v>123.5</v>
      </c>
    </row>
    <row r="9155" spans="11:13" x14ac:dyDescent="0.25">
      <c r="K9155" s="26" t="s">
        <v>112</v>
      </c>
      <c r="L9155" s="27" t="s">
        <v>118</v>
      </c>
      <c r="M9155" s="10">
        <v>61.75</v>
      </c>
    </row>
    <row r="9156" spans="11:13" x14ac:dyDescent="0.25">
      <c r="K9156" s="26" t="s">
        <v>112</v>
      </c>
      <c r="L9156" s="27" t="s">
        <v>119</v>
      </c>
      <c r="M9156" s="10">
        <v>61.75</v>
      </c>
    </row>
    <row r="9157" spans="11:13" x14ac:dyDescent="0.25">
      <c r="K9157" s="26" t="s">
        <v>112</v>
      </c>
      <c r="L9157" s="27" t="s">
        <v>115</v>
      </c>
      <c r="M9157" s="10">
        <v>30.875</v>
      </c>
    </row>
    <row r="9158" spans="11:13" x14ac:dyDescent="0.25">
      <c r="K9158" s="26" t="s">
        <v>110</v>
      </c>
      <c r="L9158" s="27" t="s">
        <v>116</v>
      </c>
      <c r="M9158" s="10">
        <v>98.712135669959252</v>
      </c>
    </row>
    <row r="9159" spans="11:13" x14ac:dyDescent="0.25">
      <c r="K9159" s="26" t="s">
        <v>110</v>
      </c>
      <c r="L9159" s="27" t="s">
        <v>117</v>
      </c>
      <c r="M9159" s="10">
        <v>77.017868145409736</v>
      </c>
    </row>
    <row r="9160" spans="11:13" x14ac:dyDescent="0.25">
      <c r="K9160" s="26" t="s">
        <v>111</v>
      </c>
      <c r="L9160" s="27" t="s">
        <v>118</v>
      </c>
      <c r="M9160" s="10">
        <v>30.807147258163894</v>
      </c>
    </row>
    <row r="9161" spans="11:13" x14ac:dyDescent="0.25">
      <c r="K9161" s="26" t="s">
        <v>109</v>
      </c>
      <c r="L9161" s="27" t="s">
        <v>119</v>
      </c>
      <c r="M9161" s="10">
        <v>100</v>
      </c>
    </row>
    <row r="9162" spans="11:13" x14ac:dyDescent="0.25">
      <c r="K9162" s="26" t="s">
        <v>110</v>
      </c>
      <c r="L9162" s="27" t="s">
        <v>115</v>
      </c>
      <c r="M9162" s="10">
        <v>38.508934072704868</v>
      </c>
    </row>
    <row r="9163" spans="11:13" x14ac:dyDescent="0.25">
      <c r="K9163" s="26" t="s">
        <v>111</v>
      </c>
      <c r="L9163" s="27" t="s">
        <v>116</v>
      </c>
      <c r="M9163" s="10">
        <v>38.54406228720466</v>
      </c>
    </row>
    <row r="9164" spans="11:13" x14ac:dyDescent="0.25">
      <c r="K9164" s="26" t="s">
        <v>110</v>
      </c>
      <c r="L9164" s="27" t="s">
        <v>117</v>
      </c>
      <c r="M9164" s="10">
        <v>99.206349206349202</v>
      </c>
    </row>
    <row r="9165" spans="11:13" x14ac:dyDescent="0.25">
      <c r="K9165" s="26" t="s">
        <v>111</v>
      </c>
      <c r="L9165" s="27" t="s">
        <v>118</v>
      </c>
      <c r="M9165" s="10">
        <v>19097.171957671959</v>
      </c>
    </row>
    <row r="9166" spans="11:13" x14ac:dyDescent="0.25">
      <c r="K9166" s="26" t="s">
        <v>111</v>
      </c>
      <c r="L9166" s="27" t="s">
        <v>119</v>
      </c>
      <c r="M9166" s="10">
        <v>220.45855379188714</v>
      </c>
    </row>
    <row r="9167" spans="11:13" x14ac:dyDescent="0.25">
      <c r="K9167" s="26" t="s">
        <v>111</v>
      </c>
      <c r="L9167" s="27" t="s">
        <v>115</v>
      </c>
      <c r="M9167" s="10">
        <v>55.114638447971785</v>
      </c>
    </row>
    <row r="9168" spans="11:13" x14ac:dyDescent="0.25">
      <c r="K9168" s="26" t="s">
        <v>111</v>
      </c>
      <c r="L9168" s="27" t="s">
        <v>116</v>
      </c>
      <c r="M9168" s="10">
        <v>110.22927689594357</v>
      </c>
    </row>
    <row r="9169" spans="11:13" x14ac:dyDescent="0.25">
      <c r="K9169" s="26" t="s">
        <v>111</v>
      </c>
      <c r="L9169" s="27" t="s">
        <v>117</v>
      </c>
      <c r="M9169" s="10">
        <v>30.807147258163894</v>
      </c>
    </row>
    <row r="9170" spans="11:13" x14ac:dyDescent="0.25">
      <c r="K9170" s="26" t="s">
        <v>111</v>
      </c>
      <c r="L9170" s="27" t="s">
        <v>118</v>
      </c>
      <c r="M9170" s="10">
        <v>93.694885361552039</v>
      </c>
    </row>
    <row r="9171" spans="11:13" x14ac:dyDescent="0.25">
      <c r="K9171" s="26" t="s">
        <v>112</v>
      </c>
      <c r="L9171" s="27" t="s">
        <v>119</v>
      </c>
      <c r="M9171" s="10">
        <v>158.84782378481412</v>
      </c>
    </row>
    <row r="9172" spans="11:13" x14ac:dyDescent="0.25">
      <c r="K9172" s="26" t="s">
        <v>112</v>
      </c>
      <c r="L9172" s="27" t="s">
        <v>115</v>
      </c>
      <c r="M9172" s="10">
        <v>158.84782378481412</v>
      </c>
    </row>
    <row r="9173" spans="11:13" x14ac:dyDescent="0.25">
      <c r="K9173" s="26" t="s">
        <v>111</v>
      </c>
      <c r="L9173" s="27" t="s">
        <v>116</v>
      </c>
      <c r="M9173" s="10">
        <v>63.539129513925651</v>
      </c>
    </row>
    <row r="9174" spans="11:13" x14ac:dyDescent="0.25">
      <c r="K9174" s="26" t="s">
        <v>111</v>
      </c>
      <c r="L9174" s="27" t="s">
        <v>117</v>
      </c>
      <c r="M9174" s="10">
        <v>317.69564756962825</v>
      </c>
    </row>
    <row r="9175" spans="11:13" x14ac:dyDescent="0.25">
      <c r="K9175" s="26" t="s">
        <v>111</v>
      </c>
      <c r="L9175" s="27" t="s">
        <v>118</v>
      </c>
      <c r="M9175" s="10">
        <v>103.41261633919338</v>
      </c>
    </row>
    <row r="9176" spans="11:13" x14ac:dyDescent="0.25">
      <c r="K9176" s="26" t="s">
        <v>111</v>
      </c>
      <c r="L9176" s="27" t="s">
        <v>119</v>
      </c>
      <c r="M9176" s="10">
        <v>137.37899200454268</v>
      </c>
    </row>
    <row r="9177" spans="11:13" x14ac:dyDescent="0.25">
      <c r="K9177" s="26" t="s">
        <v>111</v>
      </c>
      <c r="L9177" s="27" t="s">
        <v>115</v>
      </c>
      <c r="M9177" s="10">
        <v>661.37566137566137</v>
      </c>
    </row>
    <row r="9178" spans="11:13" x14ac:dyDescent="0.25">
      <c r="K9178" s="26" t="s">
        <v>111</v>
      </c>
      <c r="L9178" s="27" t="s">
        <v>116</v>
      </c>
      <c r="M9178" s="10">
        <v>31.769564756962826</v>
      </c>
    </row>
    <row r="9179" spans="11:13" x14ac:dyDescent="0.25">
      <c r="K9179" s="26" t="s">
        <v>111</v>
      </c>
      <c r="L9179" s="27" t="s">
        <v>117</v>
      </c>
      <c r="M9179" s="10">
        <v>77.017868145409736</v>
      </c>
    </row>
    <row r="9180" spans="11:13" x14ac:dyDescent="0.25">
      <c r="K9180" s="26" t="s">
        <v>111</v>
      </c>
      <c r="L9180" s="27" t="s">
        <v>118</v>
      </c>
      <c r="M9180" s="10">
        <v>77.017868145409736</v>
      </c>
    </row>
    <row r="9181" spans="11:13" x14ac:dyDescent="0.25">
      <c r="K9181" s="26" t="s">
        <v>111</v>
      </c>
      <c r="L9181" s="27" t="s">
        <v>119</v>
      </c>
      <c r="M9181" s="10">
        <v>12.848020762401553</v>
      </c>
    </row>
    <row r="9182" spans="11:13" x14ac:dyDescent="0.25">
      <c r="K9182" s="26" t="s">
        <v>110</v>
      </c>
      <c r="L9182" s="27" t="s">
        <v>115</v>
      </c>
      <c r="M9182" s="10">
        <v>440.91710758377428</v>
      </c>
    </row>
    <row r="9183" spans="11:13" x14ac:dyDescent="0.25">
      <c r="K9183" s="26" t="s">
        <v>110</v>
      </c>
      <c r="L9183" s="27" t="s">
        <v>116</v>
      </c>
      <c r="M9183" s="10">
        <v>99.206349206349202</v>
      </c>
    </row>
    <row r="9184" spans="11:13" x14ac:dyDescent="0.25">
      <c r="K9184" s="26" t="s">
        <v>110</v>
      </c>
      <c r="L9184" s="27" t="s">
        <v>117</v>
      </c>
      <c r="M9184" s="10">
        <v>60</v>
      </c>
    </row>
    <row r="9185" spans="11:13" x14ac:dyDescent="0.25">
      <c r="K9185" s="26" t="s">
        <v>111</v>
      </c>
      <c r="L9185" s="27" t="s">
        <v>118</v>
      </c>
      <c r="M9185" s="10">
        <v>158.84782378481412</v>
      </c>
    </row>
    <row r="9186" spans="11:13" x14ac:dyDescent="0.25">
      <c r="K9186" s="26" t="s">
        <v>110</v>
      </c>
      <c r="L9186" s="27" t="s">
        <v>119</v>
      </c>
      <c r="M9186" s="10">
        <v>200</v>
      </c>
    </row>
    <row r="9187" spans="11:13" x14ac:dyDescent="0.25">
      <c r="K9187" s="26" t="s">
        <v>109</v>
      </c>
      <c r="L9187" s="27" t="s">
        <v>115</v>
      </c>
      <c r="M9187" s="10">
        <v>220.45855379188714</v>
      </c>
    </row>
    <row r="9188" spans="11:13" x14ac:dyDescent="0.25">
      <c r="K9188" s="26" t="s">
        <v>109</v>
      </c>
      <c r="L9188" s="27" t="s">
        <v>116</v>
      </c>
      <c r="M9188" s="10">
        <v>110.22927689594357</v>
      </c>
    </row>
    <row r="9189" spans="11:13" x14ac:dyDescent="0.25">
      <c r="K9189" s="26" t="s">
        <v>110</v>
      </c>
      <c r="L9189" s="27" t="s">
        <v>117</v>
      </c>
      <c r="M9189" s="10">
        <v>110.22927689594357</v>
      </c>
    </row>
    <row r="9190" spans="11:13" x14ac:dyDescent="0.25">
      <c r="K9190" s="26" t="s">
        <v>111</v>
      </c>
      <c r="L9190" s="27" t="s">
        <v>118</v>
      </c>
      <c r="M9190" s="10">
        <v>109.14127423822715</v>
      </c>
    </row>
    <row r="9191" spans="11:13" x14ac:dyDescent="0.25">
      <c r="K9191" s="26" t="s">
        <v>111</v>
      </c>
      <c r="L9191" s="27" t="s">
        <v>119</v>
      </c>
      <c r="M9191" s="10">
        <v>30.807147258163894</v>
      </c>
    </row>
    <row r="9192" spans="11:13" x14ac:dyDescent="0.25">
      <c r="K9192" s="26" t="s">
        <v>111</v>
      </c>
      <c r="L9192" s="27" t="s">
        <v>115</v>
      </c>
      <c r="M9192" s="10">
        <v>5.3912507701786815E-3</v>
      </c>
    </row>
    <row r="9193" spans="11:13" x14ac:dyDescent="0.25">
      <c r="K9193" s="26" t="s">
        <v>111</v>
      </c>
      <c r="L9193" s="27" t="s">
        <v>116</v>
      </c>
      <c r="M9193" s="10">
        <v>46.210720887245841</v>
      </c>
    </row>
    <row r="9194" spans="11:13" x14ac:dyDescent="0.25">
      <c r="K9194" s="26" t="s">
        <v>111</v>
      </c>
      <c r="L9194" s="27" t="s">
        <v>117</v>
      </c>
      <c r="M9194" s="10">
        <v>1102.2927689594355</v>
      </c>
    </row>
    <row r="9195" spans="11:13" x14ac:dyDescent="0.25">
      <c r="K9195" s="26" t="s">
        <v>111</v>
      </c>
      <c r="L9195" s="27" t="s">
        <v>118</v>
      </c>
      <c r="M9195" s="10">
        <v>77.017868145409736</v>
      </c>
    </row>
    <row r="9196" spans="11:13" x14ac:dyDescent="0.25">
      <c r="K9196" s="26" t="s">
        <v>111</v>
      </c>
      <c r="L9196" s="27" t="s">
        <v>119</v>
      </c>
      <c r="M9196" s="10">
        <v>81.473032426266911</v>
      </c>
    </row>
    <row r="9197" spans="11:13" x14ac:dyDescent="0.25">
      <c r="K9197" s="26" t="s">
        <v>110</v>
      </c>
      <c r="L9197" s="27" t="s">
        <v>115</v>
      </c>
      <c r="M9197" s="10">
        <v>132.27513227513228</v>
      </c>
    </row>
    <row r="9198" spans="11:13" x14ac:dyDescent="0.25">
      <c r="K9198" s="26" t="s">
        <v>113</v>
      </c>
      <c r="L9198" s="27" t="s">
        <v>116</v>
      </c>
      <c r="M9198" s="10">
        <v>22.045855379188712</v>
      </c>
    </row>
    <row r="9199" spans="11:13" x14ac:dyDescent="0.25">
      <c r="K9199" s="26" t="s">
        <v>113</v>
      </c>
      <c r="L9199" s="27" t="s">
        <v>117</v>
      </c>
      <c r="M9199" s="10">
        <v>1102.2927689594355</v>
      </c>
    </row>
    <row r="9200" spans="11:13" x14ac:dyDescent="0.25">
      <c r="K9200" s="26" t="s">
        <v>111</v>
      </c>
      <c r="L9200" s="27" t="s">
        <v>118</v>
      </c>
      <c r="M9200" s="10">
        <v>31.769564756962826</v>
      </c>
    </row>
    <row r="9201" spans="11:13" x14ac:dyDescent="0.25">
      <c r="K9201" s="26" t="s">
        <v>111</v>
      </c>
      <c r="L9201" s="27" t="s">
        <v>119</v>
      </c>
      <c r="M9201" s="10">
        <v>56.053446309271635</v>
      </c>
    </row>
    <row r="9202" spans="11:13" x14ac:dyDescent="0.25">
      <c r="K9202" s="26" t="s">
        <v>111</v>
      </c>
      <c r="L9202" s="27" t="s">
        <v>115</v>
      </c>
      <c r="M9202" s="10">
        <v>26.011588914727685</v>
      </c>
    </row>
    <row r="9203" spans="11:13" x14ac:dyDescent="0.25">
      <c r="K9203" s="26" t="s">
        <v>111</v>
      </c>
      <c r="L9203" s="27" t="s">
        <v>116</v>
      </c>
      <c r="M9203" s="10">
        <v>31.769564756962826</v>
      </c>
    </row>
    <row r="9204" spans="11:13" x14ac:dyDescent="0.25">
      <c r="K9204" s="26" t="s">
        <v>111</v>
      </c>
      <c r="L9204" s="27" t="s">
        <v>117</v>
      </c>
      <c r="M9204" s="10">
        <v>36.0810405643739</v>
      </c>
    </row>
    <row r="9205" spans="11:13" x14ac:dyDescent="0.25">
      <c r="K9205" s="26" t="s">
        <v>111</v>
      </c>
      <c r="L9205" s="27" t="s">
        <v>118</v>
      </c>
      <c r="M9205" s="10">
        <v>4.2107583774250443</v>
      </c>
    </row>
    <row r="9206" spans="11:13" x14ac:dyDescent="0.25">
      <c r="K9206" s="26" t="s">
        <v>111</v>
      </c>
      <c r="L9206" s="27" t="s">
        <v>119</v>
      </c>
      <c r="M9206" s="10">
        <v>40</v>
      </c>
    </row>
    <row r="9207" spans="11:13" x14ac:dyDescent="0.25">
      <c r="K9207" s="26" t="s">
        <v>111</v>
      </c>
      <c r="L9207" s="27" t="s">
        <v>115</v>
      </c>
      <c r="M9207" s="10">
        <v>1.407528108196187</v>
      </c>
    </row>
    <row r="9208" spans="11:13" x14ac:dyDescent="0.25">
      <c r="K9208" s="26" t="s">
        <v>111</v>
      </c>
      <c r="L9208" s="27" t="s">
        <v>116</v>
      </c>
      <c r="M9208" s="10">
        <v>15.296560846560848</v>
      </c>
    </row>
    <row r="9209" spans="11:13" x14ac:dyDescent="0.25">
      <c r="K9209" s="26" t="s">
        <v>111</v>
      </c>
      <c r="L9209" s="27" t="s">
        <v>117</v>
      </c>
      <c r="M9209" s="10">
        <v>23.770194003527337</v>
      </c>
    </row>
    <row r="9210" spans="11:13" x14ac:dyDescent="0.25">
      <c r="K9210" s="26" t="s">
        <v>111</v>
      </c>
      <c r="L9210" s="27" t="s">
        <v>118</v>
      </c>
      <c r="M9210" s="10">
        <v>88.183421516754848</v>
      </c>
    </row>
    <row r="9211" spans="11:13" x14ac:dyDescent="0.25">
      <c r="K9211" s="26" t="s">
        <v>111</v>
      </c>
      <c r="L9211" s="27" t="s">
        <v>119</v>
      </c>
      <c r="M9211" s="10">
        <v>5</v>
      </c>
    </row>
    <row r="9212" spans="11:13" x14ac:dyDescent="0.25">
      <c r="K9212" s="26" t="s">
        <v>111</v>
      </c>
      <c r="L9212" s="27" t="s">
        <v>115</v>
      </c>
      <c r="M9212" s="10">
        <v>15.403573629081947</v>
      </c>
    </row>
    <row r="9213" spans="11:13" x14ac:dyDescent="0.25">
      <c r="K9213" s="26" t="s">
        <v>111</v>
      </c>
      <c r="L9213" s="27" t="s">
        <v>116</v>
      </c>
      <c r="M9213" s="10">
        <v>75</v>
      </c>
    </row>
    <row r="9214" spans="11:13" x14ac:dyDescent="0.25">
      <c r="K9214" s="26" t="s">
        <v>111</v>
      </c>
      <c r="L9214" s="27" t="s">
        <v>117</v>
      </c>
      <c r="M9214" s="10">
        <v>20</v>
      </c>
    </row>
    <row r="9215" spans="11:13" x14ac:dyDescent="0.25">
      <c r="K9215" s="26" t="s">
        <v>111</v>
      </c>
      <c r="L9215" s="27" t="s">
        <v>118</v>
      </c>
      <c r="M9215" s="10">
        <v>18.04052028218695</v>
      </c>
    </row>
    <row r="9216" spans="11:13" x14ac:dyDescent="0.25">
      <c r="K9216" s="26" t="s">
        <v>111</v>
      </c>
      <c r="L9216" s="27" t="s">
        <v>119</v>
      </c>
      <c r="M9216" s="10">
        <v>33.06878306878307</v>
      </c>
    </row>
    <row r="9217" spans="11:13" x14ac:dyDescent="0.25">
      <c r="K9217" s="26" t="s">
        <v>111</v>
      </c>
      <c r="L9217" s="27" t="s">
        <v>115</v>
      </c>
      <c r="M9217" s="10">
        <v>11.326172703095088</v>
      </c>
    </row>
    <row r="9218" spans="11:13" x14ac:dyDescent="0.25">
      <c r="K9218" s="26" t="s">
        <v>111</v>
      </c>
      <c r="L9218" s="27" t="s">
        <v>116</v>
      </c>
      <c r="M9218" s="10">
        <v>31.023784901758013</v>
      </c>
    </row>
    <row r="9219" spans="11:13" x14ac:dyDescent="0.25">
      <c r="K9219" s="26" t="s">
        <v>111</v>
      </c>
      <c r="L9219" s="27" t="s">
        <v>117</v>
      </c>
      <c r="M9219" s="10">
        <v>30</v>
      </c>
    </row>
    <row r="9220" spans="11:13" x14ac:dyDescent="0.25">
      <c r="K9220" s="26" t="s">
        <v>111</v>
      </c>
      <c r="L9220" s="27" t="s">
        <v>118</v>
      </c>
      <c r="M9220" s="10">
        <v>35.273368606701936</v>
      </c>
    </row>
    <row r="9221" spans="11:13" x14ac:dyDescent="0.25">
      <c r="K9221" s="26" t="s">
        <v>110</v>
      </c>
      <c r="L9221" s="27" t="s">
        <v>119</v>
      </c>
      <c r="M9221" s="10">
        <v>17.537548340678121</v>
      </c>
    </row>
    <row r="9222" spans="11:13" x14ac:dyDescent="0.25">
      <c r="K9222" s="26" t="s">
        <v>111</v>
      </c>
      <c r="L9222" s="27" t="s">
        <v>115</v>
      </c>
      <c r="M9222" s="10">
        <v>36.194415718717686</v>
      </c>
    </row>
    <row r="9223" spans="11:13" x14ac:dyDescent="0.25">
      <c r="K9223" s="26" t="s">
        <v>111</v>
      </c>
      <c r="L9223" s="27" t="s">
        <v>116</v>
      </c>
      <c r="M9223" s="10">
        <v>51.706308169596689</v>
      </c>
    </row>
    <row r="9224" spans="11:13" x14ac:dyDescent="0.25">
      <c r="K9224" s="26" t="s">
        <v>111</v>
      </c>
      <c r="L9224" s="27" t="s">
        <v>117</v>
      </c>
      <c r="M9224" s="10">
        <v>48.431575318855558</v>
      </c>
    </row>
    <row r="9225" spans="11:13" x14ac:dyDescent="0.25">
      <c r="K9225" s="26" t="s">
        <v>111</v>
      </c>
      <c r="L9225" s="27" t="s">
        <v>118</v>
      </c>
      <c r="M9225" s="10">
        <v>30.807147258163894</v>
      </c>
    </row>
    <row r="9226" spans="11:13" x14ac:dyDescent="0.25">
      <c r="K9226" s="26" t="s">
        <v>111</v>
      </c>
      <c r="L9226" s="27" t="s">
        <v>119</v>
      </c>
      <c r="M9226" s="10">
        <v>92.421441774491683</v>
      </c>
    </row>
    <row r="9227" spans="11:13" x14ac:dyDescent="0.25">
      <c r="K9227" s="26" t="s">
        <v>111</v>
      </c>
      <c r="L9227" s="27" t="s">
        <v>115</v>
      </c>
      <c r="M9227" s="10">
        <v>24.129610479145121</v>
      </c>
    </row>
    <row r="9228" spans="11:13" x14ac:dyDescent="0.25">
      <c r="K9228" s="26" t="s">
        <v>111</v>
      </c>
      <c r="L9228" s="27" t="s">
        <v>116</v>
      </c>
      <c r="M9228" s="10">
        <v>45.5</v>
      </c>
    </row>
    <row r="9229" spans="11:13" x14ac:dyDescent="0.25">
      <c r="K9229" s="26" t="s">
        <v>111</v>
      </c>
      <c r="L9229" s="27" t="s">
        <v>117</v>
      </c>
      <c r="M9229" s="10">
        <v>32.904045223319756</v>
      </c>
    </row>
    <row r="9230" spans="11:13" x14ac:dyDescent="0.25">
      <c r="K9230" s="26" t="s">
        <v>111</v>
      </c>
      <c r="L9230" s="27" t="s">
        <v>118</v>
      </c>
      <c r="M9230" s="10">
        <v>108.24312169312169</v>
      </c>
    </row>
    <row r="9231" spans="11:13" x14ac:dyDescent="0.25">
      <c r="K9231" s="26" t="s">
        <v>111</v>
      </c>
      <c r="L9231" s="27" t="s">
        <v>119</v>
      </c>
      <c r="M9231" s="10">
        <v>66.137566137566139</v>
      </c>
    </row>
    <row r="9232" spans="11:13" x14ac:dyDescent="0.25">
      <c r="K9232" s="26" t="s">
        <v>111</v>
      </c>
      <c r="L9232" s="27" t="s">
        <v>115</v>
      </c>
      <c r="M9232" s="10">
        <v>39.682539682539684</v>
      </c>
    </row>
    <row r="9233" spans="11:13" x14ac:dyDescent="0.25">
      <c r="K9233" s="26" t="s">
        <v>111</v>
      </c>
      <c r="L9233" s="27" t="s">
        <v>116</v>
      </c>
      <c r="M9233" s="10">
        <v>84.718839351900883</v>
      </c>
    </row>
    <row r="9234" spans="11:13" x14ac:dyDescent="0.25">
      <c r="K9234" s="26" t="s">
        <v>111</v>
      </c>
      <c r="L9234" s="27" t="s">
        <v>117</v>
      </c>
      <c r="M9234" s="10">
        <v>45.5</v>
      </c>
    </row>
    <row r="9235" spans="11:13" x14ac:dyDescent="0.25">
      <c r="K9235" s="26" t="s">
        <v>113</v>
      </c>
      <c r="L9235" s="27" t="s">
        <v>118</v>
      </c>
      <c r="M9235" s="10">
        <v>18.376441402122481</v>
      </c>
    </row>
    <row r="9236" spans="11:13" x14ac:dyDescent="0.25">
      <c r="K9236" s="26" t="s">
        <v>111</v>
      </c>
      <c r="L9236" s="27" t="s">
        <v>119</v>
      </c>
      <c r="M9236" s="10">
        <v>5.0705467372134034</v>
      </c>
    </row>
    <row r="9237" spans="11:13" x14ac:dyDescent="0.25">
      <c r="K9237" s="26" t="s">
        <v>110</v>
      </c>
      <c r="L9237" s="27" t="s">
        <v>115</v>
      </c>
      <c r="M9237" s="10">
        <v>8.8183421516754841</v>
      </c>
    </row>
    <row r="9238" spans="11:13" x14ac:dyDescent="0.25">
      <c r="K9238" s="26" t="s">
        <v>110</v>
      </c>
      <c r="L9238" s="27" t="s">
        <v>116</v>
      </c>
      <c r="M9238" s="10">
        <v>21.179709837975221</v>
      </c>
    </row>
    <row r="9239" spans="11:13" x14ac:dyDescent="0.25">
      <c r="K9239" s="26" t="s">
        <v>111</v>
      </c>
      <c r="L9239" s="27" t="s">
        <v>117</v>
      </c>
      <c r="M9239" s="10">
        <v>12.75422268183385</v>
      </c>
    </row>
    <row r="9240" spans="11:13" x14ac:dyDescent="0.25">
      <c r="K9240" s="26" t="s">
        <v>111</v>
      </c>
      <c r="L9240" s="27" t="s">
        <v>118</v>
      </c>
      <c r="M9240" s="10">
        <v>5.0705467372134034</v>
      </c>
    </row>
    <row r="9241" spans="11:13" x14ac:dyDescent="0.25">
      <c r="K9241" s="26" t="s">
        <v>111</v>
      </c>
      <c r="L9241" s="27" t="s">
        <v>119</v>
      </c>
      <c r="M9241" s="10">
        <v>45.5</v>
      </c>
    </row>
    <row r="9242" spans="11:13" x14ac:dyDescent="0.25">
      <c r="K9242" s="26" t="s">
        <v>111</v>
      </c>
      <c r="L9242" s="27" t="s">
        <v>115</v>
      </c>
      <c r="M9242" s="10">
        <v>18.484288354898336</v>
      </c>
    </row>
    <row r="9243" spans="11:13" x14ac:dyDescent="0.25">
      <c r="K9243" s="26" t="s">
        <v>111</v>
      </c>
      <c r="L9243" s="27" t="s">
        <v>116</v>
      </c>
      <c r="M9243" s="10">
        <v>70</v>
      </c>
    </row>
    <row r="9244" spans="11:13" x14ac:dyDescent="0.25">
      <c r="K9244" s="26" t="s">
        <v>111</v>
      </c>
      <c r="L9244" s="27" t="s">
        <v>117</v>
      </c>
      <c r="M9244" s="10">
        <v>6.6137566137566139</v>
      </c>
    </row>
    <row r="9245" spans="11:13" x14ac:dyDescent="0.25">
      <c r="K9245" s="26" t="s">
        <v>111</v>
      </c>
      <c r="L9245" s="27" t="s">
        <v>118</v>
      </c>
      <c r="M9245" s="10">
        <v>18.04052028218695</v>
      </c>
    </row>
    <row r="9246" spans="11:13" x14ac:dyDescent="0.25">
      <c r="K9246" s="26" t="s">
        <v>111</v>
      </c>
      <c r="L9246" s="27" t="s">
        <v>119</v>
      </c>
      <c r="M9246" s="10">
        <v>108.24312169312169</v>
      </c>
    </row>
    <row r="9247" spans="11:13" x14ac:dyDescent="0.25">
      <c r="K9247" s="26" t="s">
        <v>111</v>
      </c>
      <c r="L9247" s="27" t="s">
        <v>115</v>
      </c>
      <c r="M9247" s="10">
        <v>44.091710758377424</v>
      </c>
    </row>
    <row r="9248" spans="11:13" x14ac:dyDescent="0.25">
      <c r="K9248" s="26" t="s">
        <v>110</v>
      </c>
      <c r="L9248" s="27" t="s">
        <v>116</v>
      </c>
      <c r="M9248" s="10">
        <v>1.8033509700176367</v>
      </c>
    </row>
    <row r="9249" spans="11:13" x14ac:dyDescent="0.25">
      <c r="K9249" s="26" t="s">
        <v>111</v>
      </c>
      <c r="L9249" s="27" t="s">
        <v>117</v>
      </c>
      <c r="M9249" s="10">
        <v>1.723543605653223</v>
      </c>
    </row>
    <row r="9250" spans="11:13" x14ac:dyDescent="0.25">
      <c r="K9250" s="26" t="s">
        <v>111</v>
      </c>
      <c r="L9250" s="27" t="s">
        <v>118</v>
      </c>
      <c r="M9250" s="10">
        <v>1.723543605653223</v>
      </c>
    </row>
    <row r="9251" spans="11:13" x14ac:dyDescent="0.25">
      <c r="K9251" s="26" t="s">
        <v>111</v>
      </c>
      <c r="L9251" s="27" t="s">
        <v>119</v>
      </c>
      <c r="M9251" s="10">
        <v>1.723543605653223</v>
      </c>
    </row>
    <row r="9252" spans="11:13" x14ac:dyDescent="0.25">
      <c r="K9252" s="26" t="s">
        <v>111</v>
      </c>
      <c r="L9252" s="27" t="s">
        <v>115</v>
      </c>
      <c r="M9252" s="10">
        <v>44.091710758377424</v>
      </c>
    </row>
    <row r="9253" spans="11:13" x14ac:dyDescent="0.25">
      <c r="K9253" s="26" t="s">
        <v>111</v>
      </c>
      <c r="L9253" s="27" t="s">
        <v>116</v>
      </c>
      <c r="M9253" s="10">
        <v>11.022927689594356</v>
      </c>
    </row>
    <row r="9254" spans="11:13" x14ac:dyDescent="0.25">
      <c r="K9254" s="26" t="s">
        <v>111</v>
      </c>
      <c r="L9254" s="27" t="s">
        <v>117</v>
      </c>
      <c r="M9254" s="10">
        <v>2.8659611992945329</v>
      </c>
    </row>
    <row r="9255" spans="11:13" x14ac:dyDescent="0.25">
      <c r="K9255" s="26" t="s">
        <v>111</v>
      </c>
      <c r="L9255" s="27" t="s">
        <v>118</v>
      </c>
      <c r="M9255" s="10">
        <v>10.582010582010582</v>
      </c>
    </row>
    <row r="9256" spans="11:13" x14ac:dyDescent="0.25">
      <c r="K9256" s="26" t="s">
        <v>111</v>
      </c>
      <c r="L9256" s="27" t="s">
        <v>119</v>
      </c>
      <c r="M9256" s="10">
        <v>0.77160493827160492</v>
      </c>
    </row>
    <row r="9257" spans="11:13" x14ac:dyDescent="0.25">
      <c r="K9257" s="26" t="s">
        <v>111</v>
      </c>
      <c r="L9257" s="27" t="s">
        <v>115</v>
      </c>
      <c r="M9257" s="10">
        <v>0.63932980599647271</v>
      </c>
    </row>
    <row r="9258" spans="11:13" x14ac:dyDescent="0.25">
      <c r="K9258" s="26" t="s">
        <v>111</v>
      </c>
      <c r="L9258" s="27" t="s">
        <v>116</v>
      </c>
      <c r="M9258" s="10">
        <v>5.9791446208112875</v>
      </c>
    </row>
    <row r="9259" spans="11:13" x14ac:dyDescent="0.25">
      <c r="K9259" s="26" t="s">
        <v>111</v>
      </c>
      <c r="L9259" s="27" t="s">
        <v>117</v>
      </c>
      <c r="M9259" s="10">
        <v>5.85</v>
      </c>
    </row>
    <row r="9260" spans="11:13" x14ac:dyDescent="0.25">
      <c r="K9260" s="26" t="s">
        <v>111</v>
      </c>
      <c r="L9260" s="27" t="s">
        <v>118</v>
      </c>
      <c r="M9260" s="10">
        <v>5.979122574955908</v>
      </c>
    </row>
    <row r="9261" spans="11:13" x14ac:dyDescent="0.25">
      <c r="K9261" s="26" t="s">
        <v>111</v>
      </c>
      <c r="L9261" s="27" t="s">
        <v>119</v>
      </c>
      <c r="M9261" s="10">
        <v>5.8600482592209584</v>
      </c>
    </row>
    <row r="9262" spans="11:13" x14ac:dyDescent="0.25">
      <c r="K9262" s="26" t="s">
        <v>110</v>
      </c>
      <c r="L9262" s="27" t="s">
        <v>115</v>
      </c>
      <c r="M9262" s="10">
        <v>6.4460530851430544</v>
      </c>
    </row>
    <row r="9263" spans="11:13" x14ac:dyDescent="0.25">
      <c r="K9263" s="26" t="s">
        <v>110</v>
      </c>
      <c r="L9263" s="27" t="s">
        <v>116</v>
      </c>
      <c r="M9263" s="10">
        <v>83.707716049382711</v>
      </c>
    </row>
    <row r="9264" spans="11:13" x14ac:dyDescent="0.25">
      <c r="K9264" s="26" t="s">
        <v>111</v>
      </c>
      <c r="L9264" s="27" t="s">
        <v>117</v>
      </c>
      <c r="M9264" s="10">
        <v>1.6184074457083764</v>
      </c>
    </row>
    <row r="9265" spans="11:13" x14ac:dyDescent="0.25">
      <c r="K9265" s="26" t="s">
        <v>111</v>
      </c>
      <c r="L9265" s="27" t="s">
        <v>118</v>
      </c>
      <c r="M9265" s="10">
        <v>1955.3527782304059</v>
      </c>
    </row>
    <row r="9266" spans="11:13" x14ac:dyDescent="0.25">
      <c r="K9266" s="26" t="s">
        <v>111</v>
      </c>
      <c r="L9266" s="27" t="s">
        <v>119</v>
      </c>
      <c r="M9266" s="10">
        <v>171.95767195767195</v>
      </c>
    </row>
    <row r="9267" spans="11:13" x14ac:dyDescent="0.25">
      <c r="K9267" s="26" t="s">
        <v>111</v>
      </c>
      <c r="L9267" s="27" t="s">
        <v>115</v>
      </c>
      <c r="M9267" s="10">
        <v>132.27513227513228</v>
      </c>
    </row>
    <row r="9268" spans="11:13" x14ac:dyDescent="0.25">
      <c r="K9268" s="26" t="s">
        <v>111</v>
      </c>
      <c r="L9268" s="27" t="s">
        <v>116</v>
      </c>
      <c r="M9268" s="10">
        <v>34.470872113064452</v>
      </c>
    </row>
    <row r="9269" spans="11:13" x14ac:dyDescent="0.25">
      <c r="K9269" s="26" t="s">
        <v>111</v>
      </c>
      <c r="L9269" s="27" t="s">
        <v>117</v>
      </c>
      <c r="M9269" s="10">
        <v>77.017868145409736</v>
      </c>
    </row>
    <row r="9270" spans="11:13" x14ac:dyDescent="0.25">
      <c r="K9270" s="26" t="s">
        <v>111</v>
      </c>
      <c r="L9270" s="27" t="s">
        <v>118</v>
      </c>
      <c r="M9270" s="10">
        <v>61.614294516327789</v>
      </c>
    </row>
    <row r="9271" spans="11:13" x14ac:dyDescent="0.25">
      <c r="K9271" s="26" t="s">
        <v>113</v>
      </c>
      <c r="L9271" s="27" t="s">
        <v>119</v>
      </c>
      <c r="M9271" s="10">
        <v>1.0336748288693896</v>
      </c>
    </row>
    <row r="9272" spans="11:13" x14ac:dyDescent="0.25">
      <c r="K9272" s="26" t="s">
        <v>112</v>
      </c>
      <c r="L9272" s="27" t="s">
        <v>115</v>
      </c>
      <c r="M9272" s="10">
        <v>500</v>
      </c>
    </row>
    <row r="9273" spans="11:13" x14ac:dyDescent="0.25">
      <c r="K9273" s="26" t="s">
        <v>112</v>
      </c>
      <c r="L9273" s="27" t="s">
        <v>116</v>
      </c>
      <c r="M9273" s="10">
        <v>500</v>
      </c>
    </row>
    <row r="9274" spans="11:13" x14ac:dyDescent="0.25">
      <c r="K9274" s="26" t="s">
        <v>111</v>
      </c>
      <c r="L9274" s="27" t="s">
        <v>117</v>
      </c>
      <c r="M9274" s="10">
        <v>300</v>
      </c>
    </row>
    <row r="9275" spans="11:13" x14ac:dyDescent="0.25">
      <c r="K9275" s="26" t="s">
        <v>111</v>
      </c>
      <c r="L9275" s="27" t="s">
        <v>118</v>
      </c>
      <c r="M9275" s="10">
        <v>300</v>
      </c>
    </row>
    <row r="9276" spans="11:13" x14ac:dyDescent="0.25">
      <c r="K9276" s="26" t="s">
        <v>110</v>
      </c>
      <c r="L9276" s="27" t="s">
        <v>119</v>
      </c>
      <c r="M9276" s="10">
        <v>1056.6453806220425</v>
      </c>
    </row>
    <row r="9277" spans="11:13" x14ac:dyDescent="0.25">
      <c r="K9277" s="26" t="s">
        <v>113</v>
      </c>
      <c r="L9277" s="27" t="s">
        <v>115</v>
      </c>
      <c r="M9277" s="10">
        <v>241.29610479145123</v>
      </c>
    </row>
    <row r="9278" spans="11:13" x14ac:dyDescent="0.25">
      <c r="K9278" s="26" t="s">
        <v>111</v>
      </c>
      <c r="L9278" s="27" t="s">
        <v>116</v>
      </c>
      <c r="M9278" s="10">
        <v>138.63216266173754</v>
      </c>
    </row>
    <row r="9279" spans="11:13" x14ac:dyDescent="0.25">
      <c r="K9279" s="26" t="s">
        <v>110</v>
      </c>
      <c r="L9279" s="27" t="s">
        <v>117</v>
      </c>
      <c r="M9279" s="10">
        <v>144.3241622574956</v>
      </c>
    </row>
    <row r="9280" spans="11:13" x14ac:dyDescent="0.25">
      <c r="K9280" s="26" t="s">
        <v>110</v>
      </c>
      <c r="L9280" s="27" t="s">
        <v>118</v>
      </c>
      <c r="M9280" s="10">
        <v>22.045855379188712</v>
      </c>
    </row>
    <row r="9281" spans="11:13" x14ac:dyDescent="0.25">
      <c r="K9281" s="26" t="s">
        <v>110</v>
      </c>
      <c r="L9281" s="27" t="s">
        <v>119</v>
      </c>
      <c r="M9281" s="10">
        <v>84.718839351900883</v>
      </c>
    </row>
    <row r="9282" spans="11:13" x14ac:dyDescent="0.25">
      <c r="K9282" s="26" t="s">
        <v>110</v>
      </c>
      <c r="L9282" s="27" t="s">
        <v>115</v>
      </c>
      <c r="M9282" s="10">
        <v>27.604229568434985</v>
      </c>
    </row>
    <row r="9283" spans="11:13" x14ac:dyDescent="0.25">
      <c r="K9283" s="26" t="s">
        <v>110</v>
      </c>
      <c r="L9283" s="27" t="s">
        <v>116</v>
      </c>
      <c r="M9283" s="10">
        <v>15.403573629081947</v>
      </c>
    </row>
    <row r="9284" spans="11:13" x14ac:dyDescent="0.25">
      <c r="K9284" s="26" t="s">
        <v>111</v>
      </c>
      <c r="L9284" s="27" t="s">
        <v>117</v>
      </c>
      <c r="M9284" s="10">
        <v>44.091710758377424</v>
      </c>
    </row>
    <row r="9285" spans="11:13" x14ac:dyDescent="0.25">
      <c r="K9285" s="26" t="s">
        <v>111</v>
      </c>
      <c r="L9285" s="27" t="s">
        <v>118</v>
      </c>
      <c r="M9285" s="10">
        <v>25.696041524803107</v>
      </c>
    </row>
    <row r="9286" spans="11:13" x14ac:dyDescent="0.25">
      <c r="K9286" s="26" t="s">
        <v>110</v>
      </c>
      <c r="L9286" s="27" t="s">
        <v>119</v>
      </c>
      <c r="M9286" s="10">
        <v>46.210720887245841</v>
      </c>
    </row>
    <row r="9287" spans="11:13" x14ac:dyDescent="0.25">
      <c r="K9287" s="26" t="s">
        <v>110</v>
      </c>
      <c r="L9287" s="27" t="s">
        <v>115</v>
      </c>
      <c r="M9287" s="10">
        <v>16.06002595300194</v>
      </c>
    </row>
    <row r="9288" spans="11:13" x14ac:dyDescent="0.25">
      <c r="K9288" s="26" t="s">
        <v>113</v>
      </c>
      <c r="L9288" s="27" t="s">
        <v>116</v>
      </c>
      <c r="M9288" s="10">
        <v>11.022927689594356</v>
      </c>
    </row>
    <row r="9289" spans="11:13" x14ac:dyDescent="0.25">
      <c r="K9289" s="26" t="s">
        <v>111</v>
      </c>
      <c r="L9289" s="27" t="s">
        <v>117</v>
      </c>
      <c r="M9289" s="10">
        <v>70.546737213403873</v>
      </c>
    </row>
    <row r="9290" spans="11:13" x14ac:dyDescent="0.25">
      <c r="K9290" s="26" t="s">
        <v>111</v>
      </c>
      <c r="L9290" s="27" t="s">
        <v>118</v>
      </c>
      <c r="M9290" s="10">
        <v>77.017868145409736</v>
      </c>
    </row>
    <row r="9291" spans="11:13" x14ac:dyDescent="0.25">
      <c r="K9291" s="26" t="s">
        <v>111</v>
      </c>
      <c r="L9291" s="27" t="s">
        <v>119</v>
      </c>
      <c r="M9291" s="10">
        <v>10.782501540357364</v>
      </c>
    </row>
    <row r="9292" spans="11:13" x14ac:dyDescent="0.25">
      <c r="K9292" s="26" t="s">
        <v>111</v>
      </c>
      <c r="L9292" s="27" t="s">
        <v>115</v>
      </c>
      <c r="M9292" s="10">
        <v>42.359419675950441</v>
      </c>
    </row>
    <row r="9293" spans="11:13" x14ac:dyDescent="0.25">
      <c r="K9293" s="26" t="s">
        <v>110</v>
      </c>
      <c r="L9293" s="27" t="s">
        <v>116</v>
      </c>
      <c r="M9293" s="10">
        <v>19.697391851785234</v>
      </c>
    </row>
    <row r="9294" spans="11:13" x14ac:dyDescent="0.25">
      <c r="K9294" s="26" t="s">
        <v>111</v>
      </c>
      <c r="L9294" s="27" t="s">
        <v>117</v>
      </c>
      <c r="M9294" s="10">
        <v>116.4884041088637</v>
      </c>
    </row>
    <row r="9295" spans="11:13" x14ac:dyDescent="0.25">
      <c r="K9295" s="26" t="s">
        <v>111</v>
      </c>
      <c r="L9295" s="27" t="s">
        <v>118</v>
      </c>
      <c r="M9295" s="10">
        <v>110.22927689594357</v>
      </c>
    </row>
    <row r="9296" spans="11:13" x14ac:dyDescent="0.25">
      <c r="K9296" s="26" t="s">
        <v>111</v>
      </c>
      <c r="L9296" s="27" t="s">
        <v>119</v>
      </c>
      <c r="M9296" s="10">
        <v>100</v>
      </c>
    </row>
    <row r="9297" spans="11:13" x14ac:dyDescent="0.25">
      <c r="K9297" s="26" t="s">
        <v>110</v>
      </c>
      <c r="L9297" s="27" t="s">
        <v>115</v>
      </c>
      <c r="M9297" s="10">
        <v>100</v>
      </c>
    </row>
    <row r="9298" spans="11:13" x14ac:dyDescent="0.25">
      <c r="K9298" s="26" t="s">
        <v>110</v>
      </c>
      <c r="L9298" s="27" t="s">
        <v>116</v>
      </c>
      <c r="M9298" s="10">
        <v>3.8508934072704868</v>
      </c>
    </row>
    <row r="9299" spans="11:13" x14ac:dyDescent="0.25">
      <c r="K9299" s="26" t="s">
        <v>110</v>
      </c>
      <c r="L9299" s="27" t="s">
        <v>117</v>
      </c>
      <c r="M9299" s="10">
        <v>7.7017868145409736</v>
      </c>
    </row>
    <row r="9300" spans="11:13" x14ac:dyDescent="0.25">
      <c r="K9300" s="26" t="s">
        <v>110</v>
      </c>
      <c r="L9300" s="27" t="s">
        <v>118</v>
      </c>
      <c r="M9300" s="10">
        <v>3.0807147258163896</v>
      </c>
    </row>
    <row r="9301" spans="11:13" x14ac:dyDescent="0.25">
      <c r="K9301" s="26" t="s">
        <v>110</v>
      </c>
      <c r="L9301" s="27" t="s">
        <v>119</v>
      </c>
      <c r="M9301" s="10">
        <v>3.0807147258163896</v>
      </c>
    </row>
    <row r="9302" spans="11:13" x14ac:dyDescent="0.25">
      <c r="K9302" s="26" t="s">
        <v>110</v>
      </c>
      <c r="L9302" s="27" t="s">
        <v>115</v>
      </c>
      <c r="M9302" s="10">
        <v>2381.2358614120731</v>
      </c>
    </row>
    <row r="9303" spans="11:13" x14ac:dyDescent="0.25">
      <c r="K9303" s="26" t="s">
        <v>110</v>
      </c>
      <c r="L9303" s="27" t="s">
        <v>116</v>
      </c>
      <c r="M9303" s="10">
        <v>977.67638911520294</v>
      </c>
    </row>
    <row r="9304" spans="11:13" x14ac:dyDescent="0.25">
      <c r="K9304" s="26" t="s">
        <v>110</v>
      </c>
      <c r="L9304" s="27" t="s">
        <v>117</v>
      </c>
      <c r="M9304" s="10">
        <v>977.67638911520294</v>
      </c>
    </row>
    <row r="9305" spans="11:13" x14ac:dyDescent="0.25">
      <c r="K9305" s="26" t="s">
        <v>110</v>
      </c>
      <c r="L9305" s="27" t="s">
        <v>118</v>
      </c>
      <c r="M9305" s="10">
        <v>977.67638911520294</v>
      </c>
    </row>
    <row r="9306" spans="11:13" x14ac:dyDescent="0.25">
      <c r="K9306" s="26" t="s">
        <v>111</v>
      </c>
      <c r="L9306" s="27" t="s">
        <v>119</v>
      </c>
      <c r="M9306" s="10">
        <v>977.67638911520294</v>
      </c>
    </row>
    <row r="9307" spans="11:13" x14ac:dyDescent="0.25">
      <c r="K9307" s="26" t="s">
        <v>110</v>
      </c>
      <c r="L9307" s="27" t="s">
        <v>115</v>
      </c>
      <c r="M9307" s="10">
        <v>586.60583346912176</v>
      </c>
    </row>
    <row r="9308" spans="11:13" x14ac:dyDescent="0.25">
      <c r="K9308" s="26" t="s">
        <v>110</v>
      </c>
      <c r="L9308" s="27" t="s">
        <v>116</v>
      </c>
      <c r="M9308" s="10">
        <v>977.67638911520294</v>
      </c>
    </row>
    <row r="9309" spans="11:13" x14ac:dyDescent="0.25">
      <c r="K9309" s="26" t="s">
        <v>111</v>
      </c>
      <c r="L9309" s="27" t="s">
        <v>117</v>
      </c>
      <c r="M9309" s="10">
        <v>586.60583346912176</v>
      </c>
    </row>
    <row r="9310" spans="11:13" x14ac:dyDescent="0.25">
      <c r="K9310" s="26" t="s">
        <v>110</v>
      </c>
      <c r="L9310" s="27" t="s">
        <v>118</v>
      </c>
      <c r="M9310" s="10">
        <v>831.79297597042523</v>
      </c>
    </row>
    <row r="9311" spans="11:13" x14ac:dyDescent="0.25">
      <c r="K9311" s="26" t="s">
        <v>109</v>
      </c>
      <c r="L9311" s="27" t="s">
        <v>119</v>
      </c>
      <c r="M9311" s="10">
        <v>658.08090446639505</v>
      </c>
    </row>
    <row r="9312" spans="11:13" x14ac:dyDescent="0.25">
      <c r="K9312" s="26" t="s">
        <v>111</v>
      </c>
      <c r="L9312" s="27" t="s">
        <v>115</v>
      </c>
      <c r="M9312" s="10">
        <v>661.37566137566137</v>
      </c>
    </row>
    <row r="9313" spans="11:13" x14ac:dyDescent="0.25">
      <c r="K9313" s="26" t="s">
        <v>111</v>
      </c>
      <c r="L9313" s="27" t="s">
        <v>116</v>
      </c>
      <c r="M9313" s="10">
        <v>21.179709837975221</v>
      </c>
    </row>
    <row r="9314" spans="11:13" x14ac:dyDescent="0.25">
      <c r="K9314" s="26" t="s">
        <v>111</v>
      </c>
      <c r="L9314" s="27" t="s">
        <v>117</v>
      </c>
      <c r="M9314" s="10">
        <v>31.769564756962826</v>
      </c>
    </row>
    <row r="9315" spans="11:13" x14ac:dyDescent="0.25">
      <c r="K9315" s="26" t="s">
        <v>111</v>
      </c>
      <c r="L9315" s="27" t="s">
        <v>118</v>
      </c>
      <c r="M9315" s="10">
        <v>110.22927689594357</v>
      </c>
    </row>
    <row r="9316" spans="11:13" x14ac:dyDescent="0.25">
      <c r="K9316" s="26" t="s">
        <v>111</v>
      </c>
      <c r="L9316" s="27" t="s">
        <v>119</v>
      </c>
      <c r="M9316" s="10">
        <v>107.82501540357363</v>
      </c>
    </row>
    <row r="9317" spans="11:13" x14ac:dyDescent="0.25">
      <c r="K9317" s="26" t="s">
        <v>111</v>
      </c>
      <c r="L9317" s="27" t="s">
        <v>115</v>
      </c>
      <c r="M9317" s="10">
        <v>18.317198933939025</v>
      </c>
    </row>
    <row r="9318" spans="11:13" x14ac:dyDescent="0.25">
      <c r="K9318" s="26" t="s">
        <v>111</v>
      </c>
      <c r="L9318" s="27" t="s">
        <v>116</v>
      </c>
      <c r="M9318" s="10">
        <v>47.420767195767198</v>
      </c>
    </row>
    <row r="9319" spans="11:13" x14ac:dyDescent="0.25">
      <c r="K9319" s="26" t="s">
        <v>111</v>
      </c>
      <c r="L9319" s="27" t="s">
        <v>117</v>
      </c>
      <c r="M9319" s="10">
        <v>105.89854918987609</v>
      </c>
    </row>
    <row r="9320" spans="11:13" x14ac:dyDescent="0.25">
      <c r="K9320" s="26" t="s">
        <v>111</v>
      </c>
      <c r="L9320" s="27" t="s">
        <v>118</v>
      </c>
      <c r="M9320" s="10">
        <v>22.045855379188712</v>
      </c>
    </row>
    <row r="9321" spans="11:13" x14ac:dyDescent="0.25">
      <c r="K9321" s="26" t="s">
        <v>111</v>
      </c>
      <c r="L9321" s="27" t="s">
        <v>119</v>
      </c>
      <c r="M9321" s="10">
        <v>211.79709837975219</v>
      </c>
    </row>
    <row r="9322" spans="11:13" x14ac:dyDescent="0.25">
      <c r="K9322" s="26" t="s">
        <v>111</v>
      </c>
      <c r="L9322" s="27" t="s">
        <v>115</v>
      </c>
      <c r="M9322" s="10">
        <v>18.317198933939025</v>
      </c>
    </row>
    <row r="9323" spans="11:13" x14ac:dyDescent="0.25">
      <c r="K9323" s="26" t="s">
        <v>111</v>
      </c>
      <c r="L9323" s="27" t="s">
        <v>116</v>
      </c>
      <c r="M9323" s="10">
        <v>18.317198933939025</v>
      </c>
    </row>
    <row r="9324" spans="11:13" x14ac:dyDescent="0.25">
      <c r="K9324" s="26" t="s">
        <v>111</v>
      </c>
      <c r="L9324" s="27" t="s">
        <v>117</v>
      </c>
      <c r="M9324" s="10">
        <v>24.72821856081768</v>
      </c>
    </row>
    <row r="9325" spans="11:13" x14ac:dyDescent="0.25">
      <c r="K9325" s="26" t="s">
        <v>111</v>
      </c>
      <c r="L9325" s="27" t="s">
        <v>118</v>
      </c>
      <c r="M9325" s="10">
        <v>34.470872113064452</v>
      </c>
    </row>
    <row r="9326" spans="11:13" x14ac:dyDescent="0.25">
      <c r="K9326" s="26" t="s">
        <v>111</v>
      </c>
      <c r="L9326" s="27" t="s">
        <v>119</v>
      </c>
      <c r="M9326" s="10">
        <v>54.664473937789886</v>
      </c>
    </row>
    <row r="9327" spans="11:13" x14ac:dyDescent="0.25">
      <c r="K9327" s="26" t="s">
        <v>109</v>
      </c>
      <c r="L9327" s="27" t="s">
        <v>115</v>
      </c>
      <c r="M9327" s="10">
        <v>45.792997334847563</v>
      </c>
    </row>
    <row r="9328" spans="11:13" x14ac:dyDescent="0.25">
      <c r="K9328" s="26" t="s">
        <v>111</v>
      </c>
      <c r="L9328" s="27" t="s">
        <v>116</v>
      </c>
      <c r="M9328" s="10">
        <v>55.114638447971785</v>
      </c>
    </row>
    <row r="9329" spans="11:13" x14ac:dyDescent="0.25">
      <c r="K9329" s="26" t="s">
        <v>110</v>
      </c>
      <c r="L9329" s="27" t="s">
        <v>117</v>
      </c>
      <c r="M9329" s="10">
        <v>91.585994669695125</v>
      </c>
    </row>
    <row r="9330" spans="11:13" x14ac:dyDescent="0.25">
      <c r="K9330" s="26" t="s">
        <v>110</v>
      </c>
      <c r="L9330" s="27" t="s">
        <v>118</v>
      </c>
      <c r="M9330" s="10">
        <v>80.171649557385678</v>
      </c>
    </row>
    <row r="9331" spans="11:13" x14ac:dyDescent="0.25">
      <c r="K9331" s="26" t="s">
        <v>110</v>
      </c>
      <c r="L9331" s="27" t="s">
        <v>119</v>
      </c>
      <c r="M9331" s="10">
        <v>231.05360443622922</v>
      </c>
    </row>
    <row r="9332" spans="11:13" x14ac:dyDescent="0.25">
      <c r="K9332" s="26" t="s">
        <v>110</v>
      </c>
      <c r="L9332" s="27" t="s">
        <v>115</v>
      </c>
      <c r="M9332" s="10">
        <v>123.22858903265558</v>
      </c>
    </row>
    <row r="9333" spans="11:13" x14ac:dyDescent="0.25">
      <c r="K9333" s="26" t="s">
        <v>110</v>
      </c>
      <c r="L9333" s="27" t="s">
        <v>116</v>
      </c>
      <c r="M9333" s="10">
        <v>12.822039253757318</v>
      </c>
    </row>
    <row r="9334" spans="11:13" x14ac:dyDescent="0.25">
      <c r="K9334" s="26" t="s">
        <v>110</v>
      </c>
      <c r="L9334" s="27" t="s">
        <v>117</v>
      </c>
      <c r="M9334" s="10">
        <v>10.990319360363413</v>
      </c>
    </row>
    <row r="9335" spans="11:13" x14ac:dyDescent="0.25">
      <c r="K9335" s="26" t="s">
        <v>110</v>
      </c>
      <c r="L9335" s="27" t="s">
        <v>118</v>
      </c>
      <c r="M9335" s="10">
        <v>5.4951596801817066</v>
      </c>
    </row>
    <row r="9336" spans="11:13" x14ac:dyDescent="0.25">
      <c r="K9336" s="26" t="s">
        <v>110</v>
      </c>
      <c r="L9336" s="27" t="s">
        <v>119</v>
      </c>
      <c r="M9336" s="10">
        <v>24.72821856081768</v>
      </c>
    </row>
    <row r="9337" spans="11:13" x14ac:dyDescent="0.25">
      <c r="K9337" s="26" t="s">
        <v>110</v>
      </c>
      <c r="L9337" s="27" t="s">
        <v>115</v>
      </c>
      <c r="M9337" s="10">
        <v>46.210720887245841</v>
      </c>
    </row>
    <row r="9338" spans="11:13" x14ac:dyDescent="0.25">
      <c r="K9338" s="26" t="s">
        <v>110</v>
      </c>
      <c r="L9338" s="27" t="s">
        <v>116</v>
      </c>
      <c r="M9338" s="10">
        <v>81.030710639332298</v>
      </c>
    </row>
    <row r="9339" spans="11:13" x14ac:dyDescent="0.25">
      <c r="K9339" s="26" t="s">
        <v>110</v>
      </c>
      <c r="L9339" s="27" t="s">
        <v>117</v>
      </c>
      <c r="M9339" s="10">
        <v>401.21970791205263</v>
      </c>
    </row>
    <row r="9340" spans="11:13" x14ac:dyDescent="0.25">
      <c r="K9340" s="26" t="s">
        <v>110</v>
      </c>
      <c r="L9340" s="27" t="s">
        <v>118</v>
      </c>
      <c r="M9340" s="10">
        <v>53.912507701786815</v>
      </c>
    </row>
    <row r="9341" spans="11:13" x14ac:dyDescent="0.25">
      <c r="K9341" s="26" t="s">
        <v>110</v>
      </c>
      <c r="L9341" s="27" t="s">
        <v>119</v>
      </c>
      <c r="M9341" s="10">
        <v>52.949274594938046</v>
      </c>
    </row>
    <row r="9342" spans="11:13" x14ac:dyDescent="0.25">
      <c r="K9342" s="26" t="s">
        <v>110</v>
      </c>
      <c r="L9342" s="27" t="s">
        <v>115</v>
      </c>
      <c r="M9342" s="10">
        <v>65.808090446639511</v>
      </c>
    </row>
    <row r="9343" spans="11:13" x14ac:dyDescent="0.25">
      <c r="K9343" s="26" t="s">
        <v>110</v>
      </c>
      <c r="L9343" s="27" t="s">
        <v>116</v>
      </c>
      <c r="M9343" s="10">
        <v>28.343674594967251</v>
      </c>
    </row>
    <row r="9344" spans="11:13" x14ac:dyDescent="0.25">
      <c r="K9344" s="26" t="s">
        <v>110</v>
      </c>
      <c r="L9344" s="27" t="s">
        <v>117</v>
      </c>
      <c r="M9344" s="10">
        <v>30.807147258163894</v>
      </c>
    </row>
    <row r="9345" spans="11:13" x14ac:dyDescent="0.25">
      <c r="K9345" s="26" t="s">
        <v>110</v>
      </c>
      <c r="L9345" s="27" t="s">
        <v>118</v>
      </c>
      <c r="M9345" s="10">
        <v>44.091710758377424</v>
      </c>
    </row>
    <row r="9346" spans="11:13" x14ac:dyDescent="0.25">
      <c r="K9346" s="26" t="s">
        <v>110</v>
      </c>
      <c r="L9346" s="27" t="s">
        <v>119</v>
      </c>
      <c r="M9346" s="10">
        <v>12.848020762401553</v>
      </c>
    </row>
    <row r="9347" spans="11:13" x14ac:dyDescent="0.25">
      <c r="K9347" s="26" t="s">
        <v>110</v>
      </c>
      <c r="L9347" s="27" t="s">
        <v>115</v>
      </c>
      <c r="M9347" s="10">
        <v>40.515355319666149</v>
      </c>
    </row>
    <row r="9348" spans="11:13" x14ac:dyDescent="0.25">
      <c r="K9348" s="26" t="s">
        <v>110</v>
      </c>
      <c r="L9348" s="27" t="s">
        <v>116</v>
      </c>
      <c r="M9348" s="10">
        <v>200</v>
      </c>
    </row>
    <row r="9349" spans="11:13" x14ac:dyDescent="0.25">
      <c r="K9349" s="26" t="s">
        <v>110</v>
      </c>
      <c r="L9349" s="27" t="s">
        <v>117</v>
      </c>
      <c r="M9349" s="10">
        <v>150</v>
      </c>
    </row>
    <row r="9350" spans="11:13" x14ac:dyDescent="0.25">
      <c r="K9350" s="26" t="s">
        <v>110</v>
      </c>
      <c r="L9350" s="27" t="s">
        <v>118</v>
      </c>
      <c r="M9350" s="10">
        <v>52.949274594938046</v>
      </c>
    </row>
    <row r="9351" spans="11:13" x14ac:dyDescent="0.25">
      <c r="K9351" s="26" t="s">
        <v>110</v>
      </c>
      <c r="L9351" s="27" t="s">
        <v>119</v>
      </c>
      <c r="M9351" s="10">
        <v>77.017868145409736</v>
      </c>
    </row>
    <row r="9352" spans="11:13" x14ac:dyDescent="0.25">
      <c r="K9352" s="26" t="s">
        <v>110</v>
      </c>
      <c r="L9352" s="27" t="s">
        <v>115</v>
      </c>
      <c r="M9352" s="10">
        <v>46.210720887245841</v>
      </c>
    </row>
    <row r="9353" spans="11:13" x14ac:dyDescent="0.25">
      <c r="K9353" s="26" t="s">
        <v>110</v>
      </c>
      <c r="L9353" s="27" t="s">
        <v>116</v>
      </c>
      <c r="M9353" s="10">
        <v>105.89854918987609</v>
      </c>
    </row>
    <row r="9354" spans="11:13" x14ac:dyDescent="0.25">
      <c r="K9354" s="26" t="s">
        <v>110</v>
      </c>
      <c r="L9354" s="27" t="s">
        <v>117</v>
      </c>
      <c r="M9354" s="10">
        <v>243.09213191799691</v>
      </c>
    </row>
    <row r="9355" spans="11:13" x14ac:dyDescent="0.25">
      <c r="K9355" s="26" t="s">
        <v>110</v>
      </c>
      <c r="L9355" s="27" t="s">
        <v>118</v>
      </c>
      <c r="M9355" s="10">
        <v>51.544312169312171</v>
      </c>
    </row>
    <row r="9356" spans="11:13" x14ac:dyDescent="0.25">
      <c r="K9356" s="26" t="s">
        <v>110</v>
      </c>
      <c r="L9356" s="27" t="s">
        <v>119</v>
      </c>
      <c r="M9356" s="10">
        <v>100.12322858903266</v>
      </c>
    </row>
    <row r="9357" spans="11:13" x14ac:dyDescent="0.25">
      <c r="K9357" s="26" t="s">
        <v>111</v>
      </c>
      <c r="L9357" s="27" t="s">
        <v>115</v>
      </c>
      <c r="M9357" s="10">
        <v>52.949274594938046</v>
      </c>
    </row>
    <row r="9358" spans="11:13" x14ac:dyDescent="0.25">
      <c r="K9358" s="26" t="s">
        <v>111</v>
      </c>
      <c r="L9358" s="27" t="s">
        <v>116</v>
      </c>
      <c r="M9358" s="10">
        <v>44.091710758377424</v>
      </c>
    </row>
    <row r="9359" spans="11:13" x14ac:dyDescent="0.25">
      <c r="K9359" s="26" t="s">
        <v>109</v>
      </c>
      <c r="L9359" s="27" t="s">
        <v>117</v>
      </c>
      <c r="M9359" s="10">
        <v>176.3668430335097</v>
      </c>
    </row>
    <row r="9360" spans="11:13" x14ac:dyDescent="0.25">
      <c r="K9360" s="26" t="s">
        <v>109</v>
      </c>
      <c r="L9360" s="27" t="s">
        <v>118</v>
      </c>
      <c r="M9360" s="10">
        <v>115.16415828161914</v>
      </c>
    </row>
    <row r="9361" spans="11:13" x14ac:dyDescent="0.25">
      <c r="K9361" s="26" t="s">
        <v>110</v>
      </c>
      <c r="L9361" s="27" t="s">
        <v>119</v>
      </c>
      <c r="M9361" s="10">
        <v>658.08090446639505</v>
      </c>
    </row>
    <row r="9362" spans="11:13" x14ac:dyDescent="0.25">
      <c r="K9362" s="26" t="s">
        <v>110</v>
      </c>
      <c r="L9362" s="27" t="s">
        <v>115</v>
      </c>
      <c r="M9362" s="10">
        <v>30</v>
      </c>
    </row>
    <row r="9363" spans="11:13" x14ac:dyDescent="0.25">
      <c r="K9363" s="26" t="s">
        <v>110</v>
      </c>
      <c r="L9363" s="27" t="s">
        <v>116</v>
      </c>
      <c r="M9363" s="10">
        <v>183.17198933939025</v>
      </c>
    </row>
    <row r="9364" spans="11:13" x14ac:dyDescent="0.25">
      <c r="K9364" s="26" t="s">
        <v>110</v>
      </c>
      <c r="L9364" s="27" t="s">
        <v>117</v>
      </c>
      <c r="M9364" s="10">
        <v>457.92997334847558</v>
      </c>
    </row>
    <row r="9365" spans="11:13" x14ac:dyDescent="0.25">
      <c r="K9365" s="26" t="s">
        <v>110</v>
      </c>
      <c r="L9365" s="27" t="s">
        <v>118</v>
      </c>
      <c r="M9365" s="10">
        <v>384.66117761271948</v>
      </c>
    </row>
    <row r="9366" spans="11:13" x14ac:dyDescent="0.25">
      <c r="K9366" s="26" t="s">
        <v>110</v>
      </c>
      <c r="L9366" s="27" t="s">
        <v>119</v>
      </c>
      <c r="M9366" s="10">
        <v>457.92997334847558</v>
      </c>
    </row>
    <row r="9367" spans="11:13" x14ac:dyDescent="0.25">
      <c r="K9367" s="26" t="s">
        <v>111</v>
      </c>
      <c r="L9367" s="27" t="s">
        <v>115</v>
      </c>
      <c r="M9367" s="10">
        <v>457.92997334847558</v>
      </c>
    </row>
    <row r="9368" spans="11:13" x14ac:dyDescent="0.25">
      <c r="K9368" s="26" t="s">
        <v>111</v>
      </c>
      <c r="L9368" s="27" t="s">
        <v>116</v>
      </c>
      <c r="M9368" s="10">
        <v>457.92997334847558</v>
      </c>
    </row>
    <row r="9369" spans="11:13" x14ac:dyDescent="0.25">
      <c r="K9369" s="26" t="s">
        <v>111</v>
      </c>
      <c r="L9369" s="27" t="s">
        <v>117</v>
      </c>
      <c r="M9369" s="10">
        <v>457.92997334847558</v>
      </c>
    </row>
    <row r="9370" spans="11:13" x14ac:dyDescent="0.25">
      <c r="K9370" s="26" t="s">
        <v>111</v>
      </c>
      <c r="L9370" s="27" t="s">
        <v>118</v>
      </c>
      <c r="M9370" s="10">
        <v>457.92997334847558</v>
      </c>
    </row>
    <row r="9371" spans="11:13" x14ac:dyDescent="0.25">
      <c r="K9371" s="26" t="s">
        <v>111</v>
      </c>
      <c r="L9371" s="27" t="s">
        <v>119</v>
      </c>
      <c r="M9371" s="10">
        <v>22.045855379188712</v>
      </c>
    </row>
    <row r="9372" spans="11:13" x14ac:dyDescent="0.25">
      <c r="K9372" s="26" t="s">
        <v>111</v>
      </c>
      <c r="L9372" s="27" t="s">
        <v>115</v>
      </c>
      <c r="M9372" s="10">
        <v>23.699294532627867</v>
      </c>
    </row>
    <row r="9373" spans="11:13" x14ac:dyDescent="0.25">
      <c r="K9373" s="26" t="s">
        <v>111</v>
      </c>
      <c r="L9373" s="27" t="s">
        <v>116</v>
      </c>
      <c r="M9373" s="10">
        <v>32.05509813439329</v>
      </c>
    </row>
    <row r="9374" spans="11:13" x14ac:dyDescent="0.25">
      <c r="K9374" s="26" t="s">
        <v>111</v>
      </c>
      <c r="L9374" s="27" t="s">
        <v>117</v>
      </c>
      <c r="M9374" s="10">
        <v>91.585994669695125</v>
      </c>
    </row>
    <row r="9375" spans="11:13" x14ac:dyDescent="0.25">
      <c r="K9375" s="26" t="s">
        <v>111</v>
      </c>
      <c r="L9375" s="27" t="s">
        <v>118</v>
      </c>
      <c r="M9375" s="10">
        <v>158.84782378481412</v>
      </c>
    </row>
    <row r="9376" spans="11:13" x14ac:dyDescent="0.25">
      <c r="K9376" s="26" t="s">
        <v>111</v>
      </c>
      <c r="L9376" s="27" t="s">
        <v>119</v>
      </c>
      <c r="M9376" s="10">
        <v>45.792997334847563</v>
      </c>
    </row>
    <row r="9377" spans="11:13" x14ac:dyDescent="0.25">
      <c r="K9377" s="26" t="s">
        <v>111</v>
      </c>
      <c r="L9377" s="27" t="s">
        <v>115</v>
      </c>
      <c r="M9377" s="10">
        <v>73.2687957357561</v>
      </c>
    </row>
    <row r="9378" spans="11:13" x14ac:dyDescent="0.25">
      <c r="K9378" s="26" t="s">
        <v>111</v>
      </c>
      <c r="L9378" s="27" t="s">
        <v>116</v>
      </c>
      <c r="M9378" s="10">
        <v>6.4240103812007767</v>
      </c>
    </row>
    <row r="9379" spans="11:13" x14ac:dyDescent="0.25">
      <c r="K9379" s="26" t="s">
        <v>111</v>
      </c>
      <c r="L9379" s="27" t="s">
        <v>117</v>
      </c>
      <c r="M9379" s="10">
        <v>12.322858903265558</v>
      </c>
    </row>
    <row r="9380" spans="11:13" x14ac:dyDescent="0.25">
      <c r="K9380" s="26" t="s">
        <v>111</v>
      </c>
      <c r="L9380" s="27" t="s">
        <v>118</v>
      </c>
      <c r="M9380" s="10">
        <v>77.160493827160494</v>
      </c>
    </row>
    <row r="9381" spans="11:13" x14ac:dyDescent="0.25">
      <c r="K9381" s="26" t="s">
        <v>111</v>
      </c>
      <c r="L9381" s="27" t="s">
        <v>119</v>
      </c>
      <c r="M9381" s="10">
        <v>100</v>
      </c>
    </row>
    <row r="9382" spans="11:13" x14ac:dyDescent="0.25">
      <c r="K9382" s="26" t="s">
        <v>111</v>
      </c>
      <c r="L9382" s="27" t="s">
        <v>115</v>
      </c>
      <c r="M9382" s="10">
        <v>52.949274594938046</v>
      </c>
    </row>
    <row r="9383" spans="11:13" x14ac:dyDescent="0.25">
      <c r="K9383" s="26" t="s">
        <v>111</v>
      </c>
      <c r="L9383" s="27" t="s">
        <v>116</v>
      </c>
      <c r="M9383" s="10">
        <v>32.412284255732921</v>
      </c>
    </row>
    <row r="9384" spans="11:13" x14ac:dyDescent="0.25">
      <c r="K9384" s="26" t="s">
        <v>111</v>
      </c>
      <c r="L9384" s="27" t="s">
        <v>117</v>
      </c>
      <c r="M9384" s="10">
        <v>211.79709837975219</v>
      </c>
    </row>
    <row r="9385" spans="11:13" x14ac:dyDescent="0.25">
      <c r="K9385" s="26" t="s">
        <v>109</v>
      </c>
      <c r="L9385" s="27" t="s">
        <v>118</v>
      </c>
      <c r="M9385" s="10">
        <v>3.2904045223319758E-2</v>
      </c>
    </row>
    <row r="9386" spans="11:13" x14ac:dyDescent="0.25">
      <c r="K9386" s="26" t="s">
        <v>109</v>
      </c>
      <c r="L9386" s="27" t="s">
        <v>119</v>
      </c>
      <c r="M9386" s="10">
        <v>69.289520834290443</v>
      </c>
    </row>
    <row r="9387" spans="11:13" x14ac:dyDescent="0.25">
      <c r="K9387" s="26" t="s">
        <v>111</v>
      </c>
      <c r="L9387" s="27" t="s">
        <v>115</v>
      </c>
      <c r="M9387" s="10">
        <v>200</v>
      </c>
    </row>
    <row r="9388" spans="11:13" x14ac:dyDescent="0.25">
      <c r="K9388" s="26" t="s">
        <v>111</v>
      </c>
      <c r="L9388" s="27" t="s">
        <v>116</v>
      </c>
      <c r="M9388" s="10">
        <v>6.4240103812007767</v>
      </c>
    </row>
    <row r="9389" spans="11:13" x14ac:dyDescent="0.25">
      <c r="K9389" s="26" t="s">
        <v>110</v>
      </c>
      <c r="L9389" s="27" t="s">
        <v>117</v>
      </c>
      <c r="M9389" s="10">
        <v>86.177180282661155</v>
      </c>
    </row>
    <row r="9390" spans="11:13" x14ac:dyDescent="0.25">
      <c r="K9390" s="26" t="s">
        <v>110</v>
      </c>
      <c r="L9390" s="27" t="s">
        <v>118</v>
      </c>
      <c r="M9390" s="10">
        <v>77.017868145409736</v>
      </c>
    </row>
    <row r="9391" spans="11:13" x14ac:dyDescent="0.25">
      <c r="K9391" s="26" t="s">
        <v>113</v>
      </c>
      <c r="L9391" s="27" t="s">
        <v>119</v>
      </c>
      <c r="M9391" s="10">
        <v>52.949274594938046</v>
      </c>
    </row>
    <row r="9392" spans="11:13" x14ac:dyDescent="0.25">
      <c r="K9392" s="26" t="s">
        <v>113</v>
      </c>
      <c r="L9392" s="27" t="s">
        <v>115</v>
      </c>
      <c r="M9392" s="10">
        <v>79.423911892407062</v>
      </c>
    </row>
    <row r="9393" spans="11:13" x14ac:dyDescent="0.25">
      <c r="K9393" s="26" t="s">
        <v>113</v>
      </c>
      <c r="L9393" s="27" t="s">
        <v>116</v>
      </c>
      <c r="M9393" s="10">
        <v>317.69564756962825</v>
      </c>
    </row>
    <row r="9394" spans="11:13" x14ac:dyDescent="0.25">
      <c r="K9394" s="26" t="s">
        <v>110</v>
      </c>
      <c r="L9394" s="27" t="s">
        <v>117</v>
      </c>
      <c r="M9394" s="10">
        <v>50</v>
      </c>
    </row>
    <row r="9395" spans="11:13" x14ac:dyDescent="0.25">
      <c r="K9395" s="26" t="s">
        <v>110</v>
      </c>
      <c r="L9395" s="27" t="s">
        <v>118</v>
      </c>
      <c r="M9395" s="10">
        <v>40</v>
      </c>
    </row>
    <row r="9396" spans="11:13" x14ac:dyDescent="0.25">
      <c r="K9396" s="26" t="s">
        <v>110</v>
      </c>
      <c r="L9396" s="27" t="s">
        <v>119</v>
      </c>
      <c r="M9396" s="10">
        <v>2.4250440917107583</v>
      </c>
    </row>
    <row r="9397" spans="11:13" x14ac:dyDescent="0.25">
      <c r="K9397" s="26" t="s">
        <v>110</v>
      </c>
      <c r="L9397" s="27" t="s">
        <v>115</v>
      </c>
      <c r="M9397" s="10">
        <v>37.064492216456628</v>
      </c>
    </row>
    <row r="9398" spans="11:13" x14ac:dyDescent="0.25">
      <c r="K9398" s="26" t="s">
        <v>110</v>
      </c>
      <c r="L9398" s="27" t="s">
        <v>116</v>
      </c>
      <c r="M9398" s="10">
        <v>79.365079365079367</v>
      </c>
    </row>
    <row r="9399" spans="11:13" x14ac:dyDescent="0.25">
      <c r="K9399" s="26" t="s">
        <v>111</v>
      </c>
      <c r="L9399" s="27" t="s">
        <v>117</v>
      </c>
      <c r="M9399" s="10">
        <v>95.329802599903701</v>
      </c>
    </row>
    <row r="9400" spans="11:13" x14ac:dyDescent="0.25">
      <c r="K9400" s="26" t="s">
        <v>110</v>
      </c>
      <c r="L9400" s="27" t="s">
        <v>118</v>
      </c>
      <c r="M9400" s="10">
        <v>20.257677659833075</v>
      </c>
    </row>
    <row r="9401" spans="11:13" x14ac:dyDescent="0.25">
      <c r="K9401" s="26" t="s">
        <v>113</v>
      </c>
      <c r="L9401" s="27" t="s">
        <v>119</v>
      </c>
      <c r="M9401" s="10">
        <v>43.331728454501686</v>
      </c>
    </row>
    <row r="9402" spans="11:13" x14ac:dyDescent="0.25">
      <c r="K9402" s="26" t="s">
        <v>113</v>
      </c>
      <c r="L9402" s="27" t="s">
        <v>115</v>
      </c>
      <c r="M9402" s="10">
        <v>158.88300433317283</v>
      </c>
    </row>
    <row r="9403" spans="11:13" x14ac:dyDescent="0.25">
      <c r="K9403" s="26" t="s">
        <v>111</v>
      </c>
      <c r="L9403" s="27" t="s">
        <v>116</v>
      </c>
      <c r="M9403" s="10">
        <v>57.426379381632742</v>
      </c>
    </row>
    <row r="9404" spans="11:13" x14ac:dyDescent="0.25">
      <c r="K9404" s="26" t="s">
        <v>113</v>
      </c>
      <c r="L9404" s="27" t="s">
        <v>117</v>
      </c>
      <c r="M9404" s="10">
        <v>50</v>
      </c>
    </row>
    <row r="9405" spans="11:13" x14ac:dyDescent="0.25">
      <c r="K9405" s="26" t="s">
        <v>113</v>
      </c>
      <c r="L9405" s="27" t="s">
        <v>118</v>
      </c>
      <c r="M9405" s="10">
        <v>4.409171075837742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44" r:id="rId4" name="Scroll Bar 48">
              <controlPr defaultSize="0" autoPict="0">
                <anchor moveWithCells="1">
                  <from>
                    <xdr:col>5</xdr:col>
                    <xdr:colOff>9525</xdr:colOff>
                    <xdr:row>7</xdr:row>
                    <xdr:rowOff>180975</xdr:rowOff>
                  </from>
                  <to>
                    <xdr:col>5</xdr:col>
                    <xdr:colOff>190500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2:I30"/>
  <sheetViews>
    <sheetView workbookViewId="0">
      <selection activeCell="F4" sqref="F4"/>
    </sheetView>
  </sheetViews>
  <sheetFormatPr defaultRowHeight="15" x14ac:dyDescent="0.25"/>
  <cols>
    <col min="1" max="1" width="15.28515625" customWidth="1"/>
  </cols>
  <sheetData>
    <row r="2" spans="1:9" x14ac:dyDescent="0.25">
      <c r="I2" s="17" t="s">
        <v>106</v>
      </c>
    </row>
    <row r="3" spans="1:9" x14ac:dyDescent="0.25">
      <c r="A3" s="34" t="s">
        <v>40</v>
      </c>
    </row>
    <row r="4" spans="1:9" x14ac:dyDescent="0.25">
      <c r="A4" s="35" t="s">
        <v>41</v>
      </c>
    </row>
    <row r="5" spans="1:9" x14ac:dyDescent="0.25">
      <c r="A5" s="35" t="s">
        <v>42</v>
      </c>
      <c r="E5" t="str">
        <f t="array" aca="1" ref="E5" ca="1">IFERROR(OFFSET($A$3,IF(MOD(ROW(A2),2)=0,ROW(A2)/2,""),0),"")</f>
        <v>Camera</v>
      </c>
    </row>
    <row r="6" spans="1:9" x14ac:dyDescent="0.25">
      <c r="A6" s="35" t="s">
        <v>43</v>
      </c>
      <c r="E6" t="str">
        <f t="array" aca="1" ref="E6" ca="1">IFERROR(OFFSET($A$3,IF(MOD(ROW(A3),2)=0,ROW(A3)/2,""),0),"")</f>
        <v/>
      </c>
    </row>
    <row r="7" spans="1:9" x14ac:dyDescent="0.25">
      <c r="A7" s="35" t="s">
        <v>44</v>
      </c>
      <c r="E7" t="str">
        <f t="array" aca="1" ref="E7" ca="1">IFERROR(OFFSET($A$3,IF(MOD(ROW(A4),2)=0,ROW(A4)/2,""),0),"")</f>
        <v>Donjin</v>
      </c>
    </row>
    <row r="8" spans="1:9" x14ac:dyDescent="0.25">
      <c r="A8" s="35" t="s">
        <v>45</v>
      </c>
      <c r="E8" t="str">
        <f t="array" aca="1" ref="E8" ca="1">IFERROR(OFFSET($A$3,IF(MOD(ROW(A5),2)=0,ROW(A5)/2,""),0),"")</f>
        <v/>
      </c>
    </row>
    <row r="9" spans="1:9" x14ac:dyDescent="0.25">
      <c r="A9" s="35" t="s">
        <v>46</v>
      </c>
      <c r="E9" t="str">
        <f t="array" aca="1" ref="E9" ca="1">IFERROR(OFFSET($A$3,IF(MOD(ROW(A6),2)=0,ROW(A6)/2,""),0),"")</f>
        <v>HDD</v>
      </c>
    </row>
    <row r="10" spans="1:9" x14ac:dyDescent="0.25">
      <c r="A10" s="35" t="s">
        <v>47</v>
      </c>
      <c r="E10" t="str">
        <f t="array" aca="1" ref="E10" ca="1">IFERROR(OFFSET($A$3,IF(MOD(ROW(A7),2)=0,ROW(A7)/2,""),0),"")</f>
        <v/>
      </c>
    </row>
    <row r="11" spans="1:9" x14ac:dyDescent="0.25">
      <c r="A11" s="35" t="s">
        <v>48</v>
      </c>
      <c r="E11" t="str">
        <f t="array" aca="1" ref="E11" ca="1">IFERROR(OFFSET($A$3,IF(MOD(ROW(A8),2)=0,ROW(A8)/2,""),0),"")</f>
        <v>LAN Card</v>
      </c>
    </row>
    <row r="12" spans="1:9" x14ac:dyDescent="0.25">
      <c r="A12" s="35" t="s">
        <v>49</v>
      </c>
      <c r="E12" t="str">
        <f t="array" aca="1" ref="E12" ca="1">IFERROR(OFFSET($A$3,IF(MOD(ROW(A9),2)=0,ROW(A9)/2,""),0),"")</f>
        <v/>
      </c>
    </row>
    <row r="13" spans="1:9" x14ac:dyDescent="0.25">
      <c r="A13" s="35" t="s">
        <v>50</v>
      </c>
      <c r="E13" t="str">
        <f t="array" aca="1" ref="E13" ca="1">IFERROR(OFFSET($A$3,IF(MOD(ROW(A10),2)=0,ROW(A10)/2,""),0),"")</f>
        <v>Monitor</v>
      </c>
    </row>
    <row r="14" spans="1:9" x14ac:dyDescent="0.25">
      <c r="A14" s="35" t="s">
        <v>51</v>
      </c>
      <c r="E14" t="str">
        <f t="array" aca="1" ref="E14" ca="1">IFERROR(OFFSET($A$3,IF(MOD(ROW(A11),2)=0,ROW(A11)/2,""),0),"")</f>
        <v/>
      </c>
    </row>
    <row r="15" spans="1:9" x14ac:dyDescent="0.25">
      <c r="A15" s="35" t="s">
        <v>52</v>
      </c>
      <c r="E15" t="str">
        <f t="array" aca="1" ref="E15" ca="1">IFERROR(OFFSET($A$3,IF(MOD(ROW(A12),2)=0,ROW(A12)/2,""),0),"")</f>
        <v>MUX</v>
      </c>
    </row>
    <row r="16" spans="1:9" x14ac:dyDescent="0.25">
      <c r="A16" s="35" t="s">
        <v>53</v>
      </c>
      <c r="E16" t="str">
        <f t="array" aca="1" ref="E16" ca="1">IFERROR(OFFSET($A$3,IF(MOD(ROW(A13),2)=0,ROW(A13)/2,""),0),"")</f>
        <v/>
      </c>
    </row>
    <row r="17" spans="1:5" x14ac:dyDescent="0.25">
      <c r="A17" s="35" t="s">
        <v>54</v>
      </c>
      <c r="E17" t="str">
        <f t="array" aca="1" ref="E17" ca="1">IFERROR(OFFSET($A$3,IF(MOD(ROW(A14),2)=0,ROW(A14)/2,""),0),"")</f>
        <v>NMS Cable</v>
      </c>
    </row>
    <row r="18" spans="1:5" x14ac:dyDescent="0.25">
      <c r="A18" s="35" t="s">
        <v>55</v>
      </c>
      <c r="E18" t="str">
        <f t="array" aca="1" ref="E18" ca="1">IFERROR(OFFSET($A$3,IF(MOD(ROW(A15),2)=0,ROW(A15)/2,""),0),"")</f>
        <v/>
      </c>
    </row>
    <row r="19" spans="1:5" x14ac:dyDescent="0.25">
      <c r="A19" s="35" t="s">
        <v>56</v>
      </c>
      <c r="E19" t="str">
        <f t="array" aca="1" ref="E19" ca="1">IFERROR(OFFSET($A$3,IF(MOD(ROW(A16),2)=0,ROW(A16)/2,""),0),"")</f>
        <v>NMS Card</v>
      </c>
    </row>
    <row r="20" spans="1:5" x14ac:dyDescent="0.25">
      <c r="A20" s="35" t="s">
        <v>57</v>
      </c>
      <c r="E20" t="str">
        <f t="array" aca="1" ref="E20" ca="1">IFERROR(OFFSET($A$3,IF(MOD(ROW(A17),2)=0,ROW(A17)/2,""),0),"")</f>
        <v/>
      </c>
    </row>
    <row r="21" spans="1:5" x14ac:dyDescent="0.25">
      <c r="A21" s="35" t="s">
        <v>58</v>
      </c>
      <c r="E21" t="str">
        <f t="array" aca="1" ref="E21" ca="1">IFERROR(OFFSET($A$3,IF(MOD(ROW(A18),2)=0,ROW(A18)/2,""),0),"")</f>
        <v>PBC</v>
      </c>
    </row>
    <row r="22" spans="1:5" x14ac:dyDescent="0.25">
      <c r="A22" s="20"/>
    </row>
    <row r="23" spans="1:5" x14ac:dyDescent="0.25">
      <c r="A23" s="20"/>
    </row>
    <row r="24" spans="1:5" x14ac:dyDescent="0.25">
      <c r="A24" s="20"/>
    </row>
    <row r="25" spans="1:5" x14ac:dyDescent="0.25">
      <c r="A25" s="20"/>
    </row>
    <row r="26" spans="1:5" x14ac:dyDescent="0.25">
      <c r="A26" s="20"/>
    </row>
    <row r="27" spans="1:5" x14ac:dyDescent="0.25">
      <c r="A27" s="20"/>
    </row>
    <row r="28" spans="1:5" x14ac:dyDescent="0.25">
      <c r="A28" s="20"/>
    </row>
    <row r="29" spans="1:5" x14ac:dyDescent="0.25">
      <c r="A29" s="20"/>
    </row>
    <row r="30" spans="1:5" x14ac:dyDescent="0.25">
      <c r="A30" s="20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L724"/>
  <sheetViews>
    <sheetView workbookViewId="0">
      <selection activeCell="I2" sqref="I2:I13"/>
    </sheetView>
  </sheetViews>
  <sheetFormatPr defaultRowHeight="15" x14ac:dyDescent="0.25"/>
  <cols>
    <col min="1" max="1" width="18.7109375" style="19" customWidth="1"/>
    <col min="4" max="4" width="15.5703125" bestFit="1" customWidth="1"/>
    <col min="6" max="6" width="18.7109375" style="19" customWidth="1"/>
    <col min="8" max="8" width="15.5703125" bestFit="1" customWidth="1"/>
  </cols>
  <sheetData>
    <row r="1" spans="1:12" ht="15.75" thickBot="1" x14ac:dyDescent="0.3"/>
    <row r="2" spans="1:12" ht="15.75" thickBot="1" x14ac:dyDescent="0.3">
      <c r="A2" s="44" t="s">
        <v>62</v>
      </c>
      <c r="F2" s="44" t="s">
        <v>62</v>
      </c>
      <c r="H2">
        <f t="array" aca="1" ref="H2" ca="1">OFFSET($A$2,MATCH(0,COUNTIF($H$1:H1,$A$3:$A$724),0),0)</f>
        <v>111</v>
      </c>
      <c r="I2">
        <f t="array" ref="I2">INDEX($A$3:$A$724,MATCH(0,COUNTIF($H$1:H1,$A$3:$A$724),0),0)</f>
        <v>111</v>
      </c>
      <c r="L2" s="17" t="s">
        <v>107</v>
      </c>
    </row>
    <row r="3" spans="1:12" ht="15.75" thickBot="1" x14ac:dyDescent="0.3">
      <c r="A3" s="45">
        <v>111</v>
      </c>
      <c r="F3" s="45">
        <v>111</v>
      </c>
      <c r="H3">
        <f t="array" aca="1" ref="H3" ca="1">OFFSET($A$2,MATCH(0,COUNTIF($H$1:H2,$A$3:$A$724),0),0)</f>
        <v>222</v>
      </c>
      <c r="I3">
        <f t="array" aca="1" ref="I3" ca="1">INDEX($A$3:$A$724,MATCH(0,COUNTIF($H$1:H2,$A$3:$A$724),0),0)</f>
        <v>222</v>
      </c>
    </row>
    <row r="4" spans="1:12" ht="15.75" thickBot="1" x14ac:dyDescent="0.3">
      <c r="A4" s="45">
        <v>111</v>
      </c>
      <c r="F4" s="45">
        <v>222</v>
      </c>
      <c r="H4">
        <f t="array" aca="1" ref="H4" ca="1">OFFSET($A$2,MATCH(0,COUNTIF($H$1:H3,$A$3:$A$724),0),0)</f>
        <v>333</v>
      </c>
      <c r="I4">
        <f t="array" aca="1" ref="I4" ca="1">INDEX($A$3:$A$724,MATCH(0,COUNTIF($H$1:H3,$A$3:$A$724),0),0)</f>
        <v>333</v>
      </c>
    </row>
    <row r="5" spans="1:12" ht="15.75" thickBot="1" x14ac:dyDescent="0.3">
      <c r="A5" s="45">
        <v>222</v>
      </c>
      <c r="F5" s="45">
        <v>333</v>
      </c>
      <c r="H5">
        <f t="array" aca="1" ref="H5" ca="1">OFFSET($A$2,MATCH(0,COUNTIF($H$1:H4,$A$3:$A$724),0),0)</f>
        <v>444</v>
      </c>
      <c r="I5">
        <f t="array" aca="1" ref="I5" ca="1">INDEX($A$3:$A$724,MATCH(0,COUNTIF($H$1:H4,$A$3:$A$724),0),0)</f>
        <v>444</v>
      </c>
    </row>
    <row r="6" spans="1:12" ht="15.75" thickBot="1" x14ac:dyDescent="0.3">
      <c r="A6" s="45">
        <v>333</v>
      </c>
      <c r="F6" s="45">
        <v>444</v>
      </c>
      <c r="H6" t="str">
        <f t="array" aca="1" ref="H6" ca="1">OFFSET($A$2,MATCH(0,COUNTIF($H$1:H5,$A$3:$A$724),0),0)</f>
        <v>Ashok Kumar</v>
      </c>
      <c r="I6" t="str">
        <f t="array" aca="1" ref="I6" ca="1">INDEX($A$3:$A$724,MATCH(0,COUNTIF($H$1:H5,$A$3:$A$724),0),0)</f>
        <v>Ashok Kumar</v>
      </c>
    </row>
    <row r="7" spans="1:12" ht="15.75" thickBot="1" x14ac:dyDescent="0.3">
      <c r="A7" s="45">
        <v>333</v>
      </c>
      <c r="F7" s="45" t="s">
        <v>63</v>
      </c>
      <c r="H7" t="str">
        <f t="array" aca="1" ref="H7" ca="1">OFFSET($A$2,MATCH(0,COUNTIF($H$1:H6,$A$3:$A$724),0),0)</f>
        <v>Abhishek Kumar</v>
      </c>
      <c r="I7" t="str">
        <f t="array" aca="1" ref="I7" ca="1">INDEX($A$3:$A$724,MATCH(0,COUNTIF($H$1:H6,$A$3:$A$724),0),0)</f>
        <v>Abhishek Kumar</v>
      </c>
    </row>
    <row r="8" spans="1:12" ht="15.75" thickBot="1" x14ac:dyDescent="0.3">
      <c r="A8" s="45">
        <v>333</v>
      </c>
      <c r="F8" s="45" t="s">
        <v>64</v>
      </c>
      <c r="H8" t="str">
        <f t="array" aca="1" ref="H8" ca="1">OFFSET($A$2,MATCH(0,COUNTIF($H$1:H7,$A$3:$A$724),0),0)</f>
        <v>Praveen Kumar</v>
      </c>
      <c r="I8" t="str">
        <f t="array" aca="1" ref="I8" ca="1">INDEX($A$3:$A$724,MATCH(0,COUNTIF($H$1:H7,$A$3:$A$724),0),0)</f>
        <v>Praveen Kumar</v>
      </c>
    </row>
    <row r="9" spans="1:12" ht="15.75" thickBot="1" x14ac:dyDescent="0.3">
      <c r="A9" s="45">
        <v>444</v>
      </c>
      <c r="F9" s="45" t="s">
        <v>65</v>
      </c>
      <c r="H9" t="str">
        <f t="array" aca="1" ref="H9" ca="1">OFFSET($A$2,MATCH(0,COUNTIF($H$1:H8,$A$3:$A$724),0),0)</f>
        <v>Rahul Kumar</v>
      </c>
      <c r="I9" t="str">
        <f t="array" aca="1" ref="I9" ca="1">INDEX($A$3:$A$724,MATCH(0,COUNTIF($H$1:H8,$A$3:$A$724),0),0)</f>
        <v>Rahul Kumar</v>
      </c>
    </row>
    <row r="10" spans="1:12" ht="15.75" thickBot="1" x14ac:dyDescent="0.3">
      <c r="A10" s="45" t="s">
        <v>63</v>
      </c>
      <c r="F10" s="45" t="s">
        <v>66</v>
      </c>
      <c r="H10" t="str">
        <f t="array" aca="1" ref="H10" ca="1">OFFSET($A$2,MATCH(0,COUNTIF($H$1:H9,$A$3:$A$724),0),0)</f>
        <v>Pramod Kumar</v>
      </c>
      <c r="I10" t="str">
        <f t="array" aca="1" ref="I10" ca="1">INDEX($A$3:$A$724,MATCH(0,COUNTIF($H$1:H9,$A$3:$A$724),0),0)</f>
        <v>Pramod Kumar</v>
      </c>
    </row>
    <row r="11" spans="1:12" ht="15.75" thickBot="1" x14ac:dyDescent="0.3">
      <c r="A11" s="45" t="s">
        <v>64</v>
      </c>
      <c r="F11" s="45" t="s">
        <v>67</v>
      </c>
      <c r="H11" t="str">
        <f t="array" aca="1" ref="H11" ca="1">OFFSET($A$2,MATCH(0,COUNTIF($H$1:H10,$A$3:$A$724),0),0)</f>
        <v>Varun Kumar</v>
      </c>
      <c r="I11" t="str">
        <f t="array" aca="1" ref="I11" ca="1">INDEX($A$3:$A$724,MATCH(0,COUNTIF($H$1:H10,$A$3:$A$724),0),0)</f>
        <v>Varun Kumar</v>
      </c>
    </row>
    <row r="12" spans="1:12" ht="15.75" thickBot="1" x14ac:dyDescent="0.3">
      <c r="A12" s="45" t="s">
        <v>65</v>
      </c>
      <c r="F12" s="45" t="s">
        <v>68</v>
      </c>
      <c r="H12" t="str">
        <f t="array" aca="1" ref="H12" ca="1">OFFSET($A$2,MATCH(0,COUNTIF($H$1:H11,$A$3:$A$724),0),0)</f>
        <v>Arun Kumar</v>
      </c>
      <c r="I12" t="str">
        <f t="array" aca="1" ref="I12" ca="1">INDEX($A$3:$A$724,MATCH(0,COUNTIF($H$1:H11,$A$3:$A$724),0),0)</f>
        <v>Arun Kumar</v>
      </c>
    </row>
    <row r="13" spans="1:12" ht="15.75" thickBot="1" x14ac:dyDescent="0.3">
      <c r="A13" s="45" t="s">
        <v>66</v>
      </c>
      <c r="F13" s="45" t="s">
        <v>69</v>
      </c>
      <c r="H13" t="str">
        <f t="array" aca="1" ref="H13" ca="1">OFFSET($A$2,MATCH(0,COUNTIF($H$1:H12,$A$3:$A$724),0),0)</f>
        <v xml:space="preserve">Sweta </v>
      </c>
      <c r="I13" t="str">
        <f t="array" aca="1" ref="I13" ca="1">INDEX($A$3:$A$724,MATCH(0,COUNTIF($H$1:H12,$A$3:$A$724),0),0)</f>
        <v xml:space="preserve">Sweta </v>
      </c>
    </row>
    <row r="14" spans="1:12" ht="15.75" thickBot="1" x14ac:dyDescent="0.3">
      <c r="A14" s="45" t="s">
        <v>67</v>
      </c>
      <c r="F14" s="45" t="s">
        <v>70</v>
      </c>
    </row>
    <row r="15" spans="1:12" ht="15.75" thickBot="1" x14ac:dyDescent="0.3">
      <c r="A15" s="45" t="s">
        <v>68</v>
      </c>
      <c r="F15"/>
    </row>
    <row r="16" spans="1:12" ht="15.75" thickBot="1" x14ac:dyDescent="0.3">
      <c r="A16" s="45" t="s">
        <v>64</v>
      </c>
      <c r="F16"/>
    </row>
    <row r="17" spans="1:6" ht="15.75" thickBot="1" x14ac:dyDescent="0.3">
      <c r="A17" s="45" t="s">
        <v>63</v>
      </c>
      <c r="F17"/>
    </row>
    <row r="18" spans="1:6" ht="15.75" thickBot="1" x14ac:dyDescent="0.3">
      <c r="A18" s="45" t="s">
        <v>65</v>
      </c>
      <c r="F18"/>
    </row>
    <row r="19" spans="1:6" ht="15.75" thickBot="1" x14ac:dyDescent="0.3">
      <c r="A19" s="45" t="s">
        <v>64</v>
      </c>
      <c r="F19"/>
    </row>
    <row r="20" spans="1:6" ht="15.75" thickBot="1" x14ac:dyDescent="0.3">
      <c r="A20" s="45" t="s">
        <v>64</v>
      </c>
      <c r="F20"/>
    </row>
    <row r="21" spans="1:6" ht="15.75" thickBot="1" x14ac:dyDescent="0.3">
      <c r="A21" s="45" t="s">
        <v>63</v>
      </c>
      <c r="F21"/>
    </row>
    <row r="22" spans="1:6" ht="15.75" thickBot="1" x14ac:dyDescent="0.3">
      <c r="A22" s="45" t="s">
        <v>63</v>
      </c>
      <c r="F22"/>
    </row>
    <row r="23" spans="1:6" ht="15.75" thickBot="1" x14ac:dyDescent="0.3">
      <c r="A23" s="45" t="s">
        <v>68</v>
      </c>
      <c r="F23"/>
    </row>
    <row r="24" spans="1:6" ht="15.75" thickBot="1" x14ac:dyDescent="0.3">
      <c r="A24" s="45" t="s">
        <v>64</v>
      </c>
      <c r="F24"/>
    </row>
    <row r="25" spans="1:6" ht="15.75" thickBot="1" x14ac:dyDescent="0.3">
      <c r="A25" s="45" t="s">
        <v>63</v>
      </c>
      <c r="F25"/>
    </row>
    <row r="26" spans="1:6" ht="15.75" thickBot="1" x14ac:dyDescent="0.3">
      <c r="A26" s="45" t="s">
        <v>63</v>
      </c>
      <c r="F26"/>
    </row>
    <row r="27" spans="1:6" ht="15.75" thickBot="1" x14ac:dyDescent="0.3">
      <c r="A27" s="45" t="s">
        <v>65</v>
      </c>
      <c r="F27"/>
    </row>
    <row r="28" spans="1:6" ht="15.75" thickBot="1" x14ac:dyDescent="0.3">
      <c r="A28" s="45" t="s">
        <v>64</v>
      </c>
      <c r="F28"/>
    </row>
    <row r="29" spans="1:6" ht="15.75" thickBot="1" x14ac:dyDescent="0.3">
      <c r="A29" s="45" t="s">
        <v>66</v>
      </c>
      <c r="F29"/>
    </row>
    <row r="30" spans="1:6" ht="15.75" thickBot="1" x14ac:dyDescent="0.3">
      <c r="A30" s="45" t="s">
        <v>66</v>
      </c>
      <c r="F30"/>
    </row>
    <row r="31" spans="1:6" ht="15.75" thickBot="1" x14ac:dyDescent="0.3">
      <c r="A31" s="45" t="s">
        <v>63</v>
      </c>
      <c r="F31"/>
    </row>
    <row r="32" spans="1:6" ht="15.75" thickBot="1" x14ac:dyDescent="0.3">
      <c r="A32" s="45" t="s">
        <v>68</v>
      </c>
      <c r="F32"/>
    </row>
    <row r="33" spans="1:6" ht="15.75" thickBot="1" x14ac:dyDescent="0.3">
      <c r="A33" s="45" t="s">
        <v>68</v>
      </c>
      <c r="F33"/>
    </row>
    <row r="34" spans="1:6" ht="15.75" thickBot="1" x14ac:dyDescent="0.3">
      <c r="A34" s="45" t="s">
        <v>68</v>
      </c>
      <c r="F34"/>
    </row>
    <row r="35" spans="1:6" ht="15.75" thickBot="1" x14ac:dyDescent="0.3">
      <c r="A35" s="45" t="s">
        <v>63</v>
      </c>
      <c r="F35"/>
    </row>
    <row r="36" spans="1:6" ht="15.75" thickBot="1" x14ac:dyDescent="0.3">
      <c r="A36" s="45" t="s">
        <v>66</v>
      </c>
      <c r="F36"/>
    </row>
    <row r="37" spans="1:6" ht="15.75" thickBot="1" x14ac:dyDescent="0.3">
      <c r="A37" s="45" t="s">
        <v>66</v>
      </c>
      <c r="F37"/>
    </row>
    <row r="38" spans="1:6" ht="15.75" thickBot="1" x14ac:dyDescent="0.3">
      <c r="A38" s="45" t="s">
        <v>63</v>
      </c>
      <c r="F38"/>
    </row>
    <row r="39" spans="1:6" ht="15.75" thickBot="1" x14ac:dyDescent="0.3">
      <c r="A39" s="45" t="s">
        <v>63</v>
      </c>
      <c r="F39"/>
    </row>
    <row r="40" spans="1:6" ht="15.75" thickBot="1" x14ac:dyDescent="0.3">
      <c r="A40" s="45" t="s">
        <v>63</v>
      </c>
      <c r="F40"/>
    </row>
    <row r="41" spans="1:6" ht="15.75" thickBot="1" x14ac:dyDescent="0.3">
      <c r="A41" s="45" t="s">
        <v>64</v>
      </c>
      <c r="F41"/>
    </row>
    <row r="42" spans="1:6" ht="15.75" thickBot="1" x14ac:dyDescent="0.3">
      <c r="A42" s="45" t="s">
        <v>66</v>
      </c>
      <c r="F42"/>
    </row>
    <row r="43" spans="1:6" ht="15.75" thickBot="1" x14ac:dyDescent="0.3">
      <c r="A43" s="45" t="s">
        <v>66</v>
      </c>
      <c r="F43"/>
    </row>
    <row r="44" spans="1:6" ht="15.75" thickBot="1" x14ac:dyDescent="0.3">
      <c r="A44" s="45" t="s">
        <v>66</v>
      </c>
      <c r="F44"/>
    </row>
    <row r="45" spans="1:6" ht="15.75" thickBot="1" x14ac:dyDescent="0.3">
      <c r="A45" s="45" t="s">
        <v>68</v>
      </c>
      <c r="F45"/>
    </row>
    <row r="46" spans="1:6" ht="15.75" thickBot="1" x14ac:dyDescent="0.3">
      <c r="A46" s="45" t="s">
        <v>68</v>
      </c>
      <c r="F46"/>
    </row>
    <row r="47" spans="1:6" ht="15.75" thickBot="1" x14ac:dyDescent="0.3">
      <c r="A47" s="45" t="s">
        <v>68</v>
      </c>
      <c r="F47"/>
    </row>
    <row r="48" spans="1:6" ht="15.75" thickBot="1" x14ac:dyDescent="0.3">
      <c r="A48" s="45" t="s">
        <v>66</v>
      </c>
      <c r="F48"/>
    </row>
    <row r="49" spans="1:6" ht="15.75" thickBot="1" x14ac:dyDescent="0.3">
      <c r="A49" s="45" t="s">
        <v>66</v>
      </c>
      <c r="F49"/>
    </row>
    <row r="50" spans="1:6" ht="15.75" thickBot="1" x14ac:dyDescent="0.3">
      <c r="A50" s="45" t="s">
        <v>63</v>
      </c>
      <c r="F50"/>
    </row>
    <row r="51" spans="1:6" ht="15.75" thickBot="1" x14ac:dyDescent="0.3">
      <c r="A51" s="45" t="s">
        <v>63</v>
      </c>
      <c r="F51"/>
    </row>
    <row r="52" spans="1:6" ht="15.75" thickBot="1" x14ac:dyDescent="0.3">
      <c r="A52" s="45" t="s">
        <v>63</v>
      </c>
      <c r="F52"/>
    </row>
    <row r="53" spans="1:6" ht="15.75" thickBot="1" x14ac:dyDescent="0.3">
      <c r="A53" s="45" t="s">
        <v>63</v>
      </c>
      <c r="F53"/>
    </row>
    <row r="54" spans="1:6" ht="15.75" thickBot="1" x14ac:dyDescent="0.3">
      <c r="A54" s="45" t="s">
        <v>63</v>
      </c>
      <c r="F54"/>
    </row>
    <row r="55" spans="1:6" ht="15.75" thickBot="1" x14ac:dyDescent="0.3">
      <c r="A55" s="45" t="s">
        <v>63</v>
      </c>
      <c r="F55"/>
    </row>
    <row r="56" spans="1:6" ht="15.75" thickBot="1" x14ac:dyDescent="0.3">
      <c r="A56" s="45" t="s">
        <v>64</v>
      </c>
      <c r="F56"/>
    </row>
    <row r="57" spans="1:6" ht="15.75" thickBot="1" x14ac:dyDescent="0.3">
      <c r="A57" s="45" t="s">
        <v>68</v>
      </c>
      <c r="F57"/>
    </row>
    <row r="58" spans="1:6" ht="15.75" thickBot="1" x14ac:dyDescent="0.3">
      <c r="A58" s="45" t="s">
        <v>68</v>
      </c>
      <c r="F58"/>
    </row>
    <row r="59" spans="1:6" ht="15.75" thickBot="1" x14ac:dyDescent="0.3">
      <c r="A59" s="45" t="s">
        <v>68</v>
      </c>
      <c r="F59"/>
    </row>
    <row r="60" spans="1:6" ht="15.75" thickBot="1" x14ac:dyDescent="0.3">
      <c r="A60" s="45" t="s">
        <v>68</v>
      </c>
      <c r="F60"/>
    </row>
    <row r="61" spans="1:6" ht="15.75" thickBot="1" x14ac:dyDescent="0.3">
      <c r="A61" s="45" t="s">
        <v>63</v>
      </c>
      <c r="F61"/>
    </row>
    <row r="62" spans="1:6" ht="15.75" thickBot="1" x14ac:dyDescent="0.3">
      <c r="A62" s="45" t="s">
        <v>63</v>
      </c>
      <c r="F62"/>
    </row>
    <row r="63" spans="1:6" ht="15.75" thickBot="1" x14ac:dyDescent="0.3">
      <c r="A63" s="45" t="s">
        <v>63</v>
      </c>
      <c r="F63"/>
    </row>
    <row r="64" spans="1:6" ht="15.75" thickBot="1" x14ac:dyDescent="0.3">
      <c r="A64" s="45" t="s">
        <v>63</v>
      </c>
      <c r="F64"/>
    </row>
    <row r="65" spans="1:6" ht="15.75" thickBot="1" x14ac:dyDescent="0.3">
      <c r="A65" s="45" t="s">
        <v>68</v>
      </c>
      <c r="F65"/>
    </row>
    <row r="66" spans="1:6" ht="15.75" thickBot="1" x14ac:dyDescent="0.3">
      <c r="A66" s="45" t="s">
        <v>68</v>
      </c>
      <c r="F66"/>
    </row>
    <row r="67" spans="1:6" ht="15.75" thickBot="1" x14ac:dyDescent="0.3">
      <c r="A67" s="45" t="s">
        <v>63</v>
      </c>
      <c r="F67"/>
    </row>
    <row r="68" spans="1:6" ht="15.75" thickBot="1" x14ac:dyDescent="0.3">
      <c r="A68" s="45" t="s">
        <v>64</v>
      </c>
      <c r="F68"/>
    </row>
    <row r="69" spans="1:6" ht="15.75" thickBot="1" x14ac:dyDescent="0.3">
      <c r="A69" s="45" t="s">
        <v>64</v>
      </c>
      <c r="F69"/>
    </row>
    <row r="70" spans="1:6" ht="15.75" thickBot="1" x14ac:dyDescent="0.3">
      <c r="A70" s="45" t="s">
        <v>63</v>
      </c>
      <c r="F70"/>
    </row>
    <row r="71" spans="1:6" ht="15.75" thickBot="1" x14ac:dyDescent="0.3">
      <c r="A71" s="45" t="s">
        <v>64</v>
      </c>
      <c r="F71"/>
    </row>
    <row r="72" spans="1:6" ht="15.75" thickBot="1" x14ac:dyDescent="0.3">
      <c r="A72" s="45" t="s">
        <v>64</v>
      </c>
      <c r="F72"/>
    </row>
    <row r="73" spans="1:6" ht="15.75" thickBot="1" x14ac:dyDescent="0.3">
      <c r="A73" s="45" t="s">
        <v>63</v>
      </c>
      <c r="F73"/>
    </row>
    <row r="74" spans="1:6" ht="15.75" thickBot="1" x14ac:dyDescent="0.3">
      <c r="A74" s="45" t="s">
        <v>63</v>
      </c>
      <c r="F74"/>
    </row>
    <row r="75" spans="1:6" ht="15.75" thickBot="1" x14ac:dyDescent="0.3">
      <c r="A75" s="45" t="s">
        <v>63</v>
      </c>
      <c r="F75"/>
    </row>
    <row r="76" spans="1:6" ht="15.75" thickBot="1" x14ac:dyDescent="0.3">
      <c r="A76" s="45" t="s">
        <v>63</v>
      </c>
      <c r="F76"/>
    </row>
    <row r="77" spans="1:6" ht="15.75" thickBot="1" x14ac:dyDescent="0.3">
      <c r="A77" s="45" t="s">
        <v>64</v>
      </c>
      <c r="F77"/>
    </row>
    <row r="78" spans="1:6" ht="15.75" thickBot="1" x14ac:dyDescent="0.3">
      <c r="A78" s="45" t="s">
        <v>64</v>
      </c>
      <c r="F78"/>
    </row>
    <row r="79" spans="1:6" ht="15.75" thickBot="1" x14ac:dyDescent="0.3">
      <c r="A79" s="45" t="s">
        <v>63</v>
      </c>
      <c r="F79"/>
    </row>
    <row r="80" spans="1:6" ht="15.75" thickBot="1" x14ac:dyDescent="0.3">
      <c r="A80" s="45" t="s">
        <v>66</v>
      </c>
      <c r="F80"/>
    </row>
    <row r="81" spans="1:6" ht="15.75" thickBot="1" x14ac:dyDescent="0.3">
      <c r="A81" s="45" t="s">
        <v>66</v>
      </c>
      <c r="F81"/>
    </row>
    <row r="82" spans="1:6" ht="15.75" thickBot="1" x14ac:dyDescent="0.3">
      <c r="A82" s="45" t="s">
        <v>64</v>
      </c>
      <c r="F82"/>
    </row>
    <row r="83" spans="1:6" ht="15.75" thickBot="1" x14ac:dyDescent="0.3">
      <c r="A83" s="45" t="s">
        <v>64</v>
      </c>
      <c r="F83"/>
    </row>
    <row r="84" spans="1:6" ht="15.75" thickBot="1" x14ac:dyDescent="0.3">
      <c r="A84" s="45" t="s">
        <v>63</v>
      </c>
      <c r="F84"/>
    </row>
    <row r="85" spans="1:6" ht="15.75" thickBot="1" x14ac:dyDescent="0.3">
      <c r="A85" s="45" t="s">
        <v>68</v>
      </c>
      <c r="F85"/>
    </row>
    <row r="86" spans="1:6" ht="15.75" thickBot="1" x14ac:dyDescent="0.3">
      <c r="A86" s="45" t="s">
        <v>66</v>
      </c>
      <c r="F86"/>
    </row>
    <row r="87" spans="1:6" ht="15.75" thickBot="1" x14ac:dyDescent="0.3">
      <c r="A87" s="45" t="s">
        <v>65</v>
      </c>
      <c r="F87"/>
    </row>
    <row r="88" spans="1:6" ht="15.75" thickBot="1" x14ac:dyDescent="0.3">
      <c r="A88" s="45" t="s">
        <v>63</v>
      </c>
      <c r="F88"/>
    </row>
    <row r="89" spans="1:6" ht="15.75" thickBot="1" x14ac:dyDescent="0.3">
      <c r="A89" s="45" t="s">
        <v>68</v>
      </c>
      <c r="F89"/>
    </row>
    <row r="90" spans="1:6" ht="15.75" thickBot="1" x14ac:dyDescent="0.3">
      <c r="A90" s="45" t="s">
        <v>67</v>
      </c>
      <c r="F90"/>
    </row>
    <row r="91" spans="1:6" ht="15.75" thickBot="1" x14ac:dyDescent="0.3">
      <c r="A91" s="45" t="s">
        <v>66</v>
      </c>
      <c r="F91"/>
    </row>
    <row r="92" spans="1:6" ht="15.75" thickBot="1" x14ac:dyDescent="0.3">
      <c r="A92" s="45" t="s">
        <v>65</v>
      </c>
      <c r="F92"/>
    </row>
    <row r="93" spans="1:6" ht="15.75" thickBot="1" x14ac:dyDescent="0.3">
      <c r="A93" s="45" t="s">
        <v>65</v>
      </c>
      <c r="F93"/>
    </row>
    <row r="94" spans="1:6" ht="15.75" thickBot="1" x14ac:dyDescent="0.3">
      <c r="A94" s="45" t="s">
        <v>65</v>
      </c>
      <c r="F94"/>
    </row>
    <row r="95" spans="1:6" ht="15.75" thickBot="1" x14ac:dyDescent="0.3">
      <c r="A95" s="45" t="s">
        <v>63</v>
      </c>
      <c r="F95"/>
    </row>
    <row r="96" spans="1:6" ht="15.75" thickBot="1" x14ac:dyDescent="0.3">
      <c r="A96" s="45" t="s">
        <v>63</v>
      </c>
      <c r="F96"/>
    </row>
    <row r="97" spans="1:6" ht="15.75" thickBot="1" x14ac:dyDescent="0.3">
      <c r="A97" s="45" t="s">
        <v>66</v>
      </c>
      <c r="F97"/>
    </row>
    <row r="98" spans="1:6" ht="15.75" thickBot="1" x14ac:dyDescent="0.3">
      <c r="A98" s="45" t="s">
        <v>66</v>
      </c>
      <c r="F98"/>
    </row>
    <row r="99" spans="1:6" ht="15.75" thickBot="1" x14ac:dyDescent="0.3">
      <c r="A99" s="45" t="s">
        <v>66</v>
      </c>
      <c r="F99"/>
    </row>
    <row r="100" spans="1:6" ht="15.75" thickBot="1" x14ac:dyDescent="0.3">
      <c r="A100" s="45" t="s">
        <v>65</v>
      </c>
      <c r="F100"/>
    </row>
    <row r="101" spans="1:6" ht="15.75" thickBot="1" x14ac:dyDescent="0.3">
      <c r="A101" s="45" t="s">
        <v>64</v>
      </c>
      <c r="F101"/>
    </row>
    <row r="102" spans="1:6" ht="15.75" thickBot="1" x14ac:dyDescent="0.3">
      <c r="A102" s="45" t="s">
        <v>68</v>
      </c>
      <c r="F102"/>
    </row>
    <row r="103" spans="1:6" ht="15.75" thickBot="1" x14ac:dyDescent="0.3">
      <c r="A103" s="45" t="s">
        <v>65</v>
      </c>
      <c r="F103"/>
    </row>
    <row r="104" spans="1:6" ht="15.75" thickBot="1" x14ac:dyDescent="0.3">
      <c r="A104" s="45" t="s">
        <v>64</v>
      </c>
      <c r="F104"/>
    </row>
    <row r="105" spans="1:6" ht="15.75" thickBot="1" x14ac:dyDescent="0.3">
      <c r="A105" s="45" t="s">
        <v>67</v>
      </c>
      <c r="F105"/>
    </row>
    <row r="106" spans="1:6" ht="15.75" thickBot="1" x14ac:dyDescent="0.3">
      <c r="A106" s="45" t="s">
        <v>63</v>
      </c>
      <c r="F106"/>
    </row>
    <row r="107" spans="1:6" ht="15.75" thickBot="1" x14ac:dyDescent="0.3">
      <c r="A107" s="45" t="s">
        <v>65</v>
      </c>
      <c r="F107"/>
    </row>
    <row r="108" spans="1:6" ht="15.75" thickBot="1" x14ac:dyDescent="0.3">
      <c r="A108" s="45" t="s">
        <v>65</v>
      </c>
      <c r="F108"/>
    </row>
    <row r="109" spans="1:6" ht="15.75" thickBot="1" x14ac:dyDescent="0.3">
      <c r="A109" s="45" t="s">
        <v>63</v>
      </c>
      <c r="F109"/>
    </row>
    <row r="110" spans="1:6" ht="15.75" thickBot="1" x14ac:dyDescent="0.3">
      <c r="A110" s="45" t="s">
        <v>63</v>
      </c>
      <c r="F110"/>
    </row>
    <row r="111" spans="1:6" ht="15.75" thickBot="1" x14ac:dyDescent="0.3">
      <c r="A111" s="45" t="s">
        <v>68</v>
      </c>
      <c r="F111"/>
    </row>
    <row r="112" spans="1:6" ht="15.75" thickBot="1" x14ac:dyDescent="0.3">
      <c r="A112" s="45" t="s">
        <v>63</v>
      </c>
      <c r="F112"/>
    </row>
    <row r="113" spans="1:6" ht="15.75" thickBot="1" x14ac:dyDescent="0.3">
      <c r="A113" s="45" t="s">
        <v>66</v>
      </c>
      <c r="F113"/>
    </row>
    <row r="114" spans="1:6" ht="15.75" thickBot="1" x14ac:dyDescent="0.3">
      <c r="A114" s="45" t="s">
        <v>65</v>
      </c>
      <c r="F114"/>
    </row>
    <row r="115" spans="1:6" ht="15.75" thickBot="1" x14ac:dyDescent="0.3">
      <c r="A115" s="45" t="s">
        <v>63</v>
      </c>
      <c r="F115"/>
    </row>
    <row r="116" spans="1:6" ht="15.75" thickBot="1" x14ac:dyDescent="0.3">
      <c r="A116" s="45" t="s">
        <v>68</v>
      </c>
      <c r="F116"/>
    </row>
    <row r="117" spans="1:6" ht="15.75" thickBot="1" x14ac:dyDescent="0.3">
      <c r="A117" s="45" t="s">
        <v>63</v>
      </c>
      <c r="F117"/>
    </row>
    <row r="118" spans="1:6" ht="15.75" thickBot="1" x14ac:dyDescent="0.3">
      <c r="A118" s="45" t="s">
        <v>68</v>
      </c>
      <c r="F118"/>
    </row>
    <row r="119" spans="1:6" ht="15.75" thickBot="1" x14ac:dyDescent="0.3">
      <c r="A119" s="45" t="s">
        <v>66</v>
      </c>
      <c r="F119"/>
    </row>
    <row r="120" spans="1:6" ht="15.75" thickBot="1" x14ac:dyDescent="0.3">
      <c r="A120" s="45" t="s">
        <v>66</v>
      </c>
      <c r="F120"/>
    </row>
    <row r="121" spans="1:6" ht="15.75" thickBot="1" x14ac:dyDescent="0.3">
      <c r="A121" s="45" t="s">
        <v>64</v>
      </c>
      <c r="F121"/>
    </row>
    <row r="122" spans="1:6" ht="15.75" thickBot="1" x14ac:dyDescent="0.3">
      <c r="A122" s="45" t="s">
        <v>64</v>
      </c>
      <c r="F122"/>
    </row>
    <row r="123" spans="1:6" ht="15.75" thickBot="1" x14ac:dyDescent="0.3">
      <c r="A123" s="45" t="s">
        <v>63</v>
      </c>
      <c r="F123"/>
    </row>
    <row r="124" spans="1:6" ht="15.75" thickBot="1" x14ac:dyDescent="0.3">
      <c r="A124" s="45" t="s">
        <v>66</v>
      </c>
      <c r="F124"/>
    </row>
    <row r="125" spans="1:6" ht="15.75" thickBot="1" x14ac:dyDescent="0.3">
      <c r="A125" s="45" t="s">
        <v>65</v>
      </c>
      <c r="F125"/>
    </row>
    <row r="126" spans="1:6" ht="15.75" thickBot="1" x14ac:dyDescent="0.3">
      <c r="A126" s="45" t="s">
        <v>67</v>
      </c>
      <c r="F126"/>
    </row>
    <row r="127" spans="1:6" ht="15.75" thickBot="1" x14ac:dyDescent="0.3">
      <c r="A127" s="45" t="s">
        <v>68</v>
      </c>
      <c r="F127"/>
    </row>
    <row r="128" spans="1:6" ht="15.75" thickBot="1" x14ac:dyDescent="0.3">
      <c r="A128" s="45" t="s">
        <v>67</v>
      </c>
      <c r="F128"/>
    </row>
    <row r="129" spans="1:6" ht="15.75" thickBot="1" x14ac:dyDescent="0.3">
      <c r="A129" s="45" t="s">
        <v>64</v>
      </c>
      <c r="F129"/>
    </row>
    <row r="130" spans="1:6" ht="15.75" thickBot="1" x14ac:dyDescent="0.3">
      <c r="A130" s="45" t="s">
        <v>66</v>
      </c>
      <c r="F130"/>
    </row>
    <row r="131" spans="1:6" ht="15.75" thickBot="1" x14ac:dyDescent="0.3">
      <c r="A131" s="45" t="s">
        <v>65</v>
      </c>
      <c r="F131"/>
    </row>
    <row r="132" spans="1:6" ht="15.75" thickBot="1" x14ac:dyDescent="0.3">
      <c r="A132" s="45" t="s">
        <v>67</v>
      </c>
      <c r="F132"/>
    </row>
    <row r="133" spans="1:6" ht="15.75" thickBot="1" x14ac:dyDescent="0.3">
      <c r="A133" s="45" t="s">
        <v>66</v>
      </c>
      <c r="F133"/>
    </row>
    <row r="134" spans="1:6" ht="15.75" thickBot="1" x14ac:dyDescent="0.3">
      <c r="A134" s="45" t="s">
        <v>63</v>
      </c>
      <c r="F134"/>
    </row>
    <row r="135" spans="1:6" ht="15.75" thickBot="1" x14ac:dyDescent="0.3">
      <c r="A135" s="45" t="s">
        <v>68</v>
      </c>
      <c r="F135"/>
    </row>
    <row r="136" spans="1:6" ht="15.75" thickBot="1" x14ac:dyDescent="0.3">
      <c r="A136" s="45" t="s">
        <v>64</v>
      </c>
      <c r="F136"/>
    </row>
    <row r="137" spans="1:6" ht="15.75" thickBot="1" x14ac:dyDescent="0.3">
      <c r="A137" s="45" t="s">
        <v>65</v>
      </c>
      <c r="F137"/>
    </row>
    <row r="138" spans="1:6" ht="15.75" thickBot="1" x14ac:dyDescent="0.3">
      <c r="A138" s="45" t="s">
        <v>64</v>
      </c>
      <c r="F138"/>
    </row>
    <row r="139" spans="1:6" ht="15.75" thickBot="1" x14ac:dyDescent="0.3">
      <c r="A139" s="45" t="s">
        <v>63</v>
      </c>
      <c r="F139"/>
    </row>
    <row r="140" spans="1:6" ht="15.75" thickBot="1" x14ac:dyDescent="0.3">
      <c r="A140" s="45" t="s">
        <v>63</v>
      </c>
      <c r="F140"/>
    </row>
    <row r="141" spans="1:6" ht="15.75" thickBot="1" x14ac:dyDescent="0.3">
      <c r="A141" s="45" t="s">
        <v>68</v>
      </c>
      <c r="F141"/>
    </row>
    <row r="142" spans="1:6" ht="15.75" thickBot="1" x14ac:dyDescent="0.3">
      <c r="A142" s="45" t="s">
        <v>66</v>
      </c>
      <c r="F142"/>
    </row>
    <row r="143" spans="1:6" ht="15.75" thickBot="1" x14ac:dyDescent="0.3">
      <c r="A143" s="45" t="s">
        <v>67</v>
      </c>
      <c r="F143"/>
    </row>
    <row r="144" spans="1:6" ht="15.75" thickBot="1" x14ac:dyDescent="0.3">
      <c r="A144" s="45" t="s">
        <v>63</v>
      </c>
      <c r="F144"/>
    </row>
    <row r="145" spans="1:6" ht="15.75" thickBot="1" x14ac:dyDescent="0.3">
      <c r="A145" s="45" t="s">
        <v>66</v>
      </c>
      <c r="F145"/>
    </row>
    <row r="146" spans="1:6" ht="15.75" thickBot="1" x14ac:dyDescent="0.3">
      <c r="A146" s="45" t="s">
        <v>63</v>
      </c>
      <c r="F146"/>
    </row>
    <row r="147" spans="1:6" ht="15.75" thickBot="1" x14ac:dyDescent="0.3">
      <c r="A147" s="45" t="s">
        <v>63</v>
      </c>
      <c r="F147"/>
    </row>
    <row r="148" spans="1:6" ht="15.75" thickBot="1" x14ac:dyDescent="0.3">
      <c r="A148" s="45" t="s">
        <v>63</v>
      </c>
      <c r="F148"/>
    </row>
    <row r="149" spans="1:6" ht="15.75" thickBot="1" x14ac:dyDescent="0.3">
      <c r="A149" s="45" t="s">
        <v>63</v>
      </c>
      <c r="F149"/>
    </row>
    <row r="150" spans="1:6" ht="15.75" thickBot="1" x14ac:dyDescent="0.3">
      <c r="A150" s="45" t="s">
        <v>69</v>
      </c>
      <c r="F150"/>
    </row>
    <row r="151" spans="1:6" ht="15.75" thickBot="1" x14ac:dyDescent="0.3">
      <c r="A151" s="45" t="s">
        <v>69</v>
      </c>
      <c r="F151"/>
    </row>
    <row r="152" spans="1:6" ht="15.75" thickBot="1" x14ac:dyDescent="0.3">
      <c r="A152" s="45" t="s">
        <v>63</v>
      </c>
      <c r="F152"/>
    </row>
    <row r="153" spans="1:6" ht="15.75" thickBot="1" x14ac:dyDescent="0.3">
      <c r="A153" s="45" t="s">
        <v>65</v>
      </c>
      <c r="F153"/>
    </row>
    <row r="154" spans="1:6" ht="15.75" thickBot="1" x14ac:dyDescent="0.3">
      <c r="A154" s="45" t="s">
        <v>66</v>
      </c>
      <c r="F154"/>
    </row>
    <row r="155" spans="1:6" ht="15.75" thickBot="1" x14ac:dyDescent="0.3">
      <c r="A155" s="45" t="s">
        <v>66</v>
      </c>
      <c r="F155"/>
    </row>
    <row r="156" spans="1:6" ht="15.75" thickBot="1" x14ac:dyDescent="0.3">
      <c r="A156" s="45" t="s">
        <v>66</v>
      </c>
      <c r="F156"/>
    </row>
    <row r="157" spans="1:6" ht="15.75" thickBot="1" x14ac:dyDescent="0.3">
      <c r="A157" s="45" t="s">
        <v>68</v>
      </c>
      <c r="F157"/>
    </row>
    <row r="158" spans="1:6" ht="15.75" thickBot="1" x14ac:dyDescent="0.3">
      <c r="A158" s="45" t="s">
        <v>68</v>
      </c>
      <c r="F158"/>
    </row>
    <row r="159" spans="1:6" ht="15.75" thickBot="1" x14ac:dyDescent="0.3">
      <c r="A159" s="45" t="s">
        <v>66</v>
      </c>
      <c r="F159"/>
    </row>
    <row r="160" spans="1:6" ht="15.75" thickBot="1" x14ac:dyDescent="0.3">
      <c r="A160" s="45" t="s">
        <v>68</v>
      </c>
      <c r="F160"/>
    </row>
    <row r="161" spans="1:6" ht="15.75" thickBot="1" x14ac:dyDescent="0.3">
      <c r="A161" s="45" t="s">
        <v>69</v>
      </c>
      <c r="F161"/>
    </row>
    <row r="162" spans="1:6" ht="15.75" thickBot="1" x14ac:dyDescent="0.3">
      <c r="A162" s="45" t="s">
        <v>63</v>
      </c>
      <c r="F162"/>
    </row>
    <row r="163" spans="1:6" ht="15.75" thickBot="1" x14ac:dyDescent="0.3">
      <c r="A163" s="45" t="s">
        <v>66</v>
      </c>
      <c r="F163"/>
    </row>
    <row r="164" spans="1:6" ht="15.75" thickBot="1" x14ac:dyDescent="0.3">
      <c r="A164" s="45" t="s">
        <v>65</v>
      </c>
      <c r="F164"/>
    </row>
    <row r="165" spans="1:6" ht="15.75" thickBot="1" x14ac:dyDescent="0.3">
      <c r="A165" s="45" t="s">
        <v>65</v>
      </c>
      <c r="F165"/>
    </row>
    <row r="166" spans="1:6" ht="15.75" thickBot="1" x14ac:dyDescent="0.3">
      <c r="A166" s="45" t="s">
        <v>65</v>
      </c>
      <c r="F166"/>
    </row>
    <row r="167" spans="1:6" ht="15.75" thickBot="1" x14ac:dyDescent="0.3">
      <c r="A167" s="45" t="s">
        <v>65</v>
      </c>
      <c r="F167"/>
    </row>
    <row r="168" spans="1:6" ht="15.75" thickBot="1" x14ac:dyDescent="0.3">
      <c r="A168" s="45" t="s">
        <v>70</v>
      </c>
      <c r="F168"/>
    </row>
    <row r="169" spans="1:6" ht="15.75" thickBot="1" x14ac:dyDescent="0.3">
      <c r="A169" s="45" t="s">
        <v>70</v>
      </c>
      <c r="F169"/>
    </row>
    <row r="170" spans="1:6" ht="15.75" thickBot="1" x14ac:dyDescent="0.3">
      <c r="A170" s="45" t="s">
        <v>70</v>
      </c>
      <c r="F170"/>
    </row>
    <row r="171" spans="1:6" ht="15.75" thickBot="1" x14ac:dyDescent="0.3">
      <c r="A171" s="45" t="s">
        <v>70</v>
      </c>
      <c r="F171"/>
    </row>
    <row r="172" spans="1:6" ht="15.75" thickBot="1" x14ac:dyDescent="0.3">
      <c r="A172" s="45" t="s">
        <v>70</v>
      </c>
      <c r="F172"/>
    </row>
    <row r="173" spans="1:6" ht="15.75" thickBot="1" x14ac:dyDescent="0.3">
      <c r="A173" s="45" t="s">
        <v>70</v>
      </c>
      <c r="F173"/>
    </row>
    <row r="174" spans="1:6" ht="15.75" thickBot="1" x14ac:dyDescent="0.3">
      <c r="A174" s="45" t="s">
        <v>63</v>
      </c>
      <c r="F174"/>
    </row>
    <row r="175" spans="1:6" ht="15.75" thickBot="1" x14ac:dyDescent="0.3">
      <c r="A175" s="45" t="s">
        <v>69</v>
      </c>
      <c r="F175"/>
    </row>
    <row r="176" spans="1:6" ht="15.75" thickBot="1" x14ac:dyDescent="0.3">
      <c r="A176" s="45" t="s">
        <v>63</v>
      </c>
      <c r="F176"/>
    </row>
    <row r="177" spans="1:6" ht="15.75" thickBot="1" x14ac:dyDescent="0.3">
      <c r="A177" s="45" t="s">
        <v>66</v>
      </c>
      <c r="F177"/>
    </row>
    <row r="178" spans="1:6" ht="15.75" thickBot="1" x14ac:dyDescent="0.3">
      <c r="A178" s="45" t="s">
        <v>66</v>
      </c>
      <c r="F178"/>
    </row>
    <row r="179" spans="1:6" ht="15.75" thickBot="1" x14ac:dyDescent="0.3">
      <c r="A179" s="45" t="s">
        <v>65</v>
      </c>
      <c r="F179"/>
    </row>
    <row r="180" spans="1:6" ht="15.75" thickBot="1" x14ac:dyDescent="0.3">
      <c r="A180" s="45" t="s">
        <v>69</v>
      </c>
      <c r="F180"/>
    </row>
    <row r="181" spans="1:6" ht="15.75" thickBot="1" x14ac:dyDescent="0.3">
      <c r="A181" s="45" t="s">
        <v>69</v>
      </c>
      <c r="F181"/>
    </row>
    <row r="182" spans="1:6" ht="15.75" thickBot="1" x14ac:dyDescent="0.3">
      <c r="A182" s="45" t="s">
        <v>69</v>
      </c>
      <c r="F182"/>
    </row>
    <row r="183" spans="1:6" ht="15.75" thickBot="1" x14ac:dyDescent="0.3">
      <c r="A183" s="45" t="s">
        <v>69</v>
      </c>
      <c r="F183"/>
    </row>
    <row r="184" spans="1:6" ht="15.75" thickBot="1" x14ac:dyDescent="0.3">
      <c r="A184" s="45" t="s">
        <v>69</v>
      </c>
      <c r="F184"/>
    </row>
    <row r="185" spans="1:6" ht="15.75" thickBot="1" x14ac:dyDescent="0.3">
      <c r="A185" s="45" t="s">
        <v>69</v>
      </c>
      <c r="F185"/>
    </row>
    <row r="186" spans="1:6" ht="15.75" thickBot="1" x14ac:dyDescent="0.3">
      <c r="A186" s="45" t="s">
        <v>65</v>
      </c>
      <c r="F186"/>
    </row>
    <row r="187" spans="1:6" ht="15.75" thickBot="1" x14ac:dyDescent="0.3">
      <c r="A187" s="45" t="s">
        <v>65</v>
      </c>
      <c r="F187"/>
    </row>
    <row r="188" spans="1:6" ht="15.75" thickBot="1" x14ac:dyDescent="0.3">
      <c r="A188" s="45" t="s">
        <v>66</v>
      </c>
      <c r="F188"/>
    </row>
    <row r="189" spans="1:6" ht="15.75" thickBot="1" x14ac:dyDescent="0.3">
      <c r="A189" s="45" t="s">
        <v>67</v>
      </c>
      <c r="F189"/>
    </row>
    <row r="190" spans="1:6" ht="15.75" thickBot="1" x14ac:dyDescent="0.3">
      <c r="A190" s="45" t="s">
        <v>63</v>
      </c>
      <c r="F190"/>
    </row>
    <row r="191" spans="1:6" ht="15.75" thickBot="1" x14ac:dyDescent="0.3">
      <c r="A191" s="45" t="s">
        <v>66</v>
      </c>
      <c r="F191"/>
    </row>
    <row r="192" spans="1:6" ht="15.75" thickBot="1" x14ac:dyDescent="0.3">
      <c r="A192" s="45" t="s">
        <v>68</v>
      </c>
      <c r="F192"/>
    </row>
    <row r="193" spans="1:6" ht="15.75" thickBot="1" x14ac:dyDescent="0.3">
      <c r="A193" s="45" t="s">
        <v>68</v>
      </c>
      <c r="F193"/>
    </row>
    <row r="194" spans="1:6" ht="15.75" thickBot="1" x14ac:dyDescent="0.3">
      <c r="A194" s="45" t="s">
        <v>66</v>
      </c>
      <c r="F194"/>
    </row>
    <row r="195" spans="1:6" ht="15.75" thickBot="1" x14ac:dyDescent="0.3">
      <c r="A195" s="45" t="s">
        <v>68</v>
      </c>
      <c r="F195"/>
    </row>
    <row r="196" spans="1:6" ht="15.75" thickBot="1" x14ac:dyDescent="0.3">
      <c r="A196" s="45" t="s">
        <v>69</v>
      </c>
      <c r="F196"/>
    </row>
    <row r="197" spans="1:6" ht="15.75" thickBot="1" x14ac:dyDescent="0.3">
      <c r="A197" s="45" t="s">
        <v>63</v>
      </c>
      <c r="F197"/>
    </row>
    <row r="198" spans="1:6" ht="15.75" thickBot="1" x14ac:dyDescent="0.3">
      <c r="A198" s="45" t="s">
        <v>66</v>
      </c>
      <c r="F198"/>
    </row>
    <row r="199" spans="1:6" ht="15.75" thickBot="1" x14ac:dyDescent="0.3">
      <c r="A199" s="45" t="s">
        <v>65</v>
      </c>
      <c r="F199"/>
    </row>
    <row r="200" spans="1:6" ht="15.75" thickBot="1" x14ac:dyDescent="0.3">
      <c r="A200" s="45" t="s">
        <v>65</v>
      </c>
      <c r="F200"/>
    </row>
    <row r="201" spans="1:6" ht="15.75" thickBot="1" x14ac:dyDescent="0.3">
      <c r="A201" s="45" t="s">
        <v>65</v>
      </c>
      <c r="F201"/>
    </row>
    <row r="202" spans="1:6" ht="15.75" thickBot="1" x14ac:dyDescent="0.3">
      <c r="A202" s="45" t="s">
        <v>65</v>
      </c>
      <c r="F202"/>
    </row>
    <row r="203" spans="1:6" ht="15.75" thickBot="1" x14ac:dyDescent="0.3">
      <c r="A203" s="45" t="s">
        <v>63</v>
      </c>
      <c r="F203"/>
    </row>
    <row r="204" spans="1:6" ht="15.75" thickBot="1" x14ac:dyDescent="0.3">
      <c r="A204" s="45" t="s">
        <v>66</v>
      </c>
      <c r="F204"/>
    </row>
    <row r="205" spans="1:6" ht="15.75" thickBot="1" x14ac:dyDescent="0.3">
      <c r="A205" s="45" t="s">
        <v>66</v>
      </c>
      <c r="F205"/>
    </row>
    <row r="206" spans="1:6" ht="15.75" thickBot="1" x14ac:dyDescent="0.3">
      <c r="A206" s="45" t="s">
        <v>65</v>
      </c>
      <c r="F206"/>
    </row>
    <row r="207" spans="1:6" ht="15.75" thickBot="1" x14ac:dyDescent="0.3">
      <c r="A207" s="45" t="s">
        <v>69</v>
      </c>
      <c r="F207"/>
    </row>
    <row r="208" spans="1:6" ht="15.75" thickBot="1" x14ac:dyDescent="0.3">
      <c r="A208" s="45" t="s">
        <v>69</v>
      </c>
      <c r="F208"/>
    </row>
    <row r="209" spans="1:6" ht="15.75" thickBot="1" x14ac:dyDescent="0.3">
      <c r="A209" s="45" t="s">
        <v>69</v>
      </c>
      <c r="F209"/>
    </row>
    <row r="210" spans="1:6" ht="15.75" thickBot="1" x14ac:dyDescent="0.3">
      <c r="A210" s="45" t="s">
        <v>69</v>
      </c>
      <c r="F210"/>
    </row>
    <row r="211" spans="1:6" ht="15.75" thickBot="1" x14ac:dyDescent="0.3">
      <c r="A211" s="45" t="s">
        <v>69</v>
      </c>
      <c r="F211"/>
    </row>
    <row r="212" spans="1:6" ht="15.75" thickBot="1" x14ac:dyDescent="0.3">
      <c r="A212" s="45" t="s">
        <v>64</v>
      </c>
      <c r="F212"/>
    </row>
    <row r="213" spans="1:6" ht="15.75" thickBot="1" x14ac:dyDescent="0.3">
      <c r="A213" s="45" t="s">
        <v>68</v>
      </c>
      <c r="F213"/>
    </row>
    <row r="214" spans="1:6" ht="15.75" thickBot="1" x14ac:dyDescent="0.3">
      <c r="A214" s="45" t="s">
        <v>65</v>
      </c>
      <c r="F214"/>
    </row>
    <row r="215" spans="1:6" ht="15.75" thickBot="1" x14ac:dyDescent="0.3">
      <c r="A215" s="45" t="s">
        <v>64</v>
      </c>
      <c r="F215"/>
    </row>
    <row r="216" spans="1:6" ht="15.75" thickBot="1" x14ac:dyDescent="0.3">
      <c r="A216" s="45" t="s">
        <v>67</v>
      </c>
      <c r="F216"/>
    </row>
    <row r="217" spans="1:6" ht="15.75" thickBot="1" x14ac:dyDescent="0.3">
      <c r="A217" s="45" t="s">
        <v>63</v>
      </c>
      <c r="F217"/>
    </row>
    <row r="218" spans="1:6" ht="15.75" thickBot="1" x14ac:dyDescent="0.3">
      <c r="A218" s="45" t="s">
        <v>65</v>
      </c>
      <c r="F218"/>
    </row>
    <row r="219" spans="1:6" ht="15.75" thickBot="1" x14ac:dyDescent="0.3">
      <c r="A219" s="45" t="s">
        <v>65</v>
      </c>
      <c r="F219"/>
    </row>
    <row r="220" spans="1:6" ht="15.75" thickBot="1" x14ac:dyDescent="0.3">
      <c r="A220" s="45" t="s">
        <v>63</v>
      </c>
      <c r="F220"/>
    </row>
    <row r="221" spans="1:6" ht="15.75" thickBot="1" x14ac:dyDescent="0.3">
      <c r="A221" s="45" t="s">
        <v>63</v>
      </c>
      <c r="F221"/>
    </row>
    <row r="222" spans="1:6" ht="15.75" thickBot="1" x14ac:dyDescent="0.3">
      <c r="A222" s="45" t="s">
        <v>68</v>
      </c>
      <c r="F222"/>
    </row>
    <row r="223" spans="1:6" ht="15.75" thickBot="1" x14ac:dyDescent="0.3">
      <c r="A223" s="45" t="s">
        <v>63</v>
      </c>
      <c r="F223"/>
    </row>
    <row r="224" spans="1:6" ht="15.75" thickBot="1" x14ac:dyDescent="0.3">
      <c r="A224" s="45" t="s">
        <v>66</v>
      </c>
      <c r="F224"/>
    </row>
    <row r="225" spans="1:6" ht="15.75" thickBot="1" x14ac:dyDescent="0.3">
      <c r="A225" s="45" t="s">
        <v>65</v>
      </c>
      <c r="F225"/>
    </row>
    <row r="226" spans="1:6" ht="15.75" thickBot="1" x14ac:dyDescent="0.3">
      <c r="A226" s="45" t="s">
        <v>63</v>
      </c>
      <c r="F226"/>
    </row>
    <row r="227" spans="1:6" ht="15.75" thickBot="1" x14ac:dyDescent="0.3">
      <c r="A227" s="45" t="s">
        <v>68</v>
      </c>
      <c r="F227"/>
    </row>
    <row r="228" spans="1:6" ht="15.75" thickBot="1" x14ac:dyDescent="0.3">
      <c r="A228" s="45" t="s">
        <v>63</v>
      </c>
      <c r="F228"/>
    </row>
    <row r="229" spans="1:6" ht="15.75" thickBot="1" x14ac:dyDescent="0.3">
      <c r="A229" s="45" t="s">
        <v>68</v>
      </c>
      <c r="F229"/>
    </row>
    <row r="230" spans="1:6" ht="15.75" thickBot="1" x14ac:dyDescent="0.3">
      <c r="A230" s="45" t="s">
        <v>66</v>
      </c>
      <c r="F230"/>
    </row>
    <row r="231" spans="1:6" ht="15.75" thickBot="1" x14ac:dyDescent="0.3">
      <c r="A231" s="45" t="s">
        <v>66</v>
      </c>
      <c r="F231"/>
    </row>
    <row r="232" spans="1:6" ht="15.75" thickBot="1" x14ac:dyDescent="0.3">
      <c r="A232" s="45" t="s">
        <v>64</v>
      </c>
      <c r="F232"/>
    </row>
    <row r="233" spans="1:6" ht="15.75" thickBot="1" x14ac:dyDescent="0.3">
      <c r="A233" s="45" t="s">
        <v>64</v>
      </c>
      <c r="F233"/>
    </row>
    <row r="234" spans="1:6" ht="15.75" thickBot="1" x14ac:dyDescent="0.3">
      <c r="A234" s="45" t="s">
        <v>63</v>
      </c>
      <c r="F234"/>
    </row>
    <row r="235" spans="1:6" ht="15.75" thickBot="1" x14ac:dyDescent="0.3">
      <c r="A235" s="45" t="s">
        <v>66</v>
      </c>
      <c r="F235"/>
    </row>
    <row r="236" spans="1:6" ht="15.75" thickBot="1" x14ac:dyDescent="0.3">
      <c r="A236" s="45" t="s">
        <v>65</v>
      </c>
      <c r="F236"/>
    </row>
    <row r="237" spans="1:6" ht="15.75" thickBot="1" x14ac:dyDescent="0.3">
      <c r="A237" s="45" t="s">
        <v>64</v>
      </c>
      <c r="F237"/>
    </row>
    <row r="238" spans="1:6" ht="15.75" thickBot="1" x14ac:dyDescent="0.3">
      <c r="A238" s="45" t="s">
        <v>68</v>
      </c>
      <c r="F238"/>
    </row>
    <row r="239" spans="1:6" ht="15.75" thickBot="1" x14ac:dyDescent="0.3">
      <c r="A239" s="45" t="s">
        <v>65</v>
      </c>
      <c r="F239"/>
    </row>
    <row r="240" spans="1:6" ht="15.75" thickBot="1" x14ac:dyDescent="0.3">
      <c r="A240" s="45" t="s">
        <v>64</v>
      </c>
      <c r="F240"/>
    </row>
    <row r="241" spans="1:6" ht="15.75" thickBot="1" x14ac:dyDescent="0.3">
      <c r="A241" s="45" t="s">
        <v>67</v>
      </c>
      <c r="F241"/>
    </row>
    <row r="242" spans="1:6" ht="15.75" thickBot="1" x14ac:dyDescent="0.3">
      <c r="A242" s="45" t="s">
        <v>63</v>
      </c>
      <c r="F242"/>
    </row>
    <row r="243" spans="1:6" ht="15.75" thickBot="1" x14ac:dyDescent="0.3">
      <c r="A243" s="45" t="s">
        <v>65</v>
      </c>
      <c r="F243"/>
    </row>
    <row r="244" spans="1:6" ht="15.75" thickBot="1" x14ac:dyDescent="0.3">
      <c r="A244" s="45" t="s">
        <v>65</v>
      </c>
      <c r="F244"/>
    </row>
    <row r="245" spans="1:6" ht="15.75" thickBot="1" x14ac:dyDescent="0.3">
      <c r="A245" s="45" t="s">
        <v>63</v>
      </c>
      <c r="F245"/>
    </row>
    <row r="246" spans="1:6" ht="15.75" thickBot="1" x14ac:dyDescent="0.3">
      <c r="A246" s="45" t="s">
        <v>63</v>
      </c>
      <c r="F246"/>
    </row>
    <row r="247" spans="1:6" ht="15.75" thickBot="1" x14ac:dyDescent="0.3">
      <c r="A247" s="45" t="s">
        <v>68</v>
      </c>
      <c r="F247"/>
    </row>
    <row r="248" spans="1:6" ht="15.75" thickBot="1" x14ac:dyDescent="0.3">
      <c r="A248" s="45" t="s">
        <v>63</v>
      </c>
      <c r="F248"/>
    </row>
    <row r="249" spans="1:6" ht="15.75" thickBot="1" x14ac:dyDescent="0.3">
      <c r="A249" s="45" t="s">
        <v>66</v>
      </c>
      <c r="F249"/>
    </row>
    <row r="250" spans="1:6" ht="15.75" thickBot="1" x14ac:dyDescent="0.3">
      <c r="A250" s="45" t="s">
        <v>65</v>
      </c>
      <c r="F250"/>
    </row>
    <row r="251" spans="1:6" ht="15.75" thickBot="1" x14ac:dyDescent="0.3">
      <c r="A251" s="45" t="s">
        <v>63</v>
      </c>
      <c r="F251"/>
    </row>
    <row r="252" spans="1:6" ht="15.75" thickBot="1" x14ac:dyDescent="0.3">
      <c r="A252" s="45" t="s">
        <v>68</v>
      </c>
      <c r="F252"/>
    </row>
    <row r="253" spans="1:6" ht="15.75" thickBot="1" x14ac:dyDescent="0.3">
      <c r="A253" s="45" t="s">
        <v>63</v>
      </c>
      <c r="F253"/>
    </row>
    <row r="254" spans="1:6" ht="15.75" thickBot="1" x14ac:dyDescent="0.3">
      <c r="A254" s="45" t="s">
        <v>68</v>
      </c>
      <c r="F254"/>
    </row>
    <row r="255" spans="1:6" ht="15.75" thickBot="1" x14ac:dyDescent="0.3">
      <c r="A255" s="45" t="s">
        <v>66</v>
      </c>
      <c r="F255"/>
    </row>
    <row r="256" spans="1:6" ht="15.75" thickBot="1" x14ac:dyDescent="0.3">
      <c r="A256" s="45" t="s">
        <v>64</v>
      </c>
      <c r="F256"/>
    </row>
    <row r="257" spans="1:6" ht="15.75" thickBot="1" x14ac:dyDescent="0.3">
      <c r="A257" s="45" t="s">
        <v>64</v>
      </c>
      <c r="F257"/>
    </row>
    <row r="258" spans="1:6" ht="15.75" thickBot="1" x14ac:dyDescent="0.3">
      <c r="A258" s="45" t="s">
        <v>63</v>
      </c>
      <c r="F258"/>
    </row>
    <row r="259" spans="1:6" ht="15.75" thickBot="1" x14ac:dyDescent="0.3">
      <c r="A259" s="45" t="s">
        <v>66</v>
      </c>
      <c r="F259"/>
    </row>
    <row r="260" spans="1:6" ht="15.75" thickBot="1" x14ac:dyDescent="0.3">
      <c r="A260" s="45" t="s">
        <v>65</v>
      </c>
      <c r="F260"/>
    </row>
    <row r="261" spans="1:6" ht="15.75" thickBot="1" x14ac:dyDescent="0.3">
      <c r="A261" s="45" t="s">
        <v>63</v>
      </c>
      <c r="F261"/>
    </row>
    <row r="262" spans="1:6" ht="15.75" thickBot="1" x14ac:dyDescent="0.3">
      <c r="A262" s="45" t="s">
        <v>66</v>
      </c>
      <c r="F262"/>
    </row>
    <row r="263" spans="1:6" ht="15.75" thickBot="1" x14ac:dyDescent="0.3">
      <c r="A263" s="45" t="s">
        <v>66</v>
      </c>
      <c r="F263"/>
    </row>
    <row r="264" spans="1:6" ht="15.75" thickBot="1" x14ac:dyDescent="0.3">
      <c r="A264" s="45" t="s">
        <v>65</v>
      </c>
      <c r="F264"/>
    </row>
    <row r="265" spans="1:6" ht="15.75" thickBot="1" x14ac:dyDescent="0.3">
      <c r="A265" s="45" t="s">
        <v>69</v>
      </c>
      <c r="F265"/>
    </row>
    <row r="266" spans="1:6" ht="15.75" thickBot="1" x14ac:dyDescent="0.3">
      <c r="A266" s="45" t="s">
        <v>69</v>
      </c>
      <c r="F266"/>
    </row>
    <row r="267" spans="1:6" ht="15.75" thickBot="1" x14ac:dyDescent="0.3">
      <c r="A267" s="45" t="s">
        <v>69</v>
      </c>
      <c r="F267"/>
    </row>
    <row r="268" spans="1:6" ht="15.75" thickBot="1" x14ac:dyDescent="0.3">
      <c r="A268" s="45" t="s">
        <v>69</v>
      </c>
      <c r="F268"/>
    </row>
    <row r="269" spans="1:6" ht="15.75" thickBot="1" x14ac:dyDescent="0.3">
      <c r="A269" s="45" t="s">
        <v>69</v>
      </c>
      <c r="F269"/>
    </row>
    <row r="270" spans="1:6" ht="15.75" thickBot="1" x14ac:dyDescent="0.3">
      <c r="A270" s="45" t="s">
        <v>64</v>
      </c>
      <c r="F270"/>
    </row>
    <row r="271" spans="1:6" ht="15.75" thickBot="1" x14ac:dyDescent="0.3">
      <c r="A271" s="45" t="s">
        <v>68</v>
      </c>
      <c r="F271"/>
    </row>
    <row r="272" spans="1:6" ht="15.75" thickBot="1" x14ac:dyDescent="0.3">
      <c r="A272" s="45" t="s">
        <v>65</v>
      </c>
      <c r="F272"/>
    </row>
    <row r="273" spans="1:6" ht="15.75" thickBot="1" x14ac:dyDescent="0.3">
      <c r="A273" s="45" t="s">
        <v>64</v>
      </c>
      <c r="F273"/>
    </row>
    <row r="274" spans="1:6" ht="15.75" thickBot="1" x14ac:dyDescent="0.3">
      <c r="A274" s="45" t="s">
        <v>67</v>
      </c>
      <c r="F274"/>
    </row>
    <row r="275" spans="1:6" ht="15.75" thickBot="1" x14ac:dyDescent="0.3">
      <c r="A275" s="45" t="s">
        <v>63</v>
      </c>
      <c r="F275"/>
    </row>
    <row r="276" spans="1:6" ht="15.75" thickBot="1" x14ac:dyDescent="0.3">
      <c r="A276" s="45" t="s">
        <v>65</v>
      </c>
      <c r="F276"/>
    </row>
    <row r="277" spans="1:6" ht="15.75" thickBot="1" x14ac:dyDescent="0.3">
      <c r="A277" s="45" t="s">
        <v>65</v>
      </c>
      <c r="F277"/>
    </row>
    <row r="278" spans="1:6" ht="15.75" thickBot="1" x14ac:dyDescent="0.3">
      <c r="A278" s="45" t="s">
        <v>63</v>
      </c>
      <c r="F278"/>
    </row>
    <row r="279" spans="1:6" ht="15.75" thickBot="1" x14ac:dyDescent="0.3">
      <c r="A279" s="45" t="s">
        <v>63</v>
      </c>
      <c r="F279"/>
    </row>
    <row r="280" spans="1:6" ht="15.75" thickBot="1" x14ac:dyDescent="0.3">
      <c r="A280" s="45" t="s">
        <v>68</v>
      </c>
      <c r="F280"/>
    </row>
    <row r="281" spans="1:6" ht="15.75" thickBot="1" x14ac:dyDescent="0.3">
      <c r="A281" s="45" t="s">
        <v>63</v>
      </c>
      <c r="F281"/>
    </row>
    <row r="282" spans="1:6" ht="15.75" thickBot="1" x14ac:dyDescent="0.3">
      <c r="A282" s="45" t="s">
        <v>66</v>
      </c>
      <c r="F282"/>
    </row>
    <row r="283" spans="1:6" ht="15.75" thickBot="1" x14ac:dyDescent="0.3">
      <c r="A283" s="45" t="s">
        <v>65</v>
      </c>
      <c r="F283"/>
    </row>
    <row r="284" spans="1:6" ht="15.75" thickBot="1" x14ac:dyDescent="0.3">
      <c r="A284" s="45" t="s">
        <v>63</v>
      </c>
      <c r="F284"/>
    </row>
    <row r="285" spans="1:6" ht="15.75" thickBot="1" x14ac:dyDescent="0.3">
      <c r="A285" s="45" t="s">
        <v>68</v>
      </c>
      <c r="F285"/>
    </row>
    <row r="286" spans="1:6" ht="15.75" thickBot="1" x14ac:dyDescent="0.3">
      <c r="A286" s="45" t="s">
        <v>63</v>
      </c>
      <c r="F286"/>
    </row>
    <row r="287" spans="1:6" ht="15.75" thickBot="1" x14ac:dyDescent="0.3">
      <c r="A287" s="45" t="s">
        <v>68</v>
      </c>
      <c r="F287"/>
    </row>
    <row r="288" spans="1:6" ht="15.75" thickBot="1" x14ac:dyDescent="0.3">
      <c r="A288" s="45" t="s">
        <v>66</v>
      </c>
      <c r="F288"/>
    </row>
    <row r="289" spans="1:6" ht="15.75" thickBot="1" x14ac:dyDescent="0.3">
      <c r="A289" s="45" t="s">
        <v>66</v>
      </c>
      <c r="F289"/>
    </row>
    <row r="290" spans="1:6" ht="15.75" thickBot="1" x14ac:dyDescent="0.3">
      <c r="A290" s="45" t="s">
        <v>64</v>
      </c>
      <c r="F290"/>
    </row>
    <row r="291" spans="1:6" ht="15.75" thickBot="1" x14ac:dyDescent="0.3">
      <c r="A291" s="45" t="s">
        <v>64</v>
      </c>
      <c r="F291"/>
    </row>
    <row r="292" spans="1:6" ht="15.75" thickBot="1" x14ac:dyDescent="0.3">
      <c r="A292" s="45" t="s">
        <v>63</v>
      </c>
      <c r="F292"/>
    </row>
    <row r="293" spans="1:6" ht="15.75" thickBot="1" x14ac:dyDescent="0.3">
      <c r="A293" s="45" t="s">
        <v>66</v>
      </c>
      <c r="F293"/>
    </row>
    <row r="294" spans="1:6" ht="15.75" thickBot="1" x14ac:dyDescent="0.3">
      <c r="A294" s="45" t="s">
        <v>65</v>
      </c>
      <c r="F294"/>
    </row>
    <row r="295" spans="1:6" ht="15.75" thickBot="1" x14ac:dyDescent="0.3">
      <c r="A295" s="45" t="s">
        <v>64</v>
      </c>
      <c r="F295"/>
    </row>
    <row r="296" spans="1:6" ht="15.75" thickBot="1" x14ac:dyDescent="0.3">
      <c r="A296" s="45" t="s">
        <v>68</v>
      </c>
      <c r="F296"/>
    </row>
    <row r="297" spans="1:6" ht="15.75" thickBot="1" x14ac:dyDescent="0.3">
      <c r="A297" s="45" t="s">
        <v>65</v>
      </c>
      <c r="F297"/>
    </row>
    <row r="298" spans="1:6" ht="15.75" thickBot="1" x14ac:dyDescent="0.3">
      <c r="A298" s="45" t="s">
        <v>64</v>
      </c>
      <c r="F298"/>
    </row>
    <row r="299" spans="1:6" ht="15.75" thickBot="1" x14ac:dyDescent="0.3">
      <c r="A299" s="45" t="s">
        <v>67</v>
      </c>
      <c r="F299"/>
    </row>
    <row r="300" spans="1:6" ht="15.75" thickBot="1" x14ac:dyDescent="0.3">
      <c r="A300" s="45" t="s">
        <v>63</v>
      </c>
      <c r="F300"/>
    </row>
    <row r="301" spans="1:6" ht="15.75" thickBot="1" x14ac:dyDescent="0.3">
      <c r="A301" s="45" t="s">
        <v>65</v>
      </c>
      <c r="F301"/>
    </row>
    <row r="302" spans="1:6" ht="15.75" thickBot="1" x14ac:dyDescent="0.3">
      <c r="A302" s="45" t="s">
        <v>65</v>
      </c>
      <c r="F302"/>
    </row>
    <row r="303" spans="1:6" ht="15.75" thickBot="1" x14ac:dyDescent="0.3">
      <c r="A303" s="45" t="s">
        <v>63</v>
      </c>
      <c r="F303"/>
    </row>
    <row r="304" spans="1:6" ht="15.75" thickBot="1" x14ac:dyDescent="0.3">
      <c r="A304" s="45" t="s">
        <v>63</v>
      </c>
      <c r="F304"/>
    </row>
    <row r="305" spans="1:6" ht="15.75" thickBot="1" x14ac:dyDescent="0.3">
      <c r="A305" s="45" t="s">
        <v>68</v>
      </c>
      <c r="F305"/>
    </row>
    <row r="306" spans="1:6" ht="15.75" thickBot="1" x14ac:dyDescent="0.3">
      <c r="A306" s="45" t="s">
        <v>63</v>
      </c>
      <c r="F306"/>
    </row>
    <row r="307" spans="1:6" ht="15.75" thickBot="1" x14ac:dyDescent="0.3">
      <c r="A307" s="45" t="s">
        <v>66</v>
      </c>
      <c r="F307"/>
    </row>
    <row r="308" spans="1:6" ht="15.75" thickBot="1" x14ac:dyDescent="0.3">
      <c r="A308" s="45" t="s">
        <v>65</v>
      </c>
      <c r="F308"/>
    </row>
    <row r="309" spans="1:6" ht="15.75" thickBot="1" x14ac:dyDescent="0.3">
      <c r="A309" s="45" t="s">
        <v>63</v>
      </c>
      <c r="F309"/>
    </row>
    <row r="310" spans="1:6" ht="15.75" thickBot="1" x14ac:dyDescent="0.3">
      <c r="A310" s="45" t="s">
        <v>68</v>
      </c>
      <c r="F310"/>
    </row>
    <row r="311" spans="1:6" ht="15.75" thickBot="1" x14ac:dyDescent="0.3">
      <c r="A311" s="45" t="s">
        <v>63</v>
      </c>
      <c r="F311"/>
    </row>
    <row r="312" spans="1:6" ht="15.75" thickBot="1" x14ac:dyDescent="0.3">
      <c r="A312" s="45" t="s">
        <v>68</v>
      </c>
      <c r="F312"/>
    </row>
    <row r="313" spans="1:6" ht="15.75" thickBot="1" x14ac:dyDescent="0.3">
      <c r="A313" s="45" t="s">
        <v>66</v>
      </c>
      <c r="F313"/>
    </row>
    <row r="314" spans="1:6" ht="15.75" thickBot="1" x14ac:dyDescent="0.3">
      <c r="A314" s="45" t="s">
        <v>66</v>
      </c>
      <c r="F314"/>
    </row>
    <row r="315" spans="1:6" ht="15.75" thickBot="1" x14ac:dyDescent="0.3">
      <c r="A315" s="45" t="s">
        <v>64</v>
      </c>
      <c r="F315"/>
    </row>
    <row r="316" spans="1:6" ht="15.75" thickBot="1" x14ac:dyDescent="0.3">
      <c r="A316" s="45" t="s">
        <v>64</v>
      </c>
      <c r="F316"/>
    </row>
    <row r="317" spans="1:6" ht="15.75" thickBot="1" x14ac:dyDescent="0.3">
      <c r="A317" s="45" t="s">
        <v>63</v>
      </c>
      <c r="F317"/>
    </row>
    <row r="318" spans="1:6" ht="15.75" thickBot="1" x14ac:dyDescent="0.3">
      <c r="A318" s="45" t="s">
        <v>66</v>
      </c>
      <c r="F318"/>
    </row>
    <row r="319" spans="1:6" ht="15.75" thickBot="1" x14ac:dyDescent="0.3">
      <c r="A319" s="45" t="s">
        <v>65</v>
      </c>
      <c r="F319"/>
    </row>
    <row r="320" spans="1:6" ht="15.75" thickBot="1" x14ac:dyDescent="0.3">
      <c r="A320" s="45" t="s">
        <v>63</v>
      </c>
      <c r="F320"/>
    </row>
    <row r="321" spans="1:6" ht="15.75" thickBot="1" x14ac:dyDescent="0.3">
      <c r="A321" s="45" t="s">
        <v>66</v>
      </c>
      <c r="F321"/>
    </row>
    <row r="322" spans="1:6" ht="15.75" thickBot="1" x14ac:dyDescent="0.3">
      <c r="A322" s="45" t="s">
        <v>66</v>
      </c>
      <c r="F322"/>
    </row>
    <row r="323" spans="1:6" ht="15.75" thickBot="1" x14ac:dyDescent="0.3">
      <c r="A323" s="45" t="s">
        <v>65</v>
      </c>
      <c r="F323"/>
    </row>
    <row r="324" spans="1:6" ht="15.75" thickBot="1" x14ac:dyDescent="0.3">
      <c r="A324" s="45" t="s">
        <v>69</v>
      </c>
      <c r="F324"/>
    </row>
    <row r="325" spans="1:6" ht="15.75" thickBot="1" x14ac:dyDescent="0.3">
      <c r="A325" s="45" t="s">
        <v>69</v>
      </c>
      <c r="F325"/>
    </row>
    <row r="326" spans="1:6" ht="15.75" thickBot="1" x14ac:dyDescent="0.3">
      <c r="A326" s="45" t="s">
        <v>69</v>
      </c>
      <c r="F326"/>
    </row>
    <row r="327" spans="1:6" ht="15.75" thickBot="1" x14ac:dyDescent="0.3">
      <c r="A327" s="45" t="s">
        <v>69</v>
      </c>
      <c r="F327"/>
    </row>
    <row r="328" spans="1:6" ht="15.75" thickBot="1" x14ac:dyDescent="0.3">
      <c r="A328" s="45" t="s">
        <v>69</v>
      </c>
      <c r="F328"/>
    </row>
    <row r="329" spans="1:6" ht="15.75" thickBot="1" x14ac:dyDescent="0.3">
      <c r="A329" s="45" t="s">
        <v>64</v>
      </c>
      <c r="F329"/>
    </row>
    <row r="330" spans="1:6" ht="15.75" thickBot="1" x14ac:dyDescent="0.3">
      <c r="A330" s="45" t="s">
        <v>68</v>
      </c>
      <c r="F330"/>
    </row>
    <row r="331" spans="1:6" ht="15.75" thickBot="1" x14ac:dyDescent="0.3">
      <c r="A331" s="45" t="s">
        <v>65</v>
      </c>
      <c r="F331"/>
    </row>
    <row r="332" spans="1:6" ht="15.75" thickBot="1" x14ac:dyDescent="0.3">
      <c r="A332" s="45" t="s">
        <v>64</v>
      </c>
      <c r="F332"/>
    </row>
    <row r="333" spans="1:6" ht="15.75" thickBot="1" x14ac:dyDescent="0.3">
      <c r="A333" s="45" t="s">
        <v>67</v>
      </c>
      <c r="F333"/>
    </row>
    <row r="334" spans="1:6" ht="15.75" thickBot="1" x14ac:dyDescent="0.3">
      <c r="A334" s="45" t="s">
        <v>63</v>
      </c>
      <c r="F334"/>
    </row>
    <row r="335" spans="1:6" ht="15.75" thickBot="1" x14ac:dyDescent="0.3">
      <c r="A335" s="45" t="s">
        <v>65</v>
      </c>
      <c r="F335"/>
    </row>
    <row r="336" spans="1:6" ht="15.75" thickBot="1" x14ac:dyDescent="0.3">
      <c r="A336" s="45" t="s">
        <v>65</v>
      </c>
      <c r="F336"/>
    </row>
    <row r="337" spans="1:6" ht="15.75" thickBot="1" x14ac:dyDescent="0.3">
      <c r="A337" s="45" t="s">
        <v>63</v>
      </c>
      <c r="F337"/>
    </row>
    <row r="338" spans="1:6" ht="15.75" thickBot="1" x14ac:dyDescent="0.3">
      <c r="A338" s="45" t="s">
        <v>63</v>
      </c>
      <c r="F338"/>
    </row>
    <row r="339" spans="1:6" ht="15.75" thickBot="1" x14ac:dyDescent="0.3">
      <c r="A339" s="45" t="s">
        <v>68</v>
      </c>
      <c r="F339"/>
    </row>
    <row r="340" spans="1:6" ht="15.75" thickBot="1" x14ac:dyDescent="0.3">
      <c r="A340" s="45" t="s">
        <v>63</v>
      </c>
      <c r="F340"/>
    </row>
    <row r="341" spans="1:6" ht="15.75" thickBot="1" x14ac:dyDescent="0.3">
      <c r="A341" s="45" t="s">
        <v>66</v>
      </c>
      <c r="F341"/>
    </row>
    <row r="342" spans="1:6" ht="15.75" thickBot="1" x14ac:dyDescent="0.3">
      <c r="A342" s="45" t="s">
        <v>65</v>
      </c>
      <c r="F342"/>
    </row>
    <row r="343" spans="1:6" ht="15.75" thickBot="1" x14ac:dyDescent="0.3">
      <c r="A343" s="45" t="s">
        <v>63</v>
      </c>
      <c r="F343"/>
    </row>
    <row r="344" spans="1:6" ht="15.75" thickBot="1" x14ac:dyDescent="0.3">
      <c r="A344" s="45" t="s">
        <v>68</v>
      </c>
      <c r="F344"/>
    </row>
    <row r="345" spans="1:6" ht="15.75" thickBot="1" x14ac:dyDescent="0.3">
      <c r="A345" s="45" t="s">
        <v>63</v>
      </c>
      <c r="F345"/>
    </row>
    <row r="346" spans="1:6" ht="15.75" thickBot="1" x14ac:dyDescent="0.3">
      <c r="A346" s="45" t="s">
        <v>68</v>
      </c>
      <c r="F346"/>
    </row>
    <row r="347" spans="1:6" ht="15.75" thickBot="1" x14ac:dyDescent="0.3">
      <c r="A347" s="45" t="s">
        <v>66</v>
      </c>
      <c r="F347"/>
    </row>
    <row r="348" spans="1:6" ht="15.75" thickBot="1" x14ac:dyDescent="0.3">
      <c r="A348" s="45" t="s">
        <v>66</v>
      </c>
      <c r="F348"/>
    </row>
    <row r="349" spans="1:6" ht="15.75" thickBot="1" x14ac:dyDescent="0.3">
      <c r="A349" s="45" t="s">
        <v>64</v>
      </c>
      <c r="F349"/>
    </row>
    <row r="350" spans="1:6" ht="15.75" thickBot="1" x14ac:dyDescent="0.3">
      <c r="A350" s="45" t="s">
        <v>64</v>
      </c>
      <c r="F350"/>
    </row>
    <row r="351" spans="1:6" ht="15.75" thickBot="1" x14ac:dyDescent="0.3">
      <c r="A351" s="45" t="s">
        <v>63</v>
      </c>
      <c r="F351"/>
    </row>
    <row r="352" spans="1:6" ht="15.75" thickBot="1" x14ac:dyDescent="0.3">
      <c r="A352" s="45" t="s">
        <v>66</v>
      </c>
      <c r="F352"/>
    </row>
    <row r="353" spans="1:6" ht="15.75" thickBot="1" x14ac:dyDescent="0.3">
      <c r="A353" s="45" t="s">
        <v>65</v>
      </c>
      <c r="F353"/>
    </row>
    <row r="354" spans="1:6" ht="15.75" thickBot="1" x14ac:dyDescent="0.3">
      <c r="A354" s="45" t="s">
        <v>64</v>
      </c>
      <c r="F354"/>
    </row>
    <row r="355" spans="1:6" ht="15.75" thickBot="1" x14ac:dyDescent="0.3">
      <c r="A355" s="45" t="s">
        <v>68</v>
      </c>
      <c r="F355"/>
    </row>
    <row r="356" spans="1:6" ht="15.75" thickBot="1" x14ac:dyDescent="0.3">
      <c r="A356" s="45" t="s">
        <v>65</v>
      </c>
      <c r="F356"/>
    </row>
    <row r="357" spans="1:6" ht="15.75" thickBot="1" x14ac:dyDescent="0.3">
      <c r="A357" s="45" t="s">
        <v>64</v>
      </c>
      <c r="F357"/>
    </row>
    <row r="358" spans="1:6" ht="15.75" thickBot="1" x14ac:dyDescent="0.3">
      <c r="A358" s="45" t="s">
        <v>67</v>
      </c>
      <c r="F358"/>
    </row>
    <row r="359" spans="1:6" ht="15.75" thickBot="1" x14ac:dyDescent="0.3">
      <c r="A359" s="45" t="s">
        <v>63</v>
      </c>
      <c r="F359"/>
    </row>
    <row r="360" spans="1:6" ht="15.75" thickBot="1" x14ac:dyDescent="0.3">
      <c r="A360" s="45" t="s">
        <v>65</v>
      </c>
      <c r="F360"/>
    </row>
    <row r="361" spans="1:6" ht="15.75" thickBot="1" x14ac:dyDescent="0.3">
      <c r="A361" s="45" t="s">
        <v>65</v>
      </c>
      <c r="F361"/>
    </row>
    <row r="362" spans="1:6" ht="15.75" thickBot="1" x14ac:dyDescent="0.3">
      <c r="A362" s="45" t="s">
        <v>63</v>
      </c>
      <c r="F362"/>
    </row>
    <row r="363" spans="1:6" ht="15.75" thickBot="1" x14ac:dyDescent="0.3">
      <c r="A363" s="45" t="s">
        <v>63</v>
      </c>
      <c r="F363"/>
    </row>
    <row r="364" spans="1:6" ht="15.75" thickBot="1" x14ac:dyDescent="0.3">
      <c r="A364" s="45" t="s">
        <v>68</v>
      </c>
      <c r="F364"/>
    </row>
    <row r="365" spans="1:6" ht="15.75" thickBot="1" x14ac:dyDescent="0.3">
      <c r="A365" s="45" t="s">
        <v>63</v>
      </c>
      <c r="F365"/>
    </row>
    <row r="366" spans="1:6" ht="15.75" thickBot="1" x14ac:dyDescent="0.3">
      <c r="A366" s="45" t="s">
        <v>66</v>
      </c>
      <c r="F366"/>
    </row>
    <row r="367" spans="1:6" ht="15.75" thickBot="1" x14ac:dyDescent="0.3">
      <c r="A367" s="45" t="s">
        <v>65</v>
      </c>
      <c r="F367"/>
    </row>
    <row r="368" spans="1:6" ht="15.75" thickBot="1" x14ac:dyDescent="0.3">
      <c r="A368" s="45" t="s">
        <v>63</v>
      </c>
      <c r="F368"/>
    </row>
    <row r="369" spans="1:6" ht="15.75" thickBot="1" x14ac:dyDescent="0.3">
      <c r="A369" s="45" t="s">
        <v>68</v>
      </c>
      <c r="F369"/>
    </row>
    <row r="370" spans="1:6" ht="15.75" thickBot="1" x14ac:dyDescent="0.3">
      <c r="A370" s="45" t="s">
        <v>63</v>
      </c>
      <c r="F370"/>
    </row>
    <row r="371" spans="1:6" ht="15.75" thickBot="1" x14ac:dyDescent="0.3">
      <c r="A371" s="45" t="s">
        <v>68</v>
      </c>
      <c r="F371"/>
    </row>
    <row r="372" spans="1:6" ht="15.75" thickBot="1" x14ac:dyDescent="0.3">
      <c r="A372" s="45" t="s">
        <v>66</v>
      </c>
      <c r="F372"/>
    </row>
    <row r="373" spans="1:6" ht="15.75" thickBot="1" x14ac:dyDescent="0.3">
      <c r="A373" s="45" t="s">
        <v>66</v>
      </c>
      <c r="F373"/>
    </row>
    <row r="374" spans="1:6" ht="15.75" thickBot="1" x14ac:dyDescent="0.3">
      <c r="A374" s="45" t="s">
        <v>64</v>
      </c>
      <c r="F374"/>
    </row>
    <row r="375" spans="1:6" ht="15.75" thickBot="1" x14ac:dyDescent="0.3">
      <c r="A375" s="45" t="s">
        <v>64</v>
      </c>
      <c r="F375"/>
    </row>
    <row r="376" spans="1:6" ht="15.75" thickBot="1" x14ac:dyDescent="0.3">
      <c r="A376" s="45" t="s">
        <v>63</v>
      </c>
      <c r="F376"/>
    </row>
    <row r="377" spans="1:6" ht="15.75" thickBot="1" x14ac:dyDescent="0.3">
      <c r="A377" s="45" t="s">
        <v>66</v>
      </c>
      <c r="F377"/>
    </row>
    <row r="378" spans="1:6" ht="15.75" thickBot="1" x14ac:dyDescent="0.3">
      <c r="A378" s="45" t="s">
        <v>65</v>
      </c>
      <c r="F378"/>
    </row>
    <row r="379" spans="1:6" ht="15.75" thickBot="1" x14ac:dyDescent="0.3">
      <c r="A379" s="45" t="s">
        <v>63</v>
      </c>
      <c r="F379"/>
    </row>
    <row r="380" spans="1:6" ht="15.75" thickBot="1" x14ac:dyDescent="0.3">
      <c r="A380" s="45" t="s">
        <v>66</v>
      </c>
      <c r="F380"/>
    </row>
    <row r="381" spans="1:6" ht="15.75" thickBot="1" x14ac:dyDescent="0.3">
      <c r="A381" s="45" t="s">
        <v>66</v>
      </c>
      <c r="F381"/>
    </row>
    <row r="382" spans="1:6" ht="15.75" thickBot="1" x14ac:dyDescent="0.3">
      <c r="A382" s="45" t="s">
        <v>65</v>
      </c>
      <c r="F382"/>
    </row>
    <row r="383" spans="1:6" ht="15.75" thickBot="1" x14ac:dyDescent="0.3">
      <c r="A383" s="45" t="s">
        <v>69</v>
      </c>
      <c r="F383"/>
    </row>
    <row r="384" spans="1:6" ht="15.75" thickBot="1" x14ac:dyDescent="0.3">
      <c r="A384" s="45" t="s">
        <v>69</v>
      </c>
      <c r="F384"/>
    </row>
    <row r="385" spans="1:6" ht="15.75" thickBot="1" x14ac:dyDescent="0.3">
      <c r="A385" s="45" t="s">
        <v>69</v>
      </c>
      <c r="F385"/>
    </row>
    <row r="386" spans="1:6" ht="15.75" thickBot="1" x14ac:dyDescent="0.3">
      <c r="A386" s="45" t="s">
        <v>69</v>
      </c>
      <c r="F386"/>
    </row>
    <row r="387" spans="1:6" ht="15.75" thickBot="1" x14ac:dyDescent="0.3">
      <c r="A387" s="45" t="s">
        <v>69</v>
      </c>
      <c r="F387"/>
    </row>
    <row r="388" spans="1:6" ht="15.75" thickBot="1" x14ac:dyDescent="0.3">
      <c r="A388" s="45" t="s">
        <v>64</v>
      </c>
      <c r="F388"/>
    </row>
    <row r="389" spans="1:6" ht="15.75" thickBot="1" x14ac:dyDescent="0.3">
      <c r="A389" s="45" t="s">
        <v>68</v>
      </c>
      <c r="F389"/>
    </row>
    <row r="390" spans="1:6" ht="15.75" thickBot="1" x14ac:dyDescent="0.3">
      <c r="A390" s="45" t="s">
        <v>65</v>
      </c>
      <c r="F390"/>
    </row>
    <row r="391" spans="1:6" ht="15.75" thickBot="1" x14ac:dyDescent="0.3">
      <c r="A391" s="45" t="s">
        <v>64</v>
      </c>
      <c r="F391"/>
    </row>
    <row r="392" spans="1:6" ht="15.75" thickBot="1" x14ac:dyDescent="0.3">
      <c r="A392" s="45" t="s">
        <v>67</v>
      </c>
      <c r="F392"/>
    </row>
    <row r="393" spans="1:6" ht="15.75" thickBot="1" x14ac:dyDescent="0.3">
      <c r="A393" s="45" t="s">
        <v>63</v>
      </c>
      <c r="F393"/>
    </row>
    <row r="394" spans="1:6" ht="15.75" thickBot="1" x14ac:dyDescent="0.3">
      <c r="A394" s="45" t="s">
        <v>65</v>
      </c>
      <c r="F394"/>
    </row>
    <row r="395" spans="1:6" ht="15.75" thickBot="1" x14ac:dyDescent="0.3">
      <c r="A395" s="45" t="s">
        <v>65</v>
      </c>
      <c r="F395"/>
    </row>
    <row r="396" spans="1:6" ht="15.75" thickBot="1" x14ac:dyDescent="0.3">
      <c r="A396" s="45" t="s">
        <v>63</v>
      </c>
      <c r="F396"/>
    </row>
    <row r="397" spans="1:6" ht="15.75" thickBot="1" x14ac:dyDescent="0.3">
      <c r="A397" s="45" t="s">
        <v>63</v>
      </c>
      <c r="F397"/>
    </row>
    <row r="398" spans="1:6" ht="15.75" thickBot="1" x14ac:dyDescent="0.3">
      <c r="A398" s="45" t="s">
        <v>68</v>
      </c>
      <c r="F398"/>
    </row>
    <row r="399" spans="1:6" ht="15.75" thickBot="1" x14ac:dyDescent="0.3">
      <c r="A399" s="45" t="s">
        <v>63</v>
      </c>
      <c r="F399"/>
    </row>
    <row r="400" spans="1:6" ht="15.75" thickBot="1" x14ac:dyDescent="0.3">
      <c r="A400" s="45" t="s">
        <v>66</v>
      </c>
      <c r="F400"/>
    </row>
    <row r="401" spans="1:6" ht="15.75" thickBot="1" x14ac:dyDescent="0.3">
      <c r="A401" s="45" t="s">
        <v>65</v>
      </c>
      <c r="F401"/>
    </row>
    <row r="402" spans="1:6" ht="15.75" thickBot="1" x14ac:dyDescent="0.3">
      <c r="A402" s="45" t="s">
        <v>63</v>
      </c>
      <c r="F402"/>
    </row>
    <row r="403" spans="1:6" ht="15.75" thickBot="1" x14ac:dyDescent="0.3">
      <c r="A403" s="45" t="s">
        <v>68</v>
      </c>
      <c r="F403"/>
    </row>
    <row r="404" spans="1:6" ht="15.75" thickBot="1" x14ac:dyDescent="0.3">
      <c r="A404" s="45" t="s">
        <v>63</v>
      </c>
      <c r="F404"/>
    </row>
    <row r="405" spans="1:6" ht="15.75" thickBot="1" x14ac:dyDescent="0.3">
      <c r="A405" s="45" t="s">
        <v>68</v>
      </c>
      <c r="F405"/>
    </row>
    <row r="406" spans="1:6" ht="15.75" thickBot="1" x14ac:dyDescent="0.3">
      <c r="A406" s="45" t="s">
        <v>66</v>
      </c>
      <c r="F406"/>
    </row>
    <row r="407" spans="1:6" ht="15.75" thickBot="1" x14ac:dyDescent="0.3">
      <c r="A407" s="45" t="s">
        <v>66</v>
      </c>
      <c r="F407"/>
    </row>
    <row r="408" spans="1:6" ht="15.75" thickBot="1" x14ac:dyDescent="0.3">
      <c r="A408" s="45" t="s">
        <v>64</v>
      </c>
      <c r="F408"/>
    </row>
    <row r="409" spans="1:6" ht="15.75" thickBot="1" x14ac:dyDescent="0.3">
      <c r="A409" s="45" t="s">
        <v>64</v>
      </c>
      <c r="F409"/>
    </row>
    <row r="410" spans="1:6" ht="15.75" thickBot="1" x14ac:dyDescent="0.3">
      <c r="A410" s="45" t="s">
        <v>63</v>
      </c>
      <c r="F410"/>
    </row>
    <row r="411" spans="1:6" ht="15.75" thickBot="1" x14ac:dyDescent="0.3">
      <c r="A411" s="45" t="s">
        <v>66</v>
      </c>
      <c r="F411"/>
    </row>
    <row r="412" spans="1:6" ht="15.75" thickBot="1" x14ac:dyDescent="0.3">
      <c r="A412" s="45" t="s">
        <v>65</v>
      </c>
      <c r="F412"/>
    </row>
    <row r="413" spans="1:6" ht="15.75" thickBot="1" x14ac:dyDescent="0.3">
      <c r="A413" s="45" t="s">
        <v>64</v>
      </c>
      <c r="F413"/>
    </row>
    <row r="414" spans="1:6" ht="15.75" thickBot="1" x14ac:dyDescent="0.3">
      <c r="A414" s="45" t="s">
        <v>68</v>
      </c>
      <c r="F414"/>
    </row>
    <row r="415" spans="1:6" ht="15.75" thickBot="1" x14ac:dyDescent="0.3">
      <c r="A415" s="45" t="s">
        <v>65</v>
      </c>
      <c r="F415"/>
    </row>
    <row r="416" spans="1:6" ht="15.75" thickBot="1" x14ac:dyDescent="0.3">
      <c r="A416" s="45" t="s">
        <v>64</v>
      </c>
      <c r="F416"/>
    </row>
    <row r="417" spans="1:6" ht="15.75" thickBot="1" x14ac:dyDescent="0.3">
      <c r="A417" s="45" t="s">
        <v>67</v>
      </c>
      <c r="F417"/>
    </row>
    <row r="418" spans="1:6" ht="15.75" thickBot="1" x14ac:dyDescent="0.3">
      <c r="A418" s="45" t="s">
        <v>63</v>
      </c>
      <c r="F418"/>
    </row>
    <row r="419" spans="1:6" ht="15.75" thickBot="1" x14ac:dyDescent="0.3">
      <c r="A419" s="45" t="s">
        <v>65</v>
      </c>
      <c r="F419"/>
    </row>
    <row r="420" spans="1:6" ht="15.75" thickBot="1" x14ac:dyDescent="0.3">
      <c r="A420" s="45" t="s">
        <v>65</v>
      </c>
      <c r="F420"/>
    </row>
    <row r="421" spans="1:6" ht="15.75" thickBot="1" x14ac:dyDescent="0.3">
      <c r="A421" s="45" t="s">
        <v>63</v>
      </c>
      <c r="F421"/>
    </row>
    <row r="422" spans="1:6" ht="15.75" thickBot="1" x14ac:dyDescent="0.3">
      <c r="A422" s="45" t="s">
        <v>63</v>
      </c>
      <c r="F422"/>
    </row>
    <row r="423" spans="1:6" ht="15.75" thickBot="1" x14ac:dyDescent="0.3">
      <c r="A423" s="45" t="s">
        <v>68</v>
      </c>
      <c r="F423"/>
    </row>
    <row r="424" spans="1:6" ht="15.75" thickBot="1" x14ac:dyDescent="0.3">
      <c r="A424" s="45" t="s">
        <v>63</v>
      </c>
      <c r="F424"/>
    </row>
    <row r="425" spans="1:6" ht="15.75" thickBot="1" x14ac:dyDescent="0.3">
      <c r="A425" s="45" t="s">
        <v>66</v>
      </c>
      <c r="F425"/>
    </row>
    <row r="426" spans="1:6" ht="15.75" thickBot="1" x14ac:dyDescent="0.3">
      <c r="A426" s="45" t="s">
        <v>65</v>
      </c>
      <c r="F426"/>
    </row>
    <row r="427" spans="1:6" ht="15.75" thickBot="1" x14ac:dyDescent="0.3">
      <c r="A427" s="45" t="s">
        <v>63</v>
      </c>
      <c r="F427"/>
    </row>
    <row r="428" spans="1:6" ht="15.75" thickBot="1" x14ac:dyDescent="0.3">
      <c r="A428" s="45" t="s">
        <v>68</v>
      </c>
      <c r="F428"/>
    </row>
    <row r="429" spans="1:6" ht="15.75" thickBot="1" x14ac:dyDescent="0.3">
      <c r="A429" s="45" t="s">
        <v>63</v>
      </c>
      <c r="F429"/>
    </row>
    <row r="430" spans="1:6" ht="15.75" thickBot="1" x14ac:dyDescent="0.3">
      <c r="A430" s="45" t="s">
        <v>68</v>
      </c>
      <c r="F430"/>
    </row>
    <row r="431" spans="1:6" ht="15.75" thickBot="1" x14ac:dyDescent="0.3">
      <c r="A431" s="45" t="s">
        <v>66</v>
      </c>
      <c r="F431"/>
    </row>
    <row r="432" spans="1:6" ht="15.75" thickBot="1" x14ac:dyDescent="0.3">
      <c r="A432" s="45" t="s">
        <v>66</v>
      </c>
      <c r="F432"/>
    </row>
    <row r="433" spans="1:6" ht="15.75" thickBot="1" x14ac:dyDescent="0.3">
      <c r="A433" s="45" t="s">
        <v>64</v>
      </c>
      <c r="F433"/>
    </row>
    <row r="434" spans="1:6" ht="15.75" thickBot="1" x14ac:dyDescent="0.3">
      <c r="A434" s="45" t="s">
        <v>64</v>
      </c>
      <c r="F434"/>
    </row>
    <row r="435" spans="1:6" ht="15.75" thickBot="1" x14ac:dyDescent="0.3">
      <c r="A435" s="45" t="s">
        <v>63</v>
      </c>
      <c r="F435"/>
    </row>
    <row r="436" spans="1:6" ht="15.75" thickBot="1" x14ac:dyDescent="0.3">
      <c r="A436" s="45" t="s">
        <v>66</v>
      </c>
      <c r="F436"/>
    </row>
    <row r="437" spans="1:6" ht="15.75" thickBot="1" x14ac:dyDescent="0.3">
      <c r="A437" s="45" t="s">
        <v>65</v>
      </c>
      <c r="F437"/>
    </row>
    <row r="438" spans="1:6" ht="15.75" thickBot="1" x14ac:dyDescent="0.3">
      <c r="A438" s="45" t="s">
        <v>65</v>
      </c>
      <c r="F438"/>
    </row>
    <row r="439" spans="1:6" ht="15.75" thickBot="1" x14ac:dyDescent="0.3">
      <c r="A439" s="45" t="s">
        <v>64</v>
      </c>
      <c r="F439"/>
    </row>
    <row r="440" spans="1:6" ht="15.75" thickBot="1" x14ac:dyDescent="0.3">
      <c r="A440" s="45" t="s">
        <v>67</v>
      </c>
      <c r="F440"/>
    </row>
    <row r="441" spans="1:6" ht="15.75" thickBot="1" x14ac:dyDescent="0.3">
      <c r="A441" s="45" t="s">
        <v>63</v>
      </c>
      <c r="F441"/>
    </row>
    <row r="442" spans="1:6" ht="15.75" thickBot="1" x14ac:dyDescent="0.3">
      <c r="A442" s="45" t="s">
        <v>65</v>
      </c>
      <c r="F442"/>
    </row>
    <row r="443" spans="1:6" ht="15.75" thickBot="1" x14ac:dyDescent="0.3">
      <c r="A443" s="45" t="s">
        <v>63</v>
      </c>
      <c r="F443"/>
    </row>
    <row r="444" spans="1:6" ht="15.75" thickBot="1" x14ac:dyDescent="0.3">
      <c r="A444" s="45" t="s">
        <v>66</v>
      </c>
      <c r="F444"/>
    </row>
    <row r="445" spans="1:6" ht="15.75" thickBot="1" x14ac:dyDescent="0.3">
      <c r="A445" s="45" t="s">
        <v>63</v>
      </c>
      <c r="F445"/>
    </row>
    <row r="446" spans="1:6" ht="15.75" thickBot="1" x14ac:dyDescent="0.3">
      <c r="A446" s="45" t="s">
        <v>64</v>
      </c>
      <c r="F446"/>
    </row>
    <row r="447" spans="1:6" ht="15.75" thickBot="1" x14ac:dyDescent="0.3">
      <c r="A447" s="45" t="s">
        <v>65</v>
      </c>
      <c r="F447"/>
    </row>
    <row r="448" spans="1:6" ht="15.75" thickBot="1" x14ac:dyDescent="0.3">
      <c r="A448" s="45" t="s">
        <v>66</v>
      </c>
      <c r="F448"/>
    </row>
    <row r="449" spans="1:6" ht="15.75" thickBot="1" x14ac:dyDescent="0.3">
      <c r="A449" s="45" t="s">
        <v>67</v>
      </c>
      <c r="F449"/>
    </row>
    <row r="450" spans="1:6" ht="15.75" thickBot="1" x14ac:dyDescent="0.3">
      <c r="A450" s="45" t="s">
        <v>68</v>
      </c>
      <c r="F450"/>
    </row>
    <row r="451" spans="1:6" ht="15.75" thickBot="1" x14ac:dyDescent="0.3">
      <c r="A451" s="45" t="s">
        <v>64</v>
      </c>
      <c r="F451"/>
    </row>
    <row r="452" spans="1:6" ht="15.75" thickBot="1" x14ac:dyDescent="0.3">
      <c r="A452" s="45" t="s">
        <v>63</v>
      </c>
      <c r="F452"/>
    </row>
    <row r="453" spans="1:6" ht="15.75" thickBot="1" x14ac:dyDescent="0.3">
      <c r="A453" s="45" t="s">
        <v>65</v>
      </c>
      <c r="F453"/>
    </row>
    <row r="454" spans="1:6" ht="15.75" thickBot="1" x14ac:dyDescent="0.3">
      <c r="A454" s="45" t="s">
        <v>64</v>
      </c>
      <c r="F454"/>
    </row>
    <row r="455" spans="1:6" ht="15.75" thickBot="1" x14ac:dyDescent="0.3">
      <c r="A455" s="45" t="s">
        <v>64</v>
      </c>
      <c r="F455"/>
    </row>
    <row r="456" spans="1:6" ht="15.75" thickBot="1" x14ac:dyDescent="0.3">
      <c r="A456" s="45" t="s">
        <v>63</v>
      </c>
      <c r="F456"/>
    </row>
    <row r="457" spans="1:6" ht="15.75" thickBot="1" x14ac:dyDescent="0.3">
      <c r="A457" s="45" t="s">
        <v>63</v>
      </c>
      <c r="F457"/>
    </row>
    <row r="458" spans="1:6" ht="15.75" thickBot="1" x14ac:dyDescent="0.3">
      <c r="A458" s="45" t="s">
        <v>68</v>
      </c>
      <c r="F458"/>
    </row>
    <row r="459" spans="1:6" ht="15.75" thickBot="1" x14ac:dyDescent="0.3">
      <c r="A459" s="45" t="s">
        <v>64</v>
      </c>
      <c r="F459"/>
    </row>
    <row r="460" spans="1:6" ht="15.75" thickBot="1" x14ac:dyDescent="0.3">
      <c r="A460" s="45" t="s">
        <v>63</v>
      </c>
      <c r="F460"/>
    </row>
    <row r="461" spans="1:6" ht="15.75" thickBot="1" x14ac:dyDescent="0.3">
      <c r="A461" s="45" t="s">
        <v>63</v>
      </c>
      <c r="F461"/>
    </row>
    <row r="462" spans="1:6" ht="15.75" thickBot="1" x14ac:dyDescent="0.3">
      <c r="A462" s="45" t="s">
        <v>65</v>
      </c>
      <c r="F462"/>
    </row>
    <row r="463" spans="1:6" ht="15.75" thickBot="1" x14ac:dyDescent="0.3">
      <c r="A463" s="45" t="s">
        <v>64</v>
      </c>
      <c r="F463"/>
    </row>
    <row r="464" spans="1:6" ht="15.75" thickBot="1" x14ac:dyDescent="0.3">
      <c r="A464" s="45" t="s">
        <v>66</v>
      </c>
      <c r="F464"/>
    </row>
    <row r="465" spans="1:6" ht="15.75" thickBot="1" x14ac:dyDescent="0.3">
      <c r="A465" s="45" t="s">
        <v>66</v>
      </c>
      <c r="F465"/>
    </row>
    <row r="466" spans="1:6" ht="15.75" thickBot="1" x14ac:dyDescent="0.3">
      <c r="A466" s="45" t="s">
        <v>63</v>
      </c>
      <c r="F466"/>
    </row>
    <row r="467" spans="1:6" ht="15.75" thickBot="1" x14ac:dyDescent="0.3">
      <c r="A467" s="45" t="s">
        <v>68</v>
      </c>
      <c r="F467"/>
    </row>
    <row r="468" spans="1:6" ht="15.75" thickBot="1" x14ac:dyDescent="0.3">
      <c r="A468" s="45" t="s">
        <v>68</v>
      </c>
      <c r="F468"/>
    </row>
    <row r="469" spans="1:6" ht="15.75" thickBot="1" x14ac:dyDescent="0.3">
      <c r="A469" s="45" t="s">
        <v>68</v>
      </c>
      <c r="F469"/>
    </row>
    <row r="470" spans="1:6" ht="15.75" thickBot="1" x14ac:dyDescent="0.3">
      <c r="A470" s="45" t="s">
        <v>63</v>
      </c>
      <c r="F470"/>
    </row>
    <row r="471" spans="1:6" ht="15.75" thickBot="1" x14ac:dyDescent="0.3">
      <c r="A471" s="45" t="s">
        <v>66</v>
      </c>
      <c r="F471"/>
    </row>
    <row r="472" spans="1:6" ht="15.75" thickBot="1" x14ac:dyDescent="0.3">
      <c r="A472" s="45" t="s">
        <v>66</v>
      </c>
      <c r="F472"/>
    </row>
    <row r="473" spans="1:6" ht="15.75" thickBot="1" x14ac:dyDescent="0.3">
      <c r="A473" s="45" t="s">
        <v>63</v>
      </c>
      <c r="F473"/>
    </row>
    <row r="474" spans="1:6" ht="15.75" thickBot="1" x14ac:dyDescent="0.3">
      <c r="A474" s="45" t="s">
        <v>63</v>
      </c>
      <c r="F474"/>
    </row>
    <row r="475" spans="1:6" ht="15.75" thickBot="1" x14ac:dyDescent="0.3">
      <c r="A475" s="45" t="s">
        <v>63</v>
      </c>
      <c r="F475"/>
    </row>
    <row r="476" spans="1:6" ht="15.75" thickBot="1" x14ac:dyDescent="0.3">
      <c r="A476" s="45" t="s">
        <v>64</v>
      </c>
      <c r="F476"/>
    </row>
    <row r="477" spans="1:6" ht="15.75" thickBot="1" x14ac:dyDescent="0.3">
      <c r="A477" s="45" t="s">
        <v>66</v>
      </c>
      <c r="F477"/>
    </row>
    <row r="478" spans="1:6" ht="15.75" thickBot="1" x14ac:dyDescent="0.3">
      <c r="A478" s="45" t="s">
        <v>66</v>
      </c>
      <c r="F478"/>
    </row>
    <row r="479" spans="1:6" ht="15.75" thickBot="1" x14ac:dyDescent="0.3">
      <c r="A479" s="45" t="s">
        <v>66</v>
      </c>
      <c r="F479"/>
    </row>
    <row r="480" spans="1:6" ht="15.75" thickBot="1" x14ac:dyDescent="0.3">
      <c r="A480" s="45" t="s">
        <v>68</v>
      </c>
      <c r="F480"/>
    </row>
    <row r="481" spans="1:6" ht="15.75" thickBot="1" x14ac:dyDescent="0.3">
      <c r="A481" s="45" t="s">
        <v>68</v>
      </c>
      <c r="F481"/>
    </row>
    <row r="482" spans="1:6" ht="15.75" thickBot="1" x14ac:dyDescent="0.3">
      <c r="A482" s="45" t="s">
        <v>68</v>
      </c>
      <c r="F482"/>
    </row>
    <row r="483" spans="1:6" ht="15.75" thickBot="1" x14ac:dyDescent="0.3">
      <c r="A483" s="45" t="s">
        <v>66</v>
      </c>
      <c r="F483"/>
    </row>
    <row r="484" spans="1:6" ht="15.75" thickBot="1" x14ac:dyDescent="0.3">
      <c r="A484" s="45" t="s">
        <v>66</v>
      </c>
      <c r="F484"/>
    </row>
    <row r="485" spans="1:6" ht="15.75" thickBot="1" x14ac:dyDescent="0.3">
      <c r="A485" s="45" t="s">
        <v>63</v>
      </c>
      <c r="F485"/>
    </row>
    <row r="486" spans="1:6" ht="15.75" thickBot="1" x14ac:dyDescent="0.3">
      <c r="A486" s="45" t="s">
        <v>63</v>
      </c>
      <c r="F486"/>
    </row>
    <row r="487" spans="1:6" ht="15.75" thickBot="1" x14ac:dyDescent="0.3">
      <c r="A487" s="45" t="s">
        <v>63</v>
      </c>
      <c r="F487"/>
    </row>
    <row r="488" spans="1:6" ht="15.75" thickBot="1" x14ac:dyDescent="0.3">
      <c r="A488" s="45" t="s">
        <v>64</v>
      </c>
      <c r="F488"/>
    </row>
    <row r="489" spans="1:6" ht="15.75" thickBot="1" x14ac:dyDescent="0.3">
      <c r="A489" s="45" t="s">
        <v>64</v>
      </c>
      <c r="F489"/>
    </row>
    <row r="490" spans="1:6" ht="15.75" thickBot="1" x14ac:dyDescent="0.3">
      <c r="A490" s="45" t="s">
        <v>64</v>
      </c>
      <c r="F490"/>
    </row>
    <row r="491" spans="1:6" ht="15.75" thickBot="1" x14ac:dyDescent="0.3">
      <c r="A491" s="45" t="s">
        <v>64</v>
      </c>
      <c r="F491"/>
    </row>
    <row r="492" spans="1:6" ht="15.75" thickBot="1" x14ac:dyDescent="0.3">
      <c r="A492" s="45" t="s">
        <v>68</v>
      </c>
      <c r="F492"/>
    </row>
    <row r="493" spans="1:6" ht="15.75" thickBot="1" x14ac:dyDescent="0.3">
      <c r="A493" s="45" t="s">
        <v>68</v>
      </c>
      <c r="F493"/>
    </row>
    <row r="494" spans="1:6" ht="15.75" thickBot="1" x14ac:dyDescent="0.3">
      <c r="A494" s="45" t="s">
        <v>68</v>
      </c>
      <c r="F494"/>
    </row>
    <row r="495" spans="1:6" ht="15.75" thickBot="1" x14ac:dyDescent="0.3">
      <c r="A495" s="45" t="s">
        <v>68</v>
      </c>
      <c r="F495"/>
    </row>
    <row r="496" spans="1:6" ht="15.75" thickBot="1" x14ac:dyDescent="0.3">
      <c r="A496" s="45" t="s">
        <v>63</v>
      </c>
      <c r="F496"/>
    </row>
    <row r="497" spans="1:6" ht="15.75" thickBot="1" x14ac:dyDescent="0.3">
      <c r="A497" s="45" t="s">
        <v>63</v>
      </c>
      <c r="F497"/>
    </row>
    <row r="498" spans="1:6" ht="15.75" thickBot="1" x14ac:dyDescent="0.3">
      <c r="A498" s="45" t="s">
        <v>63</v>
      </c>
      <c r="F498"/>
    </row>
    <row r="499" spans="1:6" ht="15.75" thickBot="1" x14ac:dyDescent="0.3">
      <c r="A499" s="45" t="s">
        <v>63</v>
      </c>
      <c r="F499"/>
    </row>
    <row r="500" spans="1:6" ht="15.75" thickBot="1" x14ac:dyDescent="0.3">
      <c r="A500" s="45" t="s">
        <v>68</v>
      </c>
      <c r="F500"/>
    </row>
    <row r="501" spans="1:6" ht="15.75" thickBot="1" x14ac:dyDescent="0.3">
      <c r="A501" s="45" t="s">
        <v>68</v>
      </c>
      <c r="F501"/>
    </row>
    <row r="502" spans="1:6" ht="15.75" thickBot="1" x14ac:dyDescent="0.3">
      <c r="A502" s="45" t="s">
        <v>63</v>
      </c>
      <c r="F502"/>
    </row>
    <row r="503" spans="1:6" ht="15.75" thickBot="1" x14ac:dyDescent="0.3">
      <c r="A503" s="45" t="s">
        <v>64</v>
      </c>
      <c r="F503"/>
    </row>
    <row r="504" spans="1:6" ht="15.75" thickBot="1" x14ac:dyDescent="0.3">
      <c r="A504" s="45" t="s">
        <v>64</v>
      </c>
      <c r="F504"/>
    </row>
    <row r="505" spans="1:6" ht="15.75" thickBot="1" x14ac:dyDescent="0.3">
      <c r="A505" s="45" t="s">
        <v>63</v>
      </c>
      <c r="F505"/>
    </row>
    <row r="506" spans="1:6" ht="15.75" thickBot="1" x14ac:dyDescent="0.3">
      <c r="A506" s="45" t="s">
        <v>64</v>
      </c>
      <c r="F506"/>
    </row>
    <row r="507" spans="1:6" ht="15.75" thickBot="1" x14ac:dyDescent="0.3">
      <c r="A507" s="45" t="s">
        <v>64</v>
      </c>
      <c r="F507"/>
    </row>
    <row r="508" spans="1:6" ht="15.75" thickBot="1" x14ac:dyDescent="0.3">
      <c r="A508" s="45" t="s">
        <v>65</v>
      </c>
      <c r="F508"/>
    </row>
    <row r="509" spans="1:6" ht="15.75" thickBot="1" x14ac:dyDescent="0.3">
      <c r="A509" s="45" t="s">
        <v>64</v>
      </c>
      <c r="F509"/>
    </row>
    <row r="510" spans="1:6" ht="15.75" thickBot="1" x14ac:dyDescent="0.3">
      <c r="A510" s="45" t="s">
        <v>67</v>
      </c>
      <c r="F510"/>
    </row>
    <row r="511" spans="1:6" ht="15.75" thickBot="1" x14ac:dyDescent="0.3">
      <c r="A511" s="45" t="s">
        <v>63</v>
      </c>
      <c r="F511"/>
    </row>
    <row r="512" spans="1:6" ht="15.75" thickBot="1" x14ac:dyDescent="0.3">
      <c r="A512" s="45" t="s">
        <v>65</v>
      </c>
      <c r="F512"/>
    </row>
    <row r="513" spans="1:6" ht="15.75" thickBot="1" x14ac:dyDescent="0.3">
      <c r="A513" s="45" t="s">
        <v>63</v>
      </c>
      <c r="F513"/>
    </row>
    <row r="514" spans="1:6" ht="15.75" thickBot="1" x14ac:dyDescent="0.3">
      <c r="A514" s="45" t="s">
        <v>66</v>
      </c>
      <c r="F514"/>
    </row>
    <row r="515" spans="1:6" ht="15.75" thickBot="1" x14ac:dyDescent="0.3">
      <c r="A515" s="45" t="s">
        <v>63</v>
      </c>
      <c r="F515"/>
    </row>
    <row r="516" spans="1:6" ht="15.75" thickBot="1" x14ac:dyDescent="0.3">
      <c r="A516" s="45" t="s">
        <v>64</v>
      </c>
      <c r="F516"/>
    </row>
    <row r="517" spans="1:6" ht="15.75" thickBot="1" x14ac:dyDescent="0.3">
      <c r="A517" s="45" t="s">
        <v>65</v>
      </c>
      <c r="F517"/>
    </row>
    <row r="518" spans="1:6" ht="15.75" thickBot="1" x14ac:dyDescent="0.3">
      <c r="A518" s="45" t="s">
        <v>66</v>
      </c>
      <c r="F518"/>
    </row>
    <row r="519" spans="1:6" ht="15.75" thickBot="1" x14ac:dyDescent="0.3">
      <c r="A519" s="45" t="s">
        <v>67</v>
      </c>
      <c r="F519"/>
    </row>
    <row r="520" spans="1:6" ht="15.75" thickBot="1" x14ac:dyDescent="0.3">
      <c r="A520" s="45" t="s">
        <v>68</v>
      </c>
      <c r="F520"/>
    </row>
    <row r="521" spans="1:6" ht="15.75" thickBot="1" x14ac:dyDescent="0.3">
      <c r="A521" s="45" t="s">
        <v>64</v>
      </c>
      <c r="F521"/>
    </row>
    <row r="522" spans="1:6" ht="15.75" thickBot="1" x14ac:dyDescent="0.3">
      <c r="A522" s="45" t="s">
        <v>63</v>
      </c>
      <c r="F522"/>
    </row>
    <row r="523" spans="1:6" ht="15.75" thickBot="1" x14ac:dyDescent="0.3">
      <c r="A523" s="45" t="s">
        <v>65</v>
      </c>
      <c r="F523"/>
    </row>
    <row r="524" spans="1:6" ht="15.75" thickBot="1" x14ac:dyDescent="0.3">
      <c r="A524" s="45" t="s">
        <v>64</v>
      </c>
      <c r="F524"/>
    </row>
    <row r="525" spans="1:6" ht="15.75" thickBot="1" x14ac:dyDescent="0.3">
      <c r="A525" s="45" t="s">
        <v>64</v>
      </c>
      <c r="F525"/>
    </row>
    <row r="526" spans="1:6" ht="15.75" thickBot="1" x14ac:dyDescent="0.3">
      <c r="A526" s="45" t="s">
        <v>63</v>
      </c>
      <c r="F526"/>
    </row>
    <row r="527" spans="1:6" ht="15.75" thickBot="1" x14ac:dyDescent="0.3">
      <c r="A527" s="45" t="s">
        <v>63</v>
      </c>
      <c r="F527"/>
    </row>
    <row r="528" spans="1:6" ht="15.75" thickBot="1" x14ac:dyDescent="0.3">
      <c r="A528" s="45" t="s">
        <v>68</v>
      </c>
      <c r="F528"/>
    </row>
    <row r="529" spans="1:6" ht="15.75" thickBot="1" x14ac:dyDescent="0.3">
      <c r="A529" s="45" t="s">
        <v>64</v>
      </c>
      <c r="F529"/>
    </row>
    <row r="530" spans="1:6" ht="15.75" thickBot="1" x14ac:dyDescent="0.3">
      <c r="A530" s="45" t="s">
        <v>63</v>
      </c>
      <c r="F530"/>
    </row>
    <row r="531" spans="1:6" ht="15.75" thickBot="1" x14ac:dyDescent="0.3">
      <c r="A531" s="45" t="s">
        <v>63</v>
      </c>
      <c r="F531"/>
    </row>
    <row r="532" spans="1:6" ht="15.75" thickBot="1" x14ac:dyDescent="0.3">
      <c r="A532" s="45" t="s">
        <v>65</v>
      </c>
      <c r="F532"/>
    </row>
    <row r="533" spans="1:6" ht="15.75" thickBot="1" x14ac:dyDescent="0.3">
      <c r="A533" s="45" t="s">
        <v>64</v>
      </c>
      <c r="F533"/>
    </row>
    <row r="534" spans="1:6" ht="15.75" thickBot="1" x14ac:dyDescent="0.3">
      <c r="A534" s="45" t="s">
        <v>66</v>
      </c>
      <c r="F534"/>
    </row>
    <row r="535" spans="1:6" ht="15.75" thickBot="1" x14ac:dyDescent="0.3">
      <c r="A535" s="45" t="s">
        <v>66</v>
      </c>
      <c r="F535"/>
    </row>
    <row r="536" spans="1:6" ht="15.75" thickBot="1" x14ac:dyDescent="0.3">
      <c r="A536" s="45" t="s">
        <v>63</v>
      </c>
      <c r="F536"/>
    </row>
    <row r="537" spans="1:6" ht="15.75" thickBot="1" x14ac:dyDescent="0.3">
      <c r="A537" s="45" t="s">
        <v>68</v>
      </c>
      <c r="F537"/>
    </row>
    <row r="538" spans="1:6" ht="15.75" thickBot="1" x14ac:dyDescent="0.3">
      <c r="A538" s="45" t="s">
        <v>68</v>
      </c>
      <c r="F538"/>
    </row>
    <row r="539" spans="1:6" ht="15.75" thickBot="1" x14ac:dyDescent="0.3">
      <c r="A539" s="45" t="s">
        <v>68</v>
      </c>
      <c r="F539"/>
    </row>
    <row r="540" spans="1:6" ht="15.75" thickBot="1" x14ac:dyDescent="0.3">
      <c r="A540" s="45" t="s">
        <v>63</v>
      </c>
      <c r="F540"/>
    </row>
    <row r="541" spans="1:6" ht="15.75" thickBot="1" x14ac:dyDescent="0.3">
      <c r="A541" s="45" t="s">
        <v>66</v>
      </c>
      <c r="F541"/>
    </row>
    <row r="542" spans="1:6" ht="15.75" thickBot="1" x14ac:dyDescent="0.3">
      <c r="A542" s="45" t="s">
        <v>66</v>
      </c>
      <c r="F542"/>
    </row>
    <row r="543" spans="1:6" ht="15.75" thickBot="1" x14ac:dyDescent="0.3">
      <c r="A543" s="45" t="s">
        <v>63</v>
      </c>
      <c r="F543"/>
    </row>
    <row r="544" spans="1:6" ht="15.75" thickBot="1" x14ac:dyDescent="0.3">
      <c r="A544" s="45" t="s">
        <v>63</v>
      </c>
      <c r="F544"/>
    </row>
    <row r="545" spans="1:6" ht="15.75" thickBot="1" x14ac:dyDescent="0.3">
      <c r="A545" s="45" t="s">
        <v>63</v>
      </c>
      <c r="F545"/>
    </row>
    <row r="546" spans="1:6" ht="15.75" thickBot="1" x14ac:dyDescent="0.3">
      <c r="A546" s="45" t="s">
        <v>64</v>
      </c>
      <c r="F546"/>
    </row>
    <row r="547" spans="1:6" ht="15.75" thickBot="1" x14ac:dyDescent="0.3">
      <c r="A547" s="45" t="s">
        <v>66</v>
      </c>
      <c r="F547"/>
    </row>
    <row r="548" spans="1:6" ht="15.75" thickBot="1" x14ac:dyDescent="0.3">
      <c r="A548" s="45" t="s">
        <v>66</v>
      </c>
      <c r="F548"/>
    </row>
    <row r="549" spans="1:6" ht="15.75" thickBot="1" x14ac:dyDescent="0.3">
      <c r="A549" s="45" t="s">
        <v>66</v>
      </c>
      <c r="F549"/>
    </row>
    <row r="550" spans="1:6" ht="15.75" thickBot="1" x14ac:dyDescent="0.3">
      <c r="A550" s="45" t="s">
        <v>68</v>
      </c>
      <c r="F550"/>
    </row>
    <row r="551" spans="1:6" ht="15.75" thickBot="1" x14ac:dyDescent="0.3">
      <c r="A551" s="45" t="s">
        <v>68</v>
      </c>
      <c r="F551"/>
    </row>
    <row r="552" spans="1:6" ht="15.75" thickBot="1" x14ac:dyDescent="0.3">
      <c r="A552" s="45" t="s">
        <v>68</v>
      </c>
      <c r="F552"/>
    </row>
    <row r="553" spans="1:6" ht="15.75" thickBot="1" x14ac:dyDescent="0.3">
      <c r="A553" s="45" t="s">
        <v>66</v>
      </c>
      <c r="F553"/>
    </row>
    <row r="554" spans="1:6" ht="15.75" thickBot="1" x14ac:dyDescent="0.3">
      <c r="A554" s="45" t="s">
        <v>66</v>
      </c>
      <c r="F554"/>
    </row>
    <row r="555" spans="1:6" ht="15.75" thickBot="1" x14ac:dyDescent="0.3">
      <c r="A555" s="45" t="s">
        <v>63</v>
      </c>
      <c r="F555"/>
    </row>
    <row r="556" spans="1:6" ht="15.75" thickBot="1" x14ac:dyDescent="0.3">
      <c r="A556" s="45" t="s">
        <v>63</v>
      </c>
      <c r="F556"/>
    </row>
    <row r="557" spans="1:6" ht="15.75" thickBot="1" x14ac:dyDescent="0.3">
      <c r="A557" s="45" t="s">
        <v>63</v>
      </c>
      <c r="F557"/>
    </row>
    <row r="558" spans="1:6" ht="15.75" thickBot="1" x14ac:dyDescent="0.3">
      <c r="A558" s="45" t="s">
        <v>64</v>
      </c>
      <c r="F558"/>
    </row>
    <row r="559" spans="1:6" ht="15.75" thickBot="1" x14ac:dyDescent="0.3">
      <c r="A559" s="45" t="s">
        <v>64</v>
      </c>
      <c r="F559"/>
    </row>
    <row r="560" spans="1:6" ht="15.75" thickBot="1" x14ac:dyDescent="0.3">
      <c r="A560" s="45" t="s">
        <v>64</v>
      </c>
      <c r="F560"/>
    </row>
    <row r="561" spans="1:6" ht="15.75" thickBot="1" x14ac:dyDescent="0.3">
      <c r="A561" s="45" t="s">
        <v>64</v>
      </c>
      <c r="F561"/>
    </row>
    <row r="562" spans="1:6" ht="15.75" thickBot="1" x14ac:dyDescent="0.3">
      <c r="A562" s="45" t="s">
        <v>68</v>
      </c>
      <c r="F562"/>
    </row>
    <row r="563" spans="1:6" ht="15.75" thickBot="1" x14ac:dyDescent="0.3">
      <c r="A563" s="45" t="s">
        <v>68</v>
      </c>
      <c r="F563"/>
    </row>
    <row r="564" spans="1:6" ht="15.75" thickBot="1" x14ac:dyDescent="0.3">
      <c r="A564" s="45" t="s">
        <v>68</v>
      </c>
      <c r="F564"/>
    </row>
    <row r="565" spans="1:6" ht="15.75" thickBot="1" x14ac:dyDescent="0.3">
      <c r="A565" s="45" t="s">
        <v>68</v>
      </c>
      <c r="F565"/>
    </row>
    <row r="566" spans="1:6" ht="15.75" thickBot="1" x14ac:dyDescent="0.3">
      <c r="A566" s="45" t="s">
        <v>63</v>
      </c>
      <c r="F566"/>
    </row>
    <row r="567" spans="1:6" ht="15.75" thickBot="1" x14ac:dyDescent="0.3">
      <c r="A567" s="45" t="s">
        <v>63</v>
      </c>
      <c r="F567"/>
    </row>
    <row r="568" spans="1:6" ht="15.75" thickBot="1" x14ac:dyDescent="0.3">
      <c r="A568" s="45" t="s">
        <v>63</v>
      </c>
      <c r="F568"/>
    </row>
    <row r="569" spans="1:6" ht="15.75" thickBot="1" x14ac:dyDescent="0.3">
      <c r="A569" s="45" t="s">
        <v>63</v>
      </c>
      <c r="F569"/>
    </row>
    <row r="570" spans="1:6" ht="15.75" thickBot="1" x14ac:dyDescent="0.3">
      <c r="A570" s="45" t="s">
        <v>68</v>
      </c>
      <c r="F570"/>
    </row>
    <row r="571" spans="1:6" ht="15.75" thickBot="1" x14ac:dyDescent="0.3">
      <c r="A571" s="45" t="s">
        <v>68</v>
      </c>
      <c r="F571"/>
    </row>
    <row r="572" spans="1:6" ht="15.75" thickBot="1" x14ac:dyDescent="0.3">
      <c r="A572" s="45" t="s">
        <v>63</v>
      </c>
      <c r="F572"/>
    </row>
    <row r="573" spans="1:6" ht="15.75" thickBot="1" x14ac:dyDescent="0.3">
      <c r="A573" s="45" t="s">
        <v>64</v>
      </c>
      <c r="F573"/>
    </row>
    <row r="574" spans="1:6" ht="15.75" thickBot="1" x14ac:dyDescent="0.3">
      <c r="A574" s="45" t="s">
        <v>64</v>
      </c>
      <c r="F574"/>
    </row>
    <row r="575" spans="1:6" ht="15.75" thickBot="1" x14ac:dyDescent="0.3">
      <c r="A575" s="45" t="s">
        <v>63</v>
      </c>
      <c r="F575"/>
    </row>
    <row r="576" spans="1:6" ht="15.75" thickBot="1" x14ac:dyDescent="0.3">
      <c r="A576" s="45" t="s">
        <v>64</v>
      </c>
      <c r="F576"/>
    </row>
    <row r="577" spans="1:6" ht="15.75" thickBot="1" x14ac:dyDescent="0.3">
      <c r="A577" s="45" t="s">
        <v>64</v>
      </c>
      <c r="F577"/>
    </row>
    <row r="578" spans="1:6" ht="15.75" thickBot="1" x14ac:dyDescent="0.3">
      <c r="A578" s="45" t="s">
        <v>65</v>
      </c>
      <c r="F578"/>
    </row>
    <row r="579" spans="1:6" ht="15.75" thickBot="1" x14ac:dyDescent="0.3">
      <c r="A579" s="45" t="s">
        <v>64</v>
      </c>
      <c r="F579"/>
    </row>
    <row r="580" spans="1:6" ht="15.75" thickBot="1" x14ac:dyDescent="0.3">
      <c r="A580" s="45" t="s">
        <v>67</v>
      </c>
      <c r="F580"/>
    </row>
    <row r="581" spans="1:6" ht="15.75" thickBot="1" x14ac:dyDescent="0.3">
      <c r="A581" s="45" t="s">
        <v>63</v>
      </c>
      <c r="F581"/>
    </row>
    <row r="582" spans="1:6" ht="15.75" thickBot="1" x14ac:dyDescent="0.3">
      <c r="A582" s="45" t="s">
        <v>65</v>
      </c>
      <c r="F582"/>
    </row>
    <row r="583" spans="1:6" ht="15.75" thickBot="1" x14ac:dyDescent="0.3">
      <c r="A583" s="45" t="s">
        <v>63</v>
      </c>
      <c r="F583"/>
    </row>
    <row r="584" spans="1:6" ht="15.75" thickBot="1" x14ac:dyDescent="0.3">
      <c r="A584" s="45" t="s">
        <v>66</v>
      </c>
      <c r="F584"/>
    </row>
    <row r="585" spans="1:6" ht="15.75" thickBot="1" x14ac:dyDescent="0.3">
      <c r="A585" s="45" t="s">
        <v>63</v>
      </c>
      <c r="F585"/>
    </row>
    <row r="586" spans="1:6" ht="15.75" thickBot="1" x14ac:dyDescent="0.3">
      <c r="A586" s="45" t="s">
        <v>64</v>
      </c>
      <c r="F586"/>
    </row>
    <row r="587" spans="1:6" ht="15.75" thickBot="1" x14ac:dyDescent="0.3">
      <c r="A587" s="45" t="s">
        <v>65</v>
      </c>
      <c r="F587"/>
    </row>
    <row r="588" spans="1:6" ht="15.75" thickBot="1" x14ac:dyDescent="0.3">
      <c r="A588" s="45" t="s">
        <v>66</v>
      </c>
      <c r="F588"/>
    </row>
    <row r="589" spans="1:6" ht="15.75" thickBot="1" x14ac:dyDescent="0.3">
      <c r="A589" s="45" t="s">
        <v>67</v>
      </c>
      <c r="F589"/>
    </row>
    <row r="590" spans="1:6" ht="15.75" thickBot="1" x14ac:dyDescent="0.3">
      <c r="A590" s="45" t="s">
        <v>68</v>
      </c>
      <c r="F590"/>
    </row>
    <row r="591" spans="1:6" ht="15.75" thickBot="1" x14ac:dyDescent="0.3">
      <c r="A591" s="45" t="s">
        <v>64</v>
      </c>
      <c r="F591"/>
    </row>
    <row r="592" spans="1:6" ht="15.75" thickBot="1" x14ac:dyDescent="0.3">
      <c r="A592" s="45" t="s">
        <v>63</v>
      </c>
      <c r="F592"/>
    </row>
    <row r="593" spans="1:6" ht="15.75" thickBot="1" x14ac:dyDescent="0.3">
      <c r="A593" s="45" t="s">
        <v>65</v>
      </c>
      <c r="F593"/>
    </row>
    <row r="594" spans="1:6" ht="15.75" thickBot="1" x14ac:dyDescent="0.3">
      <c r="A594" s="45" t="s">
        <v>64</v>
      </c>
      <c r="F594"/>
    </row>
    <row r="595" spans="1:6" ht="15.75" thickBot="1" x14ac:dyDescent="0.3">
      <c r="A595" s="45" t="s">
        <v>64</v>
      </c>
      <c r="F595"/>
    </row>
    <row r="596" spans="1:6" ht="15.75" thickBot="1" x14ac:dyDescent="0.3">
      <c r="A596" s="45" t="s">
        <v>63</v>
      </c>
      <c r="F596"/>
    </row>
    <row r="597" spans="1:6" ht="15.75" thickBot="1" x14ac:dyDescent="0.3">
      <c r="A597" s="45" t="s">
        <v>63</v>
      </c>
      <c r="F597"/>
    </row>
    <row r="598" spans="1:6" ht="15.75" thickBot="1" x14ac:dyDescent="0.3">
      <c r="A598" s="45" t="s">
        <v>68</v>
      </c>
      <c r="F598"/>
    </row>
    <row r="599" spans="1:6" ht="15.75" thickBot="1" x14ac:dyDescent="0.3">
      <c r="A599" s="45" t="s">
        <v>64</v>
      </c>
      <c r="F599"/>
    </row>
    <row r="600" spans="1:6" ht="15.75" thickBot="1" x14ac:dyDescent="0.3">
      <c r="A600" s="45" t="s">
        <v>63</v>
      </c>
      <c r="F600"/>
    </row>
    <row r="601" spans="1:6" ht="15.75" thickBot="1" x14ac:dyDescent="0.3">
      <c r="A601" s="45" t="s">
        <v>63</v>
      </c>
      <c r="F601"/>
    </row>
    <row r="602" spans="1:6" ht="15.75" thickBot="1" x14ac:dyDescent="0.3">
      <c r="A602" s="45" t="s">
        <v>65</v>
      </c>
      <c r="F602"/>
    </row>
    <row r="603" spans="1:6" ht="15.75" thickBot="1" x14ac:dyDescent="0.3">
      <c r="A603" s="45" t="s">
        <v>64</v>
      </c>
      <c r="F603"/>
    </row>
    <row r="604" spans="1:6" ht="15.75" thickBot="1" x14ac:dyDescent="0.3">
      <c r="A604" s="45" t="s">
        <v>66</v>
      </c>
      <c r="F604"/>
    </row>
    <row r="605" spans="1:6" ht="15.75" thickBot="1" x14ac:dyDescent="0.3">
      <c r="A605" s="45" t="s">
        <v>66</v>
      </c>
      <c r="F605"/>
    </row>
    <row r="606" spans="1:6" ht="15.75" thickBot="1" x14ac:dyDescent="0.3">
      <c r="A606" s="45" t="s">
        <v>63</v>
      </c>
      <c r="F606"/>
    </row>
    <row r="607" spans="1:6" ht="15.75" thickBot="1" x14ac:dyDescent="0.3">
      <c r="A607" s="45" t="s">
        <v>68</v>
      </c>
      <c r="F607"/>
    </row>
    <row r="608" spans="1:6" ht="15.75" thickBot="1" x14ac:dyDescent="0.3">
      <c r="A608" s="45" t="s">
        <v>68</v>
      </c>
      <c r="F608"/>
    </row>
    <row r="609" spans="1:6" ht="15.75" thickBot="1" x14ac:dyDescent="0.3">
      <c r="A609" s="45" t="s">
        <v>68</v>
      </c>
      <c r="F609"/>
    </row>
    <row r="610" spans="1:6" ht="15.75" thickBot="1" x14ac:dyDescent="0.3">
      <c r="A610" s="45" t="s">
        <v>63</v>
      </c>
      <c r="F610"/>
    </row>
    <row r="611" spans="1:6" ht="15.75" thickBot="1" x14ac:dyDescent="0.3">
      <c r="A611" s="45" t="s">
        <v>66</v>
      </c>
      <c r="F611"/>
    </row>
    <row r="612" spans="1:6" ht="15.75" thickBot="1" x14ac:dyDescent="0.3">
      <c r="A612" s="45" t="s">
        <v>66</v>
      </c>
      <c r="F612"/>
    </row>
    <row r="613" spans="1:6" ht="15.75" thickBot="1" x14ac:dyDescent="0.3">
      <c r="A613" s="45" t="s">
        <v>63</v>
      </c>
      <c r="F613"/>
    </row>
    <row r="614" spans="1:6" ht="15.75" thickBot="1" x14ac:dyDescent="0.3">
      <c r="A614" s="45" t="s">
        <v>63</v>
      </c>
      <c r="F614"/>
    </row>
    <row r="615" spans="1:6" ht="15.75" thickBot="1" x14ac:dyDescent="0.3">
      <c r="A615" s="45" t="s">
        <v>63</v>
      </c>
      <c r="F615"/>
    </row>
    <row r="616" spans="1:6" ht="15.75" thickBot="1" x14ac:dyDescent="0.3">
      <c r="A616" s="45" t="s">
        <v>64</v>
      </c>
      <c r="F616"/>
    </row>
    <row r="617" spans="1:6" ht="15.75" thickBot="1" x14ac:dyDescent="0.3">
      <c r="A617" s="45" t="s">
        <v>66</v>
      </c>
      <c r="F617"/>
    </row>
    <row r="618" spans="1:6" ht="15.75" thickBot="1" x14ac:dyDescent="0.3">
      <c r="A618" s="45" t="s">
        <v>66</v>
      </c>
      <c r="F618"/>
    </row>
    <row r="619" spans="1:6" ht="15.75" thickBot="1" x14ac:dyDescent="0.3">
      <c r="A619" s="45" t="s">
        <v>66</v>
      </c>
      <c r="F619"/>
    </row>
    <row r="620" spans="1:6" ht="15.75" thickBot="1" x14ac:dyDescent="0.3">
      <c r="A620" s="45" t="s">
        <v>68</v>
      </c>
      <c r="F620"/>
    </row>
    <row r="621" spans="1:6" ht="15.75" thickBot="1" x14ac:dyDescent="0.3">
      <c r="A621" s="45" t="s">
        <v>68</v>
      </c>
      <c r="F621"/>
    </row>
    <row r="622" spans="1:6" ht="15.75" thickBot="1" x14ac:dyDescent="0.3">
      <c r="A622" s="45" t="s">
        <v>68</v>
      </c>
      <c r="F622"/>
    </row>
    <row r="623" spans="1:6" ht="15.75" thickBot="1" x14ac:dyDescent="0.3">
      <c r="A623" s="45" t="s">
        <v>66</v>
      </c>
      <c r="F623"/>
    </row>
    <row r="624" spans="1:6" ht="15.75" thickBot="1" x14ac:dyDescent="0.3">
      <c r="A624" s="45" t="s">
        <v>66</v>
      </c>
      <c r="F624"/>
    </row>
    <row r="625" spans="1:6" ht="15.75" thickBot="1" x14ac:dyDescent="0.3">
      <c r="A625" s="45" t="s">
        <v>63</v>
      </c>
      <c r="F625"/>
    </row>
    <row r="626" spans="1:6" ht="15.75" thickBot="1" x14ac:dyDescent="0.3">
      <c r="A626" s="45" t="s">
        <v>63</v>
      </c>
      <c r="F626"/>
    </row>
    <row r="627" spans="1:6" ht="15.75" thickBot="1" x14ac:dyDescent="0.3">
      <c r="A627" s="45" t="s">
        <v>63</v>
      </c>
      <c r="F627"/>
    </row>
    <row r="628" spans="1:6" ht="15.75" thickBot="1" x14ac:dyDescent="0.3">
      <c r="A628" s="45" t="s">
        <v>64</v>
      </c>
      <c r="F628"/>
    </row>
    <row r="629" spans="1:6" ht="15.75" thickBot="1" x14ac:dyDescent="0.3">
      <c r="A629" s="45" t="s">
        <v>64</v>
      </c>
      <c r="F629"/>
    </row>
    <row r="630" spans="1:6" ht="15.75" thickBot="1" x14ac:dyDescent="0.3">
      <c r="A630" s="45" t="s">
        <v>64</v>
      </c>
      <c r="F630"/>
    </row>
    <row r="631" spans="1:6" ht="15.75" thickBot="1" x14ac:dyDescent="0.3">
      <c r="A631" s="45" t="s">
        <v>64</v>
      </c>
      <c r="F631"/>
    </row>
    <row r="632" spans="1:6" ht="15.75" thickBot="1" x14ac:dyDescent="0.3">
      <c r="A632" s="45" t="s">
        <v>68</v>
      </c>
      <c r="F632"/>
    </row>
    <row r="633" spans="1:6" ht="15.75" thickBot="1" x14ac:dyDescent="0.3">
      <c r="A633" s="45" t="s">
        <v>68</v>
      </c>
      <c r="F633"/>
    </row>
    <row r="634" spans="1:6" ht="15.75" thickBot="1" x14ac:dyDescent="0.3">
      <c r="A634" s="45" t="s">
        <v>68</v>
      </c>
      <c r="F634"/>
    </row>
    <row r="635" spans="1:6" ht="15.75" thickBot="1" x14ac:dyDescent="0.3">
      <c r="A635" s="45" t="s">
        <v>68</v>
      </c>
      <c r="F635"/>
    </row>
    <row r="636" spans="1:6" ht="15.75" thickBot="1" x14ac:dyDescent="0.3">
      <c r="A636" s="45" t="s">
        <v>63</v>
      </c>
      <c r="F636"/>
    </row>
    <row r="637" spans="1:6" ht="15.75" thickBot="1" x14ac:dyDescent="0.3">
      <c r="A637" s="45" t="s">
        <v>63</v>
      </c>
      <c r="F637"/>
    </row>
    <row r="638" spans="1:6" ht="15.75" thickBot="1" x14ac:dyDescent="0.3">
      <c r="A638" s="45" t="s">
        <v>63</v>
      </c>
      <c r="F638"/>
    </row>
    <row r="639" spans="1:6" ht="15.75" thickBot="1" x14ac:dyDescent="0.3">
      <c r="A639" s="45" t="s">
        <v>63</v>
      </c>
      <c r="F639"/>
    </row>
    <row r="640" spans="1:6" ht="15.75" thickBot="1" x14ac:dyDescent="0.3">
      <c r="A640" s="45" t="s">
        <v>68</v>
      </c>
      <c r="F640"/>
    </row>
    <row r="641" spans="1:6" ht="15.75" thickBot="1" x14ac:dyDescent="0.3">
      <c r="A641" s="45" t="s">
        <v>68</v>
      </c>
      <c r="F641"/>
    </row>
    <row r="642" spans="1:6" ht="15.75" thickBot="1" x14ac:dyDescent="0.3">
      <c r="A642" s="45" t="s">
        <v>63</v>
      </c>
      <c r="F642"/>
    </row>
    <row r="643" spans="1:6" ht="15.75" thickBot="1" x14ac:dyDescent="0.3">
      <c r="A643" s="45" t="s">
        <v>64</v>
      </c>
      <c r="F643"/>
    </row>
    <row r="644" spans="1:6" ht="15.75" thickBot="1" x14ac:dyDescent="0.3">
      <c r="A644" s="45" t="s">
        <v>65</v>
      </c>
      <c r="F644"/>
    </row>
    <row r="645" spans="1:6" ht="15.75" thickBot="1" x14ac:dyDescent="0.3">
      <c r="A645" s="45" t="s">
        <v>64</v>
      </c>
      <c r="F645"/>
    </row>
    <row r="646" spans="1:6" ht="15.75" thickBot="1" x14ac:dyDescent="0.3">
      <c r="A646" s="45" t="s">
        <v>67</v>
      </c>
      <c r="F646"/>
    </row>
    <row r="647" spans="1:6" ht="15.75" thickBot="1" x14ac:dyDescent="0.3">
      <c r="A647" s="45" t="s">
        <v>63</v>
      </c>
      <c r="F647"/>
    </row>
    <row r="648" spans="1:6" ht="15.75" thickBot="1" x14ac:dyDescent="0.3">
      <c r="A648" s="45" t="s">
        <v>65</v>
      </c>
      <c r="F648"/>
    </row>
    <row r="649" spans="1:6" ht="15.75" thickBot="1" x14ac:dyDescent="0.3">
      <c r="A649" s="45" t="s">
        <v>63</v>
      </c>
      <c r="F649"/>
    </row>
    <row r="650" spans="1:6" ht="15.75" thickBot="1" x14ac:dyDescent="0.3">
      <c r="A650" s="45" t="s">
        <v>66</v>
      </c>
      <c r="F650"/>
    </row>
    <row r="651" spans="1:6" ht="15.75" thickBot="1" x14ac:dyDescent="0.3">
      <c r="A651" s="45" t="s">
        <v>63</v>
      </c>
      <c r="F651"/>
    </row>
    <row r="652" spans="1:6" ht="15.75" thickBot="1" x14ac:dyDescent="0.3">
      <c r="A652" s="45" t="s">
        <v>64</v>
      </c>
      <c r="F652"/>
    </row>
    <row r="653" spans="1:6" ht="15.75" thickBot="1" x14ac:dyDescent="0.3">
      <c r="A653" s="45" t="s">
        <v>65</v>
      </c>
      <c r="F653"/>
    </row>
    <row r="654" spans="1:6" ht="15.75" thickBot="1" x14ac:dyDescent="0.3">
      <c r="A654" s="45" t="s">
        <v>66</v>
      </c>
      <c r="F654"/>
    </row>
    <row r="655" spans="1:6" ht="15.75" thickBot="1" x14ac:dyDescent="0.3">
      <c r="A655" s="45" t="s">
        <v>67</v>
      </c>
      <c r="F655"/>
    </row>
    <row r="656" spans="1:6" ht="15.75" thickBot="1" x14ac:dyDescent="0.3">
      <c r="A656" s="45" t="s">
        <v>68</v>
      </c>
      <c r="F656"/>
    </row>
    <row r="657" spans="1:6" ht="15.75" thickBot="1" x14ac:dyDescent="0.3">
      <c r="A657" s="45" t="s">
        <v>64</v>
      </c>
      <c r="F657"/>
    </row>
    <row r="658" spans="1:6" ht="15.75" thickBot="1" x14ac:dyDescent="0.3">
      <c r="A658" s="45" t="s">
        <v>63</v>
      </c>
      <c r="F658"/>
    </row>
    <row r="659" spans="1:6" ht="15.75" thickBot="1" x14ac:dyDescent="0.3">
      <c r="A659" s="45" t="s">
        <v>65</v>
      </c>
      <c r="F659"/>
    </row>
    <row r="660" spans="1:6" ht="15.75" thickBot="1" x14ac:dyDescent="0.3">
      <c r="A660" s="45" t="s">
        <v>64</v>
      </c>
      <c r="F660"/>
    </row>
    <row r="661" spans="1:6" ht="15.75" thickBot="1" x14ac:dyDescent="0.3">
      <c r="A661" s="45" t="s">
        <v>64</v>
      </c>
      <c r="F661"/>
    </row>
    <row r="662" spans="1:6" ht="15.75" thickBot="1" x14ac:dyDescent="0.3">
      <c r="A662" s="45" t="s">
        <v>63</v>
      </c>
      <c r="F662"/>
    </row>
    <row r="663" spans="1:6" ht="15.75" thickBot="1" x14ac:dyDescent="0.3">
      <c r="A663" s="45" t="s">
        <v>63</v>
      </c>
      <c r="F663"/>
    </row>
    <row r="664" spans="1:6" ht="15.75" thickBot="1" x14ac:dyDescent="0.3">
      <c r="A664" s="45" t="s">
        <v>68</v>
      </c>
      <c r="F664"/>
    </row>
    <row r="665" spans="1:6" ht="15.75" thickBot="1" x14ac:dyDescent="0.3">
      <c r="A665" s="45" t="s">
        <v>64</v>
      </c>
      <c r="F665"/>
    </row>
    <row r="666" spans="1:6" ht="15.75" thickBot="1" x14ac:dyDescent="0.3">
      <c r="A666" s="45" t="s">
        <v>63</v>
      </c>
      <c r="F666"/>
    </row>
    <row r="667" spans="1:6" ht="15.75" thickBot="1" x14ac:dyDescent="0.3">
      <c r="A667" s="45" t="s">
        <v>63</v>
      </c>
      <c r="F667"/>
    </row>
    <row r="668" spans="1:6" ht="15.75" thickBot="1" x14ac:dyDescent="0.3">
      <c r="A668" s="45" t="s">
        <v>65</v>
      </c>
      <c r="F668"/>
    </row>
    <row r="669" spans="1:6" ht="15.75" thickBot="1" x14ac:dyDescent="0.3">
      <c r="A669" s="45" t="s">
        <v>64</v>
      </c>
      <c r="F669"/>
    </row>
    <row r="670" spans="1:6" ht="15.75" thickBot="1" x14ac:dyDescent="0.3">
      <c r="A670" s="45" t="s">
        <v>66</v>
      </c>
      <c r="F670"/>
    </row>
    <row r="671" spans="1:6" ht="15.75" thickBot="1" x14ac:dyDescent="0.3">
      <c r="A671" s="45" t="s">
        <v>66</v>
      </c>
      <c r="F671"/>
    </row>
    <row r="672" spans="1:6" ht="15.75" thickBot="1" x14ac:dyDescent="0.3">
      <c r="A672" s="45" t="s">
        <v>63</v>
      </c>
      <c r="F672"/>
    </row>
    <row r="673" spans="1:6" ht="15.75" thickBot="1" x14ac:dyDescent="0.3">
      <c r="A673" s="45" t="s">
        <v>68</v>
      </c>
      <c r="F673"/>
    </row>
    <row r="674" spans="1:6" ht="15.75" thickBot="1" x14ac:dyDescent="0.3">
      <c r="A674" s="45" t="s">
        <v>68</v>
      </c>
      <c r="F674"/>
    </row>
    <row r="675" spans="1:6" ht="15.75" thickBot="1" x14ac:dyDescent="0.3">
      <c r="A675" s="45" t="s">
        <v>68</v>
      </c>
      <c r="F675"/>
    </row>
    <row r="676" spans="1:6" ht="15.75" thickBot="1" x14ac:dyDescent="0.3">
      <c r="A676" s="45" t="s">
        <v>63</v>
      </c>
      <c r="F676"/>
    </row>
    <row r="677" spans="1:6" ht="15.75" thickBot="1" x14ac:dyDescent="0.3">
      <c r="A677" s="45" t="s">
        <v>66</v>
      </c>
      <c r="F677"/>
    </row>
    <row r="678" spans="1:6" ht="15.75" thickBot="1" x14ac:dyDescent="0.3">
      <c r="A678" s="45" t="s">
        <v>66</v>
      </c>
      <c r="F678"/>
    </row>
    <row r="679" spans="1:6" ht="15.75" thickBot="1" x14ac:dyDescent="0.3">
      <c r="A679" s="45" t="s">
        <v>63</v>
      </c>
      <c r="F679"/>
    </row>
    <row r="680" spans="1:6" ht="15.75" thickBot="1" x14ac:dyDescent="0.3">
      <c r="A680" s="45" t="s">
        <v>63</v>
      </c>
      <c r="F680"/>
    </row>
    <row r="681" spans="1:6" ht="15.75" thickBot="1" x14ac:dyDescent="0.3">
      <c r="A681" s="45" t="s">
        <v>63</v>
      </c>
      <c r="F681"/>
    </row>
    <row r="682" spans="1:6" ht="15.75" thickBot="1" x14ac:dyDescent="0.3">
      <c r="A682" s="45" t="s">
        <v>64</v>
      </c>
      <c r="F682"/>
    </row>
    <row r="683" spans="1:6" ht="15.75" thickBot="1" x14ac:dyDescent="0.3">
      <c r="A683" s="45" t="s">
        <v>66</v>
      </c>
      <c r="F683"/>
    </row>
    <row r="684" spans="1:6" ht="15.75" thickBot="1" x14ac:dyDescent="0.3">
      <c r="A684" s="45" t="s">
        <v>66</v>
      </c>
      <c r="F684"/>
    </row>
    <row r="685" spans="1:6" ht="15.75" thickBot="1" x14ac:dyDescent="0.3">
      <c r="A685" s="45" t="s">
        <v>66</v>
      </c>
      <c r="F685"/>
    </row>
    <row r="686" spans="1:6" ht="15.75" thickBot="1" x14ac:dyDescent="0.3">
      <c r="A686" s="45" t="s">
        <v>68</v>
      </c>
      <c r="F686"/>
    </row>
    <row r="687" spans="1:6" ht="15.75" thickBot="1" x14ac:dyDescent="0.3">
      <c r="A687" s="45" t="s">
        <v>68</v>
      </c>
      <c r="F687"/>
    </row>
    <row r="688" spans="1:6" ht="15.75" thickBot="1" x14ac:dyDescent="0.3">
      <c r="A688" s="45" t="s">
        <v>68</v>
      </c>
      <c r="F688"/>
    </row>
    <row r="689" spans="1:6" ht="15.75" thickBot="1" x14ac:dyDescent="0.3">
      <c r="A689" s="45" t="s">
        <v>66</v>
      </c>
      <c r="F689"/>
    </row>
    <row r="690" spans="1:6" ht="15.75" thickBot="1" x14ac:dyDescent="0.3">
      <c r="A690" s="45" t="s">
        <v>66</v>
      </c>
      <c r="F690"/>
    </row>
    <row r="691" spans="1:6" ht="15.75" thickBot="1" x14ac:dyDescent="0.3">
      <c r="A691" s="45" t="s">
        <v>63</v>
      </c>
      <c r="F691"/>
    </row>
    <row r="692" spans="1:6" ht="15.75" thickBot="1" x14ac:dyDescent="0.3">
      <c r="A692" s="45" t="s">
        <v>63</v>
      </c>
      <c r="F692"/>
    </row>
    <row r="693" spans="1:6" ht="15.75" thickBot="1" x14ac:dyDescent="0.3">
      <c r="A693" s="45" t="s">
        <v>63</v>
      </c>
      <c r="F693"/>
    </row>
    <row r="694" spans="1:6" ht="15.75" thickBot="1" x14ac:dyDescent="0.3">
      <c r="A694" s="45" t="s">
        <v>64</v>
      </c>
      <c r="F694"/>
    </row>
    <row r="695" spans="1:6" ht="15.75" thickBot="1" x14ac:dyDescent="0.3">
      <c r="A695" s="45" t="s">
        <v>64</v>
      </c>
      <c r="F695"/>
    </row>
    <row r="696" spans="1:6" ht="15.75" thickBot="1" x14ac:dyDescent="0.3">
      <c r="A696" s="45" t="s">
        <v>64</v>
      </c>
      <c r="F696"/>
    </row>
    <row r="697" spans="1:6" ht="15.75" thickBot="1" x14ac:dyDescent="0.3">
      <c r="A697" s="45" t="s">
        <v>64</v>
      </c>
      <c r="F697"/>
    </row>
    <row r="698" spans="1:6" ht="15.75" thickBot="1" x14ac:dyDescent="0.3">
      <c r="A698" s="45" t="s">
        <v>68</v>
      </c>
      <c r="F698"/>
    </row>
    <row r="699" spans="1:6" ht="15.75" thickBot="1" x14ac:dyDescent="0.3">
      <c r="A699" s="45" t="s">
        <v>68</v>
      </c>
      <c r="F699"/>
    </row>
    <row r="700" spans="1:6" ht="15.75" thickBot="1" x14ac:dyDescent="0.3">
      <c r="A700" s="45" t="s">
        <v>68</v>
      </c>
      <c r="F700"/>
    </row>
    <row r="701" spans="1:6" ht="15.75" thickBot="1" x14ac:dyDescent="0.3">
      <c r="A701" s="45" t="s">
        <v>68</v>
      </c>
      <c r="F701"/>
    </row>
    <row r="702" spans="1:6" ht="15.75" thickBot="1" x14ac:dyDescent="0.3">
      <c r="A702" s="45" t="s">
        <v>63</v>
      </c>
      <c r="F702"/>
    </row>
    <row r="703" spans="1:6" ht="15.75" thickBot="1" x14ac:dyDescent="0.3">
      <c r="A703" s="45" t="s">
        <v>63</v>
      </c>
      <c r="F703"/>
    </row>
    <row r="704" spans="1:6" ht="15.75" thickBot="1" x14ac:dyDescent="0.3">
      <c r="A704" s="45" t="s">
        <v>63</v>
      </c>
      <c r="F704"/>
    </row>
    <row r="705" spans="1:6" ht="15.75" thickBot="1" x14ac:dyDescent="0.3">
      <c r="A705" s="45" t="s">
        <v>68</v>
      </c>
      <c r="F705"/>
    </row>
    <row r="706" spans="1:6" ht="15.75" thickBot="1" x14ac:dyDescent="0.3">
      <c r="A706" s="45" t="s">
        <v>68</v>
      </c>
      <c r="F706"/>
    </row>
    <row r="707" spans="1:6" ht="15.75" thickBot="1" x14ac:dyDescent="0.3">
      <c r="A707" s="45" t="s">
        <v>63</v>
      </c>
      <c r="F707"/>
    </row>
    <row r="708" spans="1:6" ht="15.75" thickBot="1" x14ac:dyDescent="0.3">
      <c r="A708" s="45" t="s">
        <v>64</v>
      </c>
      <c r="F708"/>
    </row>
    <row r="709" spans="1:6" ht="15.75" thickBot="1" x14ac:dyDescent="0.3">
      <c r="A709" s="45" t="s">
        <v>64</v>
      </c>
      <c r="F709"/>
    </row>
    <row r="710" spans="1:6" ht="15.75" thickBot="1" x14ac:dyDescent="0.3">
      <c r="A710" s="45" t="s">
        <v>63</v>
      </c>
      <c r="F710"/>
    </row>
    <row r="711" spans="1:6" ht="15.75" thickBot="1" x14ac:dyDescent="0.3">
      <c r="A711" s="45" t="s">
        <v>64</v>
      </c>
      <c r="F711"/>
    </row>
    <row r="712" spans="1:6" ht="15.75" thickBot="1" x14ac:dyDescent="0.3">
      <c r="A712" s="45" t="s">
        <v>64</v>
      </c>
      <c r="F712"/>
    </row>
    <row r="713" spans="1:6" ht="15.75" thickBot="1" x14ac:dyDescent="0.3">
      <c r="A713" s="45" t="s">
        <v>63</v>
      </c>
      <c r="F713"/>
    </row>
    <row r="714" spans="1:6" ht="15.75" thickBot="1" x14ac:dyDescent="0.3">
      <c r="A714" s="45" t="s">
        <v>64</v>
      </c>
      <c r="F714"/>
    </row>
    <row r="715" spans="1:6" ht="15.75" thickBot="1" x14ac:dyDescent="0.3">
      <c r="A715" s="45" t="s">
        <v>64</v>
      </c>
      <c r="F715"/>
    </row>
    <row r="716" spans="1:6" ht="15.75" thickBot="1" x14ac:dyDescent="0.3">
      <c r="A716" s="45" t="s">
        <v>63</v>
      </c>
      <c r="F716"/>
    </row>
    <row r="717" spans="1:6" ht="15.75" thickBot="1" x14ac:dyDescent="0.3">
      <c r="A717" s="45" t="s">
        <v>64</v>
      </c>
      <c r="F717"/>
    </row>
    <row r="718" spans="1:6" ht="15.75" thickBot="1" x14ac:dyDescent="0.3">
      <c r="A718" s="45" t="s">
        <v>64</v>
      </c>
      <c r="F718"/>
    </row>
    <row r="719" spans="1:6" ht="15.75" thickBot="1" x14ac:dyDescent="0.3">
      <c r="A719" s="45" t="s">
        <v>63</v>
      </c>
      <c r="F719"/>
    </row>
    <row r="720" spans="1:6" ht="15.75" thickBot="1" x14ac:dyDescent="0.3">
      <c r="A720" s="45" t="s">
        <v>64</v>
      </c>
      <c r="F720"/>
    </row>
    <row r="721" spans="1:6" ht="15.75" thickBot="1" x14ac:dyDescent="0.3">
      <c r="A721" s="45" t="s">
        <v>64</v>
      </c>
      <c r="F721"/>
    </row>
    <row r="722" spans="1:6" ht="15.75" thickBot="1" x14ac:dyDescent="0.3">
      <c r="A722" s="45" t="s">
        <v>63</v>
      </c>
      <c r="F722"/>
    </row>
    <row r="723" spans="1:6" ht="15.75" thickBot="1" x14ac:dyDescent="0.3">
      <c r="A723" s="45" t="s">
        <v>64</v>
      </c>
      <c r="F723"/>
    </row>
    <row r="724" spans="1:6" ht="15.75" thickBot="1" x14ac:dyDescent="0.3">
      <c r="A724" s="45" t="s">
        <v>64</v>
      </c>
      <c r="F724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4:H15"/>
  <sheetViews>
    <sheetView zoomScale="140" zoomScaleNormal="140" workbookViewId="0">
      <selection activeCell="C15" sqref="C15"/>
    </sheetView>
  </sheetViews>
  <sheetFormatPr defaultRowHeight="15" x14ac:dyDescent="0.25"/>
  <cols>
    <col min="2" max="3" width="10.28515625" bestFit="1" customWidth="1"/>
    <col min="4" max="4" width="9.85546875" bestFit="1" customWidth="1"/>
  </cols>
  <sheetData>
    <row r="4" spans="2:8" x14ac:dyDescent="0.25">
      <c r="B4" s="6" t="s">
        <v>73</v>
      </c>
      <c r="C4" s="69" t="s">
        <v>74</v>
      </c>
      <c r="D4" s="69"/>
      <c r="E4" s="69"/>
      <c r="F4" s="69"/>
      <c r="G4" s="69"/>
      <c r="H4" s="69"/>
    </row>
    <row r="5" spans="2:8" x14ac:dyDescent="0.25">
      <c r="B5" s="6" t="s">
        <v>75</v>
      </c>
      <c r="C5" s="6">
        <v>12</v>
      </c>
      <c r="D5" s="6">
        <v>16</v>
      </c>
      <c r="E5" s="6">
        <v>28</v>
      </c>
      <c r="F5" s="6">
        <v>50</v>
      </c>
      <c r="G5" s="6">
        <v>99</v>
      </c>
      <c r="H5" s="6">
        <v>63</v>
      </c>
    </row>
    <row r="6" spans="2:8" x14ac:dyDescent="0.25">
      <c r="B6" s="6" t="s">
        <v>76</v>
      </c>
      <c r="C6" s="6">
        <v>26</v>
      </c>
      <c r="D6" s="6">
        <v>29</v>
      </c>
      <c r="E6" s="6">
        <v>23</v>
      </c>
      <c r="F6" s="6">
        <v>24</v>
      </c>
      <c r="G6" s="6">
        <v>15</v>
      </c>
      <c r="H6" s="6">
        <v>14</v>
      </c>
    </row>
    <row r="7" spans="2:8" x14ac:dyDescent="0.25">
      <c r="B7" s="6" t="s">
        <v>71</v>
      </c>
      <c r="C7" s="6">
        <v>1</v>
      </c>
      <c r="D7" s="6">
        <v>5</v>
      </c>
      <c r="E7" s="6">
        <v>6</v>
      </c>
      <c r="F7" s="6">
        <v>17</v>
      </c>
      <c r="G7" s="6">
        <v>3</v>
      </c>
      <c r="H7" s="6">
        <v>2</v>
      </c>
    </row>
    <row r="8" spans="2:8" x14ac:dyDescent="0.25">
      <c r="B8" s="6" t="s">
        <v>77</v>
      </c>
      <c r="C8" s="6">
        <v>100</v>
      </c>
      <c r="D8" s="6">
        <v>4</v>
      </c>
      <c r="E8" s="6">
        <v>8</v>
      </c>
      <c r="F8" s="6">
        <v>9</v>
      </c>
      <c r="G8" s="6">
        <v>55</v>
      </c>
      <c r="H8" s="6">
        <v>66</v>
      </c>
    </row>
    <row r="9" spans="2:8" x14ac:dyDescent="0.25">
      <c r="B9" s="6" t="s">
        <v>72</v>
      </c>
      <c r="C9" s="6">
        <v>77</v>
      </c>
      <c r="D9" s="6">
        <v>76</v>
      </c>
      <c r="E9" s="6">
        <v>78</v>
      </c>
      <c r="F9" s="6">
        <v>33</v>
      </c>
      <c r="G9" s="6">
        <v>27</v>
      </c>
      <c r="H9" s="6">
        <v>43</v>
      </c>
    </row>
    <row r="11" spans="2:8" x14ac:dyDescent="0.25">
      <c r="D11" s="17" t="s">
        <v>108</v>
      </c>
    </row>
    <row r="14" spans="2:8" x14ac:dyDescent="0.25">
      <c r="C14" s="8" t="s">
        <v>78</v>
      </c>
      <c r="D14" s="8" t="s">
        <v>73</v>
      </c>
    </row>
    <row r="15" spans="2:8" x14ac:dyDescent="0.25">
      <c r="C15" s="46">
        <v>12</v>
      </c>
      <c r="D15" s="51" t="str">
        <f t="array" aca="1" ref="D15" ca="1">OFFSET($B$4,SUMPRODUCT((C5:H9=C15)*(ROW(B5:B9)-4)),0)</f>
        <v>Delhi</v>
      </c>
    </row>
  </sheetData>
  <mergeCells count="1">
    <mergeCell ref="C4:H4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H27"/>
  <sheetViews>
    <sheetView workbookViewId="0">
      <selection activeCell="L18" sqref="L18"/>
    </sheetView>
  </sheetViews>
  <sheetFormatPr defaultRowHeight="15" x14ac:dyDescent="0.25"/>
  <cols>
    <col min="1" max="6" width="10" customWidth="1"/>
  </cols>
  <sheetData>
    <row r="1" spans="1:8" x14ac:dyDescent="0.25">
      <c r="A1" s="48" t="s">
        <v>14</v>
      </c>
      <c r="B1" s="48" t="s">
        <v>149</v>
      </c>
      <c r="C1" s="48" t="s">
        <v>73</v>
      </c>
      <c r="D1" s="48" t="s">
        <v>150</v>
      </c>
      <c r="E1" s="19"/>
      <c r="F1" s="19"/>
    </row>
    <row r="2" spans="1:8" x14ac:dyDescent="0.25">
      <c r="A2" s="48" t="s">
        <v>151</v>
      </c>
      <c r="B2" s="48">
        <v>111</v>
      </c>
      <c r="C2" s="48" t="s">
        <v>75</v>
      </c>
      <c r="D2" s="48">
        <v>5000</v>
      </c>
      <c r="E2" s="19"/>
      <c r="F2" s="19"/>
    </row>
    <row r="3" spans="1:8" x14ac:dyDescent="0.25">
      <c r="A3" s="48" t="s">
        <v>152</v>
      </c>
      <c r="B3" s="48">
        <v>222</v>
      </c>
      <c r="C3" s="48" t="s">
        <v>135</v>
      </c>
      <c r="D3" s="48">
        <v>10000</v>
      </c>
      <c r="E3" s="19"/>
      <c r="F3" s="19"/>
    </row>
    <row r="4" spans="1:8" x14ac:dyDescent="0.25">
      <c r="A4" s="48" t="s">
        <v>153</v>
      </c>
      <c r="B4" s="48">
        <v>333</v>
      </c>
      <c r="C4" s="48" t="s">
        <v>154</v>
      </c>
      <c r="D4" s="48">
        <v>12000</v>
      </c>
      <c r="E4" s="19"/>
      <c r="F4" s="19"/>
    </row>
    <row r="5" spans="1:8" x14ac:dyDescent="0.25">
      <c r="A5" s="48" t="s">
        <v>155</v>
      </c>
      <c r="B5" s="48">
        <v>444</v>
      </c>
      <c r="C5" s="48" t="s">
        <v>156</v>
      </c>
      <c r="D5" s="48">
        <v>4000</v>
      </c>
      <c r="E5" s="19"/>
      <c r="F5" s="19"/>
    </row>
    <row r="6" spans="1:8" x14ac:dyDescent="0.25">
      <c r="A6" s="19"/>
      <c r="B6" s="19"/>
      <c r="C6" s="19"/>
      <c r="D6" s="19"/>
      <c r="E6" s="19"/>
      <c r="F6" s="19"/>
    </row>
    <row r="7" spans="1:8" x14ac:dyDescent="0.25">
      <c r="A7" s="19"/>
      <c r="B7" s="19"/>
      <c r="C7" s="19"/>
      <c r="D7" s="19"/>
      <c r="E7" s="19"/>
      <c r="F7" s="19"/>
      <c r="H7" s="17" t="s">
        <v>157</v>
      </c>
    </row>
    <row r="8" spans="1:8" x14ac:dyDescent="0.25">
      <c r="A8" s="19"/>
      <c r="B8" s="19"/>
      <c r="C8" s="19"/>
      <c r="D8" s="19"/>
      <c r="E8" s="56" t="str">
        <f t="array" aca="1" ref="E8" ca="1">OFFSET($A$1,IF(MOD(ROW(A1),4)=0,4,MOD(ROW(A1),4)),(CEILING(ROW(A1),4)/4)-1)</f>
        <v>N</v>
      </c>
      <c r="F8" s="19"/>
    </row>
    <row r="9" spans="1:8" x14ac:dyDescent="0.25">
      <c r="A9" s="19"/>
      <c r="B9" s="19"/>
      <c r="C9" s="19"/>
      <c r="D9" s="19"/>
      <c r="E9" s="56" t="str">
        <f t="array" aca="1" ref="E9" ca="1">OFFSET($A$1,IF(MOD(ROW(A2),4)=0,4,MOD(ROW(A2),4)),(CEILING(ROW(A2),4)/4)-1)</f>
        <v>Y</v>
      </c>
      <c r="F9" s="19"/>
      <c r="H9">
        <f>CEILING(ROW(A1),4)</f>
        <v>4</v>
      </c>
    </row>
    <row r="10" spans="1:8" x14ac:dyDescent="0.25">
      <c r="A10" s="19"/>
      <c r="B10" s="19"/>
      <c r="C10" s="19"/>
      <c r="D10" s="19"/>
      <c r="E10" s="56" t="str">
        <f t="array" aca="1" ref="E10" ca="1">OFFSET($A$1,IF(MOD(ROW(A3),4)=0,4,MOD(ROW(A3),4)),(CEILING(ROW(A3),4)/4)-1)</f>
        <v>Z</v>
      </c>
      <c r="F10" s="19"/>
      <c r="H10">
        <f t="shared" ref="H10:H20" si="0">CEILING(ROW(A2),4)</f>
        <v>4</v>
      </c>
    </row>
    <row r="11" spans="1:8" x14ac:dyDescent="0.25">
      <c r="A11" s="19"/>
      <c r="B11" s="19"/>
      <c r="C11" s="19"/>
      <c r="D11" s="19"/>
      <c r="E11" s="56" t="str">
        <f t="array" aca="1" ref="E11" ca="1">OFFSET($A$1,IF(MOD(ROW(A4),4)=0,4,MOD(ROW(A4),4)),(CEILING(ROW(A4),4)/4)-1)</f>
        <v>X</v>
      </c>
      <c r="F11" s="19"/>
      <c r="H11">
        <f t="shared" si="0"/>
        <v>4</v>
      </c>
    </row>
    <row r="12" spans="1:8" x14ac:dyDescent="0.25">
      <c r="A12" s="19"/>
      <c r="B12" s="19"/>
      <c r="C12" s="19"/>
      <c r="D12" s="19"/>
      <c r="E12" s="56">
        <f t="array" aca="1" ref="E12" ca="1">OFFSET($A$1,IF(MOD(ROW(A5),4)=0,4,MOD(ROW(A5),4)),(CEILING(ROW(A5),4)/4)-1)</f>
        <v>111</v>
      </c>
      <c r="F12" s="19"/>
      <c r="H12">
        <f t="shared" si="0"/>
        <v>4</v>
      </c>
    </row>
    <row r="13" spans="1:8" x14ac:dyDescent="0.25">
      <c r="A13" s="19"/>
      <c r="B13" s="19"/>
      <c r="C13" s="19"/>
      <c r="D13" s="19"/>
      <c r="E13" s="56">
        <f t="array" aca="1" ref="E13" ca="1">OFFSET($A$1,IF(MOD(ROW(A6),4)=0,4,MOD(ROW(A6),4)),(CEILING(ROW(A6),4)/4)-1)</f>
        <v>222</v>
      </c>
      <c r="F13" s="19"/>
      <c r="H13">
        <f t="shared" si="0"/>
        <v>8</v>
      </c>
    </row>
    <row r="14" spans="1:8" x14ac:dyDescent="0.25">
      <c r="A14" s="19"/>
      <c r="B14" s="19"/>
      <c r="C14" s="19"/>
      <c r="D14" s="19"/>
      <c r="E14" s="56">
        <f t="array" aca="1" ref="E14" ca="1">OFFSET($A$1,IF(MOD(ROW(A7),4)=0,4,MOD(ROW(A7),4)),(CEILING(ROW(A7),4)/4)-1)</f>
        <v>333</v>
      </c>
      <c r="F14" s="19"/>
      <c r="H14">
        <f t="shared" si="0"/>
        <v>8</v>
      </c>
    </row>
    <row r="15" spans="1:8" x14ac:dyDescent="0.25">
      <c r="A15" s="19"/>
      <c r="B15" s="19"/>
      <c r="C15" s="19"/>
      <c r="D15" s="19"/>
      <c r="E15" s="56">
        <f t="array" aca="1" ref="E15" ca="1">OFFSET($A$1,IF(MOD(ROW(A8),4)=0,4,MOD(ROW(A8),4)),(CEILING(ROW(A8),4)/4)-1)</f>
        <v>444</v>
      </c>
      <c r="F15" s="19"/>
      <c r="H15">
        <f t="shared" si="0"/>
        <v>8</v>
      </c>
    </row>
    <row r="16" spans="1:8" x14ac:dyDescent="0.25">
      <c r="A16" s="19"/>
      <c r="B16" s="19"/>
      <c r="C16" s="19"/>
      <c r="D16" s="19"/>
      <c r="E16" s="56" t="str">
        <f t="array" aca="1" ref="E16" ca="1">OFFSET($A$1,IF(MOD(ROW(A9),4)=0,4,MOD(ROW(A9),4)),(CEILING(ROW(A9),4)/4)-1)</f>
        <v>Delhi</v>
      </c>
      <c r="F16" s="19"/>
      <c r="H16">
        <f t="shared" si="0"/>
        <v>8</v>
      </c>
    </row>
    <row r="17" spans="1:8" x14ac:dyDescent="0.25">
      <c r="A17" s="19"/>
      <c r="B17" s="19"/>
      <c r="C17" s="19"/>
      <c r="D17" s="19"/>
      <c r="E17" s="56" t="str">
        <f t="array" aca="1" ref="E17" ca="1">OFFSET($A$1,IF(MOD(ROW(A10),4)=0,4,MOD(ROW(A10),4)),(CEILING(ROW(A10),4)/4)-1)</f>
        <v>Mumbai</v>
      </c>
      <c r="F17" s="19"/>
      <c r="H17">
        <f t="shared" si="0"/>
        <v>12</v>
      </c>
    </row>
    <row r="18" spans="1:8" x14ac:dyDescent="0.25">
      <c r="A18" s="19"/>
      <c r="B18" s="19"/>
      <c r="C18" s="19"/>
      <c r="D18" s="19"/>
      <c r="E18" s="56" t="str">
        <f t="array" aca="1" ref="E18" ca="1">OFFSET($A$1,IF(MOD(ROW(A11),4)=0,4,MOD(ROW(A11),4)),(CEILING(ROW(A11),4)/4)-1)</f>
        <v>Goa</v>
      </c>
      <c r="F18" s="19"/>
      <c r="H18">
        <f t="shared" si="0"/>
        <v>12</v>
      </c>
    </row>
    <row r="19" spans="1:8" x14ac:dyDescent="0.25">
      <c r="A19" s="19"/>
      <c r="B19" s="19"/>
      <c r="C19" s="19"/>
      <c r="D19" s="19"/>
      <c r="E19" s="56" t="str">
        <f t="array" aca="1" ref="E19" ca="1">OFFSET($A$1,IF(MOD(ROW(A12),4)=0,4,MOD(ROW(A12),4)),(CEILING(ROW(A12),4)/4)-1)</f>
        <v>Punjab</v>
      </c>
      <c r="F19" s="19"/>
      <c r="H19">
        <f t="shared" si="0"/>
        <v>12</v>
      </c>
    </row>
    <row r="20" spans="1:8" x14ac:dyDescent="0.25">
      <c r="A20" s="19"/>
      <c r="B20" s="19"/>
      <c r="C20" s="19"/>
      <c r="D20" s="19"/>
      <c r="E20" s="56">
        <f t="array" aca="1" ref="E20" ca="1">OFFSET($A$1,IF(MOD(ROW(A13),4)=0,4,MOD(ROW(A13),4)),(CEILING(ROW(A13),4)/4)-1)</f>
        <v>5000</v>
      </c>
      <c r="F20" s="19"/>
      <c r="H20">
        <f t="shared" si="0"/>
        <v>12</v>
      </c>
    </row>
    <row r="21" spans="1:8" x14ac:dyDescent="0.25">
      <c r="A21" s="19"/>
      <c r="B21" s="19"/>
      <c r="C21" s="19"/>
      <c r="D21" s="19"/>
      <c r="E21" s="19"/>
      <c r="F21" s="19"/>
    </row>
    <row r="22" spans="1:8" x14ac:dyDescent="0.25">
      <c r="A22" s="19"/>
      <c r="B22" s="19"/>
      <c r="C22" s="19"/>
      <c r="D22" s="19"/>
      <c r="E22" s="19"/>
      <c r="F22" s="19"/>
    </row>
    <row r="23" spans="1:8" x14ac:dyDescent="0.25">
      <c r="A23" s="19"/>
      <c r="B23" s="19"/>
      <c r="C23" s="19"/>
      <c r="D23" s="19"/>
      <c r="E23" s="19"/>
      <c r="F23" s="19"/>
    </row>
    <row r="24" spans="1:8" x14ac:dyDescent="0.25">
      <c r="A24" s="19"/>
      <c r="B24" s="19"/>
      <c r="C24" s="19"/>
      <c r="D24" s="19"/>
      <c r="E24" s="19"/>
      <c r="F24" s="19"/>
    </row>
    <row r="25" spans="1:8" x14ac:dyDescent="0.25">
      <c r="A25" s="19"/>
      <c r="B25" s="19"/>
      <c r="C25" s="19"/>
      <c r="D25" s="19"/>
      <c r="E25" s="19"/>
      <c r="F25" s="19"/>
    </row>
    <row r="26" spans="1:8" x14ac:dyDescent="0.25">
      <c r="A26" s="19"/>
      <c r="B26" s="19"/>
      <c r="C26" s="19"/>
      <c r="D26" s="19"/>
      <c r="E26" s="19"/>
      <c r="F26" s="19"/>
    </row>
    <row r="27" spans="1:8" x14ac:dyDescent="0.25">
      <c r="A27" s="19"/>
      <c r="B27" s="19"/>
      <c r="C27" s="19"/>
      <c r="D27" s="19"/>
      <c r="E27" s="19"/>
      <c r="F27" s="1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C1:G24"/>
  <sheetViews>
    <sheetView workbookViewId="0">
      <selection activeCell="H21" sqref="H21"/>
    </sheetView>
  </sheetViews>
  <sheetFormatPr defaultRowHeight="15" x14ac:dyDescent="0.25"/>
  <sheetData>
    <row r="1" spans="3:7" x14ac:dyDescent="0.25">
      <c r="C1" t="s">
        <v>158</v>
      </c>
    </row>
    <row r="4" spans="3:7" x14ac:dyDescent="0.25">
      <c r="F4" t="s">
        <v>160</v>
      </c>
    </row>
    <row r="5" spans="3:7" x14ac:dyDescent="0.25">
      <c r="C5">
        <f t="array" ref="C5">IF(COUNTIF(C$4:$C4,C4)&lt;MAX(C$4:$C4),C4,MAX(C$4:$C4)+1)</f>
        <v>1</v>
      </c>
    </row>
    <row r="6" spans="3:7" x14ac:dyDescent="0.25">
      <c r="C6">
        <f t="array" ref="C6">IF(COUNTIF(C$4:$C5,C5)&lt;MAX(C$4:$C5),C5,MAX(C$4:$C5)+1)</f>
        <v>2</v>
      </c>
    </row>
    <row r="7" spans="3:7" x14ac:dyDescent="0.25">
      <c r="C7">
        <f t="array" ref="C7">IF(COUNTIF(C$4:$C6,C6)&lt;MAX(C$4:$C6),C6,MAX(C$4:$C6)+1)</f>
        <v>2</v>
      </c>
    </row>
    <row r="8" spans="3:7" x14ac:dyDescent="0.25">
      <c r="C8">
        <f t="array" ref="C8">IF(COUNTIF(C$4:$C7,C7)&lt;MAX(C$4:$C7),C7,MAX(C$4:$C7)+1)</f>
        <v>3</v>
      </c>
    </row>
    <row r="9" spans="3:7" x14ac:dyDescent="0.25">
      <c r="C9">
        <f t="array" ref="C9">IF(COUNTIF(C$4:$C8,C8)&lt;MAX(C$4:$C8),C8,MAX(C$4:$C8)+1)</f>
        <v>3</v>
      </c>
      <c r="G9" s="17" t="s">
        <v>159</v>
      </c>
    </row>
    <row r="10" spans="3:7" x14ac:dyDescent="0.25">
      <c r="C10">
        <f t="array" ref="C10">IF(COUNTIF(C$4:$C9,C9)&lt;MAX(C$4:$C9),C9,MAX(C$4:$C9)+1)</f>
        <v>3</v>
      </c>
    </row>
    <row r="11" spans="3:7" x14ac:dyDescent="0.25">
      <c r="C11">
        <f t="array" ref="C11">IF(COUNTIF(C$4:$C10,C10)&lt;MAX(C$4:$C10),C10,MAX(C$4:$C10)+1)</f>
        <v>4</v>
      </c>
    </row>
    <row r="12" spans="3:7" x14ac:dyDescent="0.25">
      <c r="C12">
        <f t="array" ref="C12">IF(COUNTIF(C$4:$C11,C11)&lt;MAX(C$4:$C11),C11,MAX(C$4:$C11)+1)</f>
        <v>4</v>
      </c>
    </row>
    <row r="13" spans="3:7" x14ac:dyDescent="0.25">
      <c r="C13">
        <f t="array" ref="C13">IF(COUNTIF(C$4:$C12,C12)&lt;MAX(C$4:$C12),C12,MAX(C$4:$C12)+1)</f>
        <v>4</v>
      </c>
    </row>
    <row r="14" spans="3:7" x14ac:dyDescent="0.25">
      <c r="C14">
        <f t="array" ref="C14">IF(COUNTIF(C$4:$C13,C13)&lt;MAX(C$4:$C13),C13,MAX(C$4:$C13)+1)</f>
        <v>4</v>
      </c>
    </row>
    <row r="15" spans="3:7" x14ac:dyDescent="0.25">
      <c r="C15">
        <f t="array" ref="C15">IF(COUNTIF(C$4:$C14,C14)&lt;MAX(C$4:$C14),C14,MAX(C$4:$C14)+1)</f>
        <v>5</v>
      </c>
    </row>
    <row r="16" spans="3:7" x14ac:dyDescent="0.25">
      <c r="C16">
        <f t="array" ref="C16">IF(COUNTIF(C$4:$C15,C15)&lt;MAX(C$4:$C15),C15,MAX(C$4:$C15)+1)</f>
        <v>5</v>
      </c>
    </row>
    <row r="17" spans="3:3" x14ac:dyDescent="0.25">
      <c r="C17">
        <f t="array" ref="C17">IF(COUNTIF(C$4:$C16,C16)&lt;MAX(C$4:$C16),C16,MAX(C$4:$C16)+1)</f>
        <v>5</v>
      </c>
    </row>
    <row r="18" spans="3:3" x14ac:dyDescent="0.25">
      <c r="C18">
        <f t="array" ref="C18">IF(COUNTIF(C$4:$C17,C17)&lt;MAX(C$4:$C17),C17,MAX(C$4:$C17)+1)</f>
        <v>5</v>
      </c>
    </row>
    <row r="19" spans="3:3" x14ac:dyDescent="0.25">
      <c r="C19">
        <f t="array" ref="C19">IF(COUNTIF(C$4:$C18,C18)&lt;MAX(C$4:$C18),C18,MAX(C$4:$C18)+1)</f>
        <v>5</v>
      </c>
    </row>
    <row r="20" spans="3:3" x14ac:dyDescent="0.25">
      <c r="C20">
        <f t="array" ref="C20">IF(COUNTIF(C$4:$C19,C19)&lt;MAX(C$4:$C19),C19,MAX(C$4:$C19)+1)</f>
        <v>6</v>
      </c>
    </row>
    <row r="21" spans="3:3" x14ac:dyDescent="0.25">
      <c r="C21">
        <f t="array" ref="C21">IF(COUNTIF(C$4:$C20,C20)&lt;MAX(C$4:$C20),C20,MAX(C$4:$C20)+1)</f>
        <v>6</v>
      </c>
    </row>
    <row r="22" spans="3:3" x14ac:dyDescent="0.25">
      <c r="C22">
        <f t="array" ref="C22">IF(COUNTIF(C$4:$C21,C21)&lt;MAX(C$4:$C21),C21,MAX(C$4:$C21)+1)</f>
        <v>6</v>
      </c>
    </row>
    <row r="23" spans="3:3" x14ac:dyDescent="0.25">
      <c r="C23">
        <f t="array" ref="C23">IF(COUNTIF(C$4:$C22,C22)&lt;MAX(C$4:$C22),C22,MAX(C$4:$C22)+1)</f>
        <v>6</v>
      </c>
    </row>
    <row r="24" spans="3:3" x14ac:dyDescent="0.25">
      <c r="C24">
        <f t="array" ref="C24">IF(COUNTIF(C$4:$C23,C23)&lt;MAX(C$4:$C23),C23,MAX(C$4:$C23)+1)</f>
        <v>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K16"/>
  <sheetViews>
    <sheetView tabSelected="1" workbookViewId="0">
      <selection activeCell="E10" sqref="E10"/>
    </sheetView>
  </sheetViews>
  <sheetFormatPr defaultRowHeight="15" x14ac:dyDescent="0.25"/>
  <cols>
    <col min="6" max="6" width="16.85546875" customWidth="1"/>
  </cols>
  <sheetData>
    <row r="1" spans="1:11" x14ac:dyDescent="0.25">
      <c r="K1">
        <v>6</v>
      </c>
    </row>
    <row r="3" spans="1:11" x14ac:dyDescent="0.25">
      <c r="D3" s="17" t="s">
        <v>144</v>
      </c>
    </row>
    <row r="4" spans="1:11" x14ac:dyDescent="0.25">
      <c r="A4" s="49" t="s">
        <v>14</v>
      </c>
    </row>
    <row r="5" spans="1:11" x14ac:dyDescent="0.25">
      <c r="A5" s="1" t="s">
        <v>145</v>
      </c>
    </row>
    <row r="6" spans="1:11" x14ac:dyDescent="0.25">
      <c r="A6" s="1" t="s">
        <v>126</v>
      </c>
    </row>
    <row r="7" spans="1:11" x14ac:dyDescent="0.25">
      <c r="A7" s="1" t="s">
        <v>18</v>
      </c>
    </row>
    <row r="8" spans="1:11" x14ac:dyDescent="0.25">
      <c r="A8" s="1" t="s">
        <v>146</v>
      </c>
    </row>
    <row r="9" spans="1:11" x14ac:dyDescent="0.25">
      <c r="A9" s="1" t="s">
        <v>19</v>
      </c>
    </row>
    <row r="10" spans="1:11" x14ac:dyDescent="0.25">
      <c r="A10" s="1" t="s">
        <v>20</v>
      </c>
      <c r="E10" t="s">
        <v>19</v>
      </c>
    </row>
    <row r="11" spans="1:11" x14ac:dyDescent="0.25">
      <c r="A11" s="1" t="s">
        <v>147</v>
      </c>
    </row>
    <row r="12" spans="1:11" x14ac:dyDescent="0.25">
      <c r="A12" s="1" t="s">
        <v>21</v>
      </c>
    </row>
    <row r="13" spans="1:11" x14ac:dyDescent="0.25">
      <c r="A13" s="1" t="s">
        <v>22</v>
      </c>
    </row>
    <row r="14" spans="1:11" x14ac:dyDescent="0.25">
      <c r="A14" s="1" t="s">
        <v>23</v>
      </c>
    </row>
    <row r="15" spans="1:11" x14ac:dyDescent="0.25">
      <c r="A15" s="1" t="s">
        <v>24</v>
      </c>
    </row>
    <row r="16" spans="1:11" x14ac:dyDescent="0.25">
      <c r="A16" s="50" t="s">
        <v>148</v>
      </c>
    </row>
  </sheetData>
  <dataValidations count="1">
    <dataValidation type="list" allowBlank="1" showInputMessage="1" showErrorMessage="1" sqref="E10" xr:uid="{00000000-0002-0000-0E00-000000000000}">
      <formula1>$A$5:$A$16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02" r:id="rId4" name="Drop Down 34">
              <controlPr defaultSize="0" autoLine="0" autoPict="0">
                <anchor moveWithCells="1">
                  <from>
                    <xdr:col>5</xdr:col>
                    <xdr:colOff>828675</xdr:colOff>
                    <xdr:row>6</xdr:row>
                    <xdr:rowOff>180975</xdr:rowOff>
                  </from>
                  <to>
                    <xdr:col>10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Summary_Sheet</vt:lpstr>
      <vt:lpstr>Offset-1</vt:lpstr>
      <vt:lpstr>Offset-2</vt:lpstr>
      <vt:lpstr>Offset-5</vt:lpstr>
      <vt:lpstr>Offset-6</vt:lpstr>
      <vt:lpstr>Images</vt:lpstr>
      <vt:lpstr>Offset-7</vt:lpstr>
      <vt:lpstr>Offset-8</vt:lpstr>
      <vt:lpstr>Offset-9</vt:lpstr>
      <vt:lpstr>Offset-11</vt:lpstr>
      <vt:lpstr>Offset-12</vt:lpstr>
      <vt:lpstr>Offset-15</vt:lpstr>
      <vt:lpstr>Offset-16</vt:lpstr>
      <vt:lpstr>Offset-17</vt:lpstr>
      <vt:lpstr>Offset-18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Nilesh</dc:creator>
  <cp:lastModifiedBy>Data Analyst</cp:lastModifiedBy>
  <dcterms:created xsi:type="dcterms:W3CDTF">2013-07-07T06:48:54Z</dcterms:created>
  <dcterms:modified xsi:type="dcterms:W3CDTF">2021-09-05T17:09:03Z</dcterms:modified>
</cp:coreProperties>
</file>