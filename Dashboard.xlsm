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6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Advance Excel &amp; Mis\2_Dashboard\"/>
    </mc:Choice>
  </mc:AlternateContent>
  <xr:revisionPtr revIDLastSave="0" documentId="13_ncr:1_{93758DE0-C2CD-49DF-83A7-0100B7EF0F52}" xr6:coauthVersionLast="47" xr6:coauthVersionMax="47" xr10:uidLastSave="{00000000-0000-0000-0000-000000000000}"/>
  <bookViews>
    <workbookView minimized="1" xWindow="4365" yWindow="3045" windowWidth="15375" windowHeight="7875" tabRatio="824" activeTab="7" xr2:uid="{00000000-000D-0000-FFFF-FFFF00000000}"/>
  </bookViews>
  <sheets>
    <sheet name="Sheet1" sheetId="15" r:id="rId1"/>
    <sheet name="Pie Chart" sheetId="8" r:id="rId2"/>
    <sheet name="Chart Group" sheetId="13" r:id="rId3"/>
    <sheet name="Line chart Secendry " sheetId="14" r:id="rId4"/>
    <sheet name="Column Chart" sheetId="3" r:id="rId5"/>
    <sheet name="Column Chart With Group" sheetId="4" r:id="rId6"/>
    <sheet name="Column and Line Chart" sheetId="6" r:id="rId7"/>
    <sheet name="Dynamic Chart" sheetId="9" r:id="rId8"/>
    <sheet name="Chart Spacle" sheetId="10" r:id="rId9"/>
  </sheets>
  <definedNames>
    <definedName name="_xlnm._FilterDatabase" localSheetId="4" hidden="1">'Column Chart'!$A$1:$D$43</definedName>
    <definedName name="abc">OFFSET('Chart Spacle'!$Q$1,'Chart Spacle'!$O$2,1,1,'Chart Spacle'!$P$2)</definedName>
    <definedName name="Achi">OFFSET(Tar,0,1)</definedName>
    <definedName name="Combo">IF('Dynamic Chart'!$O$2=1,OFFSET('Dynamic Chart'!$S$2,1,0,COUNTA('Dynamic Chart'!$S$3:$S$10),1),OFFSET('Dynamic Chart'!$S$13,1,0,COUNTA('Dynamic Chart'!$S$14:$S$21),1))</definedName>
    <definedName name="Data">OFFSET('Chart Spacle'!$Q$1,0,1,1,'Chart Spacle'!$P$2)</definedName>
    <definedName name="Delhi">OFFSET('Chart Spacle'!$Q$1,'Chart Spacle'!$O$2,1,1,'Chart Spacle'!$P$2)</definedName>
    <definedName name="Months">OFFSET('Column and Line Chart'!$A$1,1,0,MATCH('Column and Line Chart'!$F$2,'Column and Line Chart'!$A$2:$A$13,0),1)</definedName>
    <definedName name="Player">OFFSET('Column Chart With Group'!$L$4,1,0,COUNTIF('Column Chart With Group'!$L$5:$L$10,"&lt;&gt;0"),1)</definedName>
    <definedName name="Pro">OFFSET(Months,0,1)</definedName>
    <definedName name="Score">OFFSET('Column Chart With Group'!$M$4,1,0,COUNTIF('Column Chart With Group'!$M$5:$M$10,"&lt;&gt;0"),1)</definedName>
    <definedName name="Tar">OFFSET(Pro,0,1)</definedName>
  </definedNames>
  <calcPr calcId="181029"/>
</workbook>
</file>

<file path=xl/calcChain.xml><?xml version="1.0" encoding="utf-8"?>
<calcChain xmlns="http://schemas.openxmlformats.org/spreadsheetml/2006/main">
  <c r="O7" i="10" l="1"/>
  <c r="O5" i="10"/>
  <c r="C23" i="9"/>
  <c r="D23" i="9"/>
  <c r="E23" i="9"/>
  <c r="F23" i="9"/>
  <c r="G23" i="9"/>
  <c r="H23" i="9"/>
  <c r="I23" i="9"/>
  <c r="J23" i="9"/>
  <c r="K23" i="9"/>
  <c r="L23" i="9"/>
  <c r="M23" i="9"/>
  <c r="N23" i="9"/>
  <c r="B23" i="9"/>
  <c r="A24" i="9"/>
  <c r="P16" i="9"/>
  <c r="H2" i="6"/>
  <c r="H3" i="6"/>
  <c r="H4" i="6"/>
  <c r="M5" i="4"/>
  <c r="M6" i="4"/>
  <c r="M7" i="4"/>
  <c r="M8" i="4"/>
  <c r="M9" i="4"/>
  <c r="M10" i="4"/>
  <c r="L6" i="4"/>
  <c r="L7" i="4"/>
  <c r="L8" i="4"/>
  <c r="L9" i="4"/>
  <c r="L10" i="4"/>
  <c r="L5" i="4"/>
  <c r="J1" i="3"/>
  <c r="G16" i="3"/>
  <c r="G17" i="3"/>
  <c r="G18" i="3"/>
  <c r="G15" i="3"/>
  <c r="H6" i="14"/>
  <c r="I6" i="14"/>
  <c r="H7" i="14"/>
  <c r="I7" i="14"/>
  <c r="H8" i="14"/>
  <c r="I8" i="14"/>
  <c r="H9" i="14"/>
  <c r="I9" i="14"/>
  <c r="H10" i="14"/>
  <c r="I10" i="14"/>
  <c r="H11" i="14"/>
  <c r="I11" i="14"/>
  <c r="G7" i="14"/>
  <c r="G8" i="14"/>
  <c r="G9" i="14"/>
  <c r="G10" i="14"/>
  <c r="G11" i="14"/>
  <c r="G6" i="14"/>
  <c r="D9" i="13"/>
  <c r="D10" i="13"/>
  <c r="D11" i="13"/>
  <c r="D12" i="13"/>
  <c r="D13" i="13"/>
  <c r="D14" i="13"/>
  <c r="D15" i="13"/>
  <c r="D16" i="13"/>
  <c r="D17" i="13"/>
  <c r="D18" i="13"/>
  <c r="D19" i="13"/>
  <c r="D8" i="13"/>
  <c r="A11" i="8"/>
  <c r="C11" i="8" s="1"/>
  <c r="B24" i="9" l="1"/>
  <c r="N24" i="9"/>
  <c r="J24" i="9"/>
  <c r="F24" i="9"/>
  <c r="M24" i="9"/>
  <c r="I24" i="9"/>
  <c r="E24" i="9"/>
  <c r="L24" i="9"/>
  <c r="H24" i="9"/>
  <c r="D24" i="9"/>
  <c r="K24" i="9"/>
  <c r="G24" i="9"/>
  <c r="C24" i="9"/>
  <c r="N5" i="4"/>
  <c r="O5" i="4"/>
  <c r="F11" i="8"/>
  <c r="E11" i="8"/>
  <c r="D11" i="8"/>
  <c r="B11" i="8"/>
  <c r="D101" i="14" l="1"/>
  <c r="D100" i="14"/>
  <c r="D99" i="14"/>
  <c r="D98" i="14"/>
  <c r="D97" i="14"/>
  <c r="D96" i="14"/>
  <c r="D95" i="14"/>
  <c r="D94" i="14"/>
  <c r="D93" i="14"/>
  <c r="D92" i="14"/>
  <c r="D91" i="14"/>
  <c r="D90" i="14"/>
  <c r="D89" i="14"/>
  <c r="D88" i="14"/>
  <c r="D87" i="14"/>
  <c r="D86" i="14"/>
  <c r="D85" i="14"/>
  <c r="D84" i="14"/>
  <c r="D83" i="14"/>
  <c r="D82" i="14"/>
  <c r="D81" i="14"/>
  <c r="D80" i="14"/>
  <c r="D79" i="14"/>
  <c r="D78" i="14"/>
  <c r="D77" i="14"/>
  <c r="D76" i="14"/>
  <c r="D75" i="14"/>
  <c r="D74" i="14"/>
  <c r="D73" i="14"/>
  <c r="D72" i="14"/>
  <c r="D71" i="14"/>
  <c r="D70" i="14"/>
  <c r="D69" i="14"/>
  <c r="D68" i="14"/>
  <c r="D67" i="14"/>
  <c r="D66" i="14"/>
  <c r="D65" i="14"/>
  <c r="D64" i="14"/>
  <c r="D63" i="14"/>
  <c r="D62" i="14"/>
  <c r="D61" i="14"/>
  <c r="D60" i="14"/>
  <c r="D59" i="14"/>
  <c r="D58" i="14"/>
  <c r="D57" i="14"/>
  <c r="D56" i="14"/>
  <c r="D55" i="14"/>
  <c r="D54" i="14"/>
  <c r="D53" i="14"/>
  <c r="D52" i="14"/>
  <c r="D51" i="14"/>
  <c r="D50" i="14"/>
  <c r="D49" i="14"/>
  <c r="D48" i="14"/>
  <c r="D47" i="14"/>
  <c r="D46" i="14"/>
  <c r="D45" i="14"/>
  <c r="D44" i="14"/>
  <c r="D43" i="14"/>
  <c r="D42" i="14"/>
  <c r="D41" i="14"/>
  <c r="D40" i="14"/>
  <c r="D39" i="14"/>
  <c r="J11" i="14" s="1"/>
  <c r="D38" i="14"/>
  <c r="J10" i="14" s="1"/>
  <c r="D37" i="14"/>
  <c r="J9" i="14" s="1"/>
  <c r="D36" i="14"/>
  <c r="J8" i="14" s="1"/>
  <c r="D35" i="14"/>
  <c r="J7" i="14" s="1"/>
  <c r="D34" i="14"/>
  <c r="J6" i="14" s="1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D8" i="14"/>
  <c r="D7" i="14"/>
  <c r="D6" i="14"/>
  <c r="D5" i="14"/>
  <c r="D4" i="14"/>
  <c r="D3" i="14"/>
  <c r="D2" i="14"/>
  <c r="V14" i="13"/>
  <c r="E19" i="13" s="1"/>
  <c r="V13" i="13"/>
  <c r="E18" i="13" s="1"/>
  <c r="V12" i="13"/>
  <c r="E17" i="13" s="1"/>
  <c r="V11" i="13"/>
  <c r="E16" i="13" s="1"/>
  <c r="V10" i="13"/>
  <c r="E15" i="13" s="1"/>
  <c r="V9" i="13"/>
  <c r="E14" i="13" s="1"/>
  <c r="V8" i="13"/>
  <c r="E13" i="13" s="1"/>
  <c r="V7" i="13"/>
  <c r="E12" i="13" s="1"/>
  <c r="V6" i="13"/>
  <c r="E11" i="13" s="1"/>
  <c r="V5" i="13"/>
  <c r="E10" i="13" s="1"/>
  <c r="V4" i="13"/>
  <c r="E9" i="13" s="1"/>
  <c r="V3" i="13"/>
  <c r="E8" i="13" s="1"/>
  <c r="D2" i="6" l="1"/>
  <c r="D3" i="6"/>
  <c r="D4" i="6"/>
  <c r="D5" i="6"/>
  <c r="H5" i="6" s="1"/>
  <c r="D6" i="6"/>
  <c r="D7" i="6"/>
  <c r="D8" i="6"/>
  <c r="D9" i="6"/>
  <c r="D10" i="6"/>
  <c r="D11" i="6"/>
  <c r="D12" i="6"/>
  <c r="D13" i="6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F6" i="8"/>
  <c r="E6" i="8"/>
  <c r="D6" i="8"/>
  <c r="C6" i="8"/>
  <c r="B6" i="8"/>
</calcChain>
</file>

<file path=xl/sharedStrings.xml><?xml version="1.0" encoding="utf-8"?>
<sst xmlns="http://schemas.openxmlformats.org/spreadsheetml/2006/main" count="312" uniqueCount="193">
  <si>
    <t>A</t>
  </si>
  <si>
    <t>B</t>
  </si>
  <si>
    <t>C</t>
  </si>
  <si>
    <t>X</t>
  </si>
  <si>
    <t>Y</t>
  </si>
  <si>
    <t>Date</t>
  </si>
  <si>
    <t>Item</t>
  </si>
  <si>
    <t>Colour</t>
  </si>
  <si>
    <t>Units</t>
  </si>
  <si>
    <t>Binder</t>
  </si>
  <si>
    <t>Blue</t>
  </si>
  <si>
    <t>Green</t>
  </si>
  <si>
    <t>Red</t>
  </si>
  <si>
    <t>Yellow</t>
  </si>
  <si>
    <t>Players</t>
  </si>
  <si>
    <t>Score</t>
  </si>
  <si>
    <t>Clark</t>
  </si>
  <si>
    <t>Peterson</t>
  </si>
  <si>
    <t>Gail</t>
  </si>
  <si>
    <t>Ponting</t>
  </si>
  <si>
    <t>Cook</t>
  </si>
  <si>
    <t>Lara</t>
  </si>
  <si>
    <t>Watson</t>
  </si>
  <si>
    <t>Kalinwood</t>
  </si>
  <si>
    <t>Bravo</t>
  </si>
  <si>
    <t>Bell</t>
  </si>
  <si>
    <t>Summy</t>
  </si>
  <si>
    <t>Polard</t>
  </si>
  <si>
    <t>Sarvan</t>
  </si>
  <si>
    <t>Month</t>
  </si>
  <si>
    <t>Productivity</t>
  </si>
  <si>
    <t>Target</t>
  </si>
  <si>
    <t>Achivement</t>
  </si>
  <si>
    <t>Salary</t>
  </si>
  <si>
    <t>Repairs</t>
  </si>
  <si>
    <t>Depreciation</t>
  </si>
  <si>
    <t>Bonus</t>
  </si>
  <si>
    <t>Total Direc Expenses</t>
  </si>
  <si>
    <t>Name</t>
  </si>
  <si>
    <t>Jan</t>
  </si>
  <si>
    <t>Feb</t>
  </si>
  <si>
    <t>Mar</t>
  </si>
  <si>
    <t>Apr</t>
  </si>
  <si>
    <t>May</t>
  </si>
  <si>
    <t>Santosh</t>
  </si>
  <si>
    <t>Kumar</t>
  </si>
  <si>
    <t>Subudhi</t>
  </si>
  <si>
    <t>shanmukh</t>
  </si>
  <si>
    <t>rao</t>
  </si>
  <si>
    <t>Suman</t>
  </si>
  <si>
    <t>Lakshmi</t>
  </si>
  <si>
    <t>Bandana</t>
  </si>
  <si>
    <t>Kajal</t>
  </si>
  <si>
    <t>Year</t>
  </si>
  <si>
    <t>Country</t>
  </si>
  <si>
    <t>India</t>
  </si>
  <si>
    <t>Australia</t>
  </si>
  <si>
    <t>Newjeland</t>
  </si>
  <si>
    <t>Koria</t>
  </si>
  <si>
    <t>Africa</t>
  </si>
  <si>
    <t>Ruse</t>
  </si>
  <si>
    <t>China</t>
  </si>
  <si>
    <t>USA</t>
  </si>
  <si>
    <t>UK</t>
  </si>
  <si>
    <t>W.Indies</t>
  </si>
  <si>
    <t>Total</t>
  </si>
  <si>
    <t>Location</t>
  </si>
  <si>
    <t>Team A</t>
  </si>
  <si>
    <t>Team B</t>
  </si>
  <si>
    <t>Team C</t>
  </si>
  <si>
    <t>Team D</t>
  </si>
  <si>
    <t>Achieved$GM</t>
  </si>
  <si>
    <t>Ach %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</si>
  <si>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</si>
  <si>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</si>
  <si>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</si>
  <si>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</si>
  <si>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</si>
  <si>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</si>
  <si>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</si>
  <si>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</si>
  <si>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</si>
  <si>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</si>
  <si>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</si>
  <si>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</si>
  <si>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</si>
  <si>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</si>
  <si>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</si>
  <si>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</si>
  <si>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</si>
  <si>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</si>
  <si>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</si>
  <si>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</si>
  <si>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AA</t>
  </si>
  <si>
    <t>BB</t>
  </si>
  <si>
    <t>CC</t>
  </si>
  <si>
    <t>DD</t>
  </si>
  <si>
    <t>EE</t>
  </si>
  <si>
    <t>FF</t>
  </si>
  <si>
    <t>GG</t>
  </si>
  <si>
    <t>HH</t>
  </si>
  <si>
    <t>II</t>
  </si>
  <si>
    <t>JJ</t>
  </si>
  <si>
    <t>KK</t>
  </si>
  <si>
    <t>LL</t>
  </si>
  <si>
    <t>MM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</si>
  <si>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</si>
  <si>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</si>
  <si>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</si>
  <si>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</si>
  <si>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</si>
  <si>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</si>
  <si>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</si>
  <si>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</si>
  <si>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</si>
  <si>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</si>
  <si>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</si>
  <si>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</si>
  <si>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</si>
  <si>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</si>
  <si>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</si>
  <si>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</si>
  <si>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</si>
  <si>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</si>
  <si>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</si>
  <si>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</si>
  <si>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</si>
  <si>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</si>
  <si>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</si>
  <si>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</si>
  <si>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</si>
  <si>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</si>
  <si>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</si>
  <si>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</si>
  <si>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</si>
  <si>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</si>
  <si>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</si>
  <si>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</si>
  <si>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</si>
  <si>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</si>
  <si>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</si>
  <si>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</si>
  <si>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</si>
  <si>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</si>
  <si>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</si>
  <si>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</si>
  <si>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</si>
  <si>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</si>
  <si>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</si>
  <si>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</si>
  <si>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</si>
  <si>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</si>
  <si>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</si>
  <si>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</si>
  <si>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</si>
  <si>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</si>
  <si>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</si>
  <si>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</si>
  <si>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</si>
  <si>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</si>
  <si>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</si>
  <si>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</si>
  <si>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</si>
  <si>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</si>
  <si>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</si>
  <si>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</si>
  <si>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</si>
  <si>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WWWW</t>
  </si>
  <si>
    <t>Pen</t>
  </si>
  <si>
    <t>Paper</t>
  </si>
  <si>
    <t>Pad</t>
  </si>
  <si>
    <t>Rubber</t>
  </si>
  <si>
    <t>Marker</t>
  </si>
  <si>
    <t>Rahul</t>
  </si>
  <si>
    <t>Rohit</t>
  </si>
  <si>
    <t>Raj</t>
  </si>
  <si>
    <t>Mohan</t>
  </si>
  <si>
    <t>Sohan</t>
  </si>
  <si>
    <t>Rima</t>
  </si>
  <si>
    <t>Rani</t>
  </si>
  <si>
    <t>Roji</t>
  </si>
  <si>
    <t>Kaveeta</t>
  </si>
  <si>
    <t>S Date</t>
  </si>
  <si>
    <t>E Date</t>
  </si>
  <si>
    <t>Combo</t>
  </si>
  <si>
    <t>Scroll</t>
  </si>
  <si>
    <t>Dashboard</t>
  </si>
  <si>
    <t>Austrelia</t>
  </si>
  <si>
    <t>Ops</t>
  </si>
  <si>
    <t>Months</t>
  </si>
  <si>
    <t>Pro</t>
  </si>
  <si>
    <t>Tar</t>
  </si>
  <si>
    <t>Achi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</si>
</sst>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mmm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indexed="12"/>
      <name val="Arial"/>
      <family val="2"/>
    </font>
    <font>
      <sz val="9"/>
      <name val="Arial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b/>
      <sz val="12"/>
      <color theme="0"/>
      <name val="Book Antiqua"/>
      <family val="1"/>
    </font>
    <font>
      <b/>
      <sz val="9"/>
      <name val="Book Antiqua"/>
      <family val="1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28"/>
      <color theme="3"/>
      <name val="Cambria"/>
      <family val="2"/>
      <scheme val="major"/>
    </font>
    <font>
      <b/>
      <u/>
      <sz val="11"/>
      <color theme="0"/>
      <name val="Calibri"/>
      <family val="2"/>
      <scheme val="minor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5A5A5"/>
      </patternFill>
    </fill>
    <fill>
      <patternFill patternType="solid">
        <fgColor theme="5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1" fillId="0" borderId="1" applyNumberFormat="0" applyFill="0" applyAlignment="0" applyProtection="0"/>
    <xf numFmtId="44" fontId="2" fillId="0" borderId="0" applyFont="0" applyFill="0" applyBorder="0" applyAlignment="0" applyProtection="0"/>
    <xf numFmtId="0" fontId="2" fillId="0" borderId="0"/>
    <xf numFmtId="0" fontId="7" fillId="0" borderId="3" applyNumberFormat="0" applyFill="0" applyAlignment="0" applyProtection="0"/>
    <xf numFmtId="0" fontId="8" fillId="4" borderId="4" applyNumberFormat="0" applyAlignment="0" applyProtection="0"/>
    <xf numFmtId="0" fontId="5" fillId="5" borderId="0" applyNumberFormat="0" applyBorder="0" applyAlignment="0" applyProtection="0"/>
    <xf numFmtId="0" fontId="14" fillId="0" borderId="0" applyNumberFormat="0" applyFill="0" applyBorder="0" applyAlignment="0" applyProtection="0"/>
  </cellStyleXfs>
  <cellXfs count="49">
    <xf numFmtId="0" fontId="0" fillId="0" borderId="0" xfId="0"/>
    <xf numFmtId="0" fontId="4" fillId="0" borderId="2" xfId="3" applyFont="1" applyBorder="1" applyAlignment="1" applyProtection="1">
      <alignment horizontal="left" vertical="top"/>
      <protection locked="0"/>
    </xf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2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1" fillId="2" borderId="2" xfId="0" applyFont="1" applyFill="1" applyBorder="1" applyProtection="1">
      <protection locked="0"/>
    </xf>
    <xf numFmtId="0" fontId="1" fillId="0" borderId="2" xfId="0" applyFont="1" applyBorder="1" applyProtection="1">
      <protection locked="0"/>
    </xf>
    <xf numFmtId="0" fontId="0" fillId="0" borderId="0" xfId="0" applyBorder="1"/>
    <xf numFmtId="0" fontId="0" fillId="7" borderId="2" xfId="0" applyFill="1" applyBorder="1" applyAlignment="1">
      <alignment horizontal="center"/>
    </xf>
    <xf numFmtId="0" fontId="13" fillId="8" borderId="2" xfId="0" applyFont="1" applyFill="1" applyBorder="1" applyAlignment="1">
      <alignment horizontal="center" vertical="center"/>
    </xf>
    <xf numFmtId="9" fontId="13" fillId="8" borderId="2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Border="1"/>
    <xf numFmtId="0" fontId="6" fillId="0" borderId="0" xfId="0" applyNumberFormat="1" applyFont="1" applyBorder="1"/>
    <xf numFmtId="0" fontId="3" fillId="3" borderId="2" xfId="0" applyFont="1" applyFill="1" applyBorder="1" applyAlignment="1" applyProtection="1">
      <alignment horizontal="center" vertical="center"/>
      <protection locked="0"/>
    </xf>
    <xf numFmtId="44" fontId="3" fillId="3" borderId="2" xfId="2" applyFont="1" applyFill="1" applyBorder="1" applyAlignment="1" applyProtection="1">
      <alignment horizontal="center" vertical="center"/>
      <protection locked="0"/>
    </xf>
    <xf numFmtId="0" fontId="3" fillId="3" borderId="2" xfId="3" applyFont="1" applyFill="1" applyBorder="1" applyAlignment="1" applyProtection="1">
      <alignment horizontal="center" vertical="center"/>
      <protection locked="0"/>
    </xf>
    <xf numFmtId="15" fontId="4" fillId="0" borderId="2" xfId="0" applyNumberFormat="1" applyFont="1" applyBorder="1" applyProtection="1">
      <protection locked="0"/>
    </xf>
    <xf numFmtId="0" fontId="4" fillId="0" borderId="2" xfId="0" applyFont="1" applyBorder="1" applyProtection="1">
      <protection locked="0"/>
    </xf>
    <xf numFmtId="164" fontId="0" fillId="0" borderId="2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1" fillId="3" borderId="2" xfId="1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1" fillId="2" borderId="2" xfId="0" applyFont="1" applyFill="1" applyBorder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12" fillId="3" borderId="2" xfId="0" applyFont="1" applyFill="1" applyBorder="1" applyAlignment="1">
      <alignment horizontal="center" vertical="center" wrapText="1"/>
    </xf>
    <xf numFmtId="0" fontId="12" fillId="3" borderId="2" xfId="0" applyNumberFormat="1" applyFont="1" applyFill="1" applyBorder="1" applyAlignment="1">
      <alignment horizontal="center" vertical="center" wrapText="1"/>
    </xf>
    <xf numFmtId="0" fontId="8" fillId="6" borderId="2" xfId="5" applyFont="1" applyFill="1" applyBorder="1"/>
    <xf numFmtId="0" fontId="9" fillId="6" borderId="2" xfId="4" applyFont="1" applyFill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0" fontId="8" fillId="6" borderId="2" xfId="5" applyFont="1" applyFill="1" applyBorder="1" applyAlignment="1">
      <alignment horizontal="center"/>
    </xf>
    <xf numFmtId="164" fontId="11" fillId="7" borderId="2" xfId="0" applyNumberFormat="1" applyFont="1" applyFill="1" applyBorder="1" applyAlignment="1">
      <alignment horizontal="center" vertical="center"/>
    </xf>
    <xf numFmtId="0" fontId="16" fillId="9" borderId="2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5" fontId="0" fillId="0" borderId="2" xfId="0" applyNumberFormat="1" applyBorder="1"/>
    <xf numFmtId="0" fontId="1" fillId="3" borderId="2" xfId="0" applyFont="1" applyFill="1" applyBorder="1"/>
    <xf numFmtId="0" fontId="15" fillId="3" borderId="5" xfId="7" applyFont="1" applyFill="1" applyBorder="1" applyAlignment="1">
      <alignment horizontal="center" vertical="center"/>
    </xf>
    <xf numFmtId="0" fontId="15" fillId="3" borderId="6" xfId="7" applyFont="1" applyFill="1" applyBorder="1" applyAlignment="1">
      <alignment horizontal="center" vertical="center"/>
    </xf>
    <xf numFmtId="0" fontId="15" fillId="3" borderId="7" xfId="7" applyFont="1" applyFill="1" applyBorder="1" applyAlignment="1">
      <alignment horizontal="center" vertical="center"/>
    </xf>
    <xf numFmtId="0" fontId="15" fillId="3" borderId="8" xfId="7" applyFont="1" applyFill="1" applyBorder="1" applyAlignment="1">
      <alignment horizontal="center" vertical="center"/>
    </xf>
    <xf numFmtId="0" fontId="15" fillId="3" borderId="0" xfId="7" applyFont="1" applyFill="1" applyBorder="1" applyAlignment="1">
      <alignment horizontal="center" vertical="center"/>
    </xf>
    <xf numFmtId="0" fontId="15" fillId="3" borderId="9" xfId="7" applyFont="1" applyFill="1" applyBorder="1" applyAlignment="1">
      <alignment horizontal="center" vertical="center"/>
    </xf>
    <xf numFmtId="0" fontId="15" fillId="3" borderId="10" xfId="7" applyFont="1" applyFill="1" applyBorder="1" applyAlignment="1">
      <alignment horizontal="center" vertical="center"/>
    </xf>
    <xf numFmtId="0" fontId="15" fillId="3" borderId="11" xfId="7" applyFont="1" applyFill="1" applyBorder="1" applyAlignment="1">
      <alignment horizontal="center" vertical="center"/>
    </xf>
    <xf numFmtId="0" fontId="15" fillId="3" borderId="12" xfId="7" applyFont="1" applyFill="1" applyBorder="1" applyAlignment="1">
      <alignment horizontal="center" vertical="center"/>
    </xf>
    <xf numFmtId="0" fontId="8" fillId="5" borderId="2" xfId="6" applyFont="1" applyBorder="1" applyAlignment="1">
      <alignment horizontal="center" vertical="center"/>
    </xf>
  </cellXfs>
  <cellStyles count="8">
    <cellStyle name="Accent2" xfId="6" builtinId="33"/>
    <cellStyle name="Check Cell" xfId="5" builtinId="23"/>
    <cellStyle name="Currency_TapePivot" xfId="2" xr:uid="{00000000-0005-0000-0000-000002000000}"/>
    <cellStyle name="Heading 2" xfId="4" builtinId="17"/>
    <cellStyle name="Normal" xfId="0" builtinId="0"/>
    <cellStyle name="Normal_TapePivot" xfId="3" xr:uid="{00000000-0005-0000-0000-000005000000}"/>
    <cellStyle name="Title" xfId="7" builtinId="15"/>
    <cellStyle name="Total" xfId="1" builtinId="25"/>
  </cellStyles>
  <dxfs count="60">
    <dxf>
      <font>
        <b/>
        <i val="0"/>
        <condense val="0"/>
        <extend val="0"/>
      </font>
      <fill>
        <patternFill>
          <bgColor indexed="44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44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44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44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44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44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44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44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44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44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44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44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44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44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44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44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44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44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44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44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1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</font>
      <fill>
        <patternFill>
          <bgColor indexed="1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9" defaultPivotStyle="PivotStyleLight16"/>
  <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'Pie Chart'!$A$11</c:f>
              <c:strCache>
                <c:ptCount val="1"/>
                <c:pt idx="0">
                  <c:v>Bonus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'Pie Chart'!$B$10:$F$10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'Pie Chart'!$B$11:$F$11</c:f>
              <c:numCache>
                <c:formatCode>General</c:formatCode>
                <c:ptCount val="5"/>
                <c:pt idx="0">
                  <c:v>123</c:v>
                </c:pt>
                <c:pt idx="1">
                  <c:v>300</c:v>
                </c:pt>
                <c:pt idx="2">
                  <c:v>340</c:v>
                </c:pt>
                <c:pt idx="3">
                  <c:v>330</c:v>
                </c:pt>
                <c:pt idx="4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52-42C6-B145-02689A471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'Chart Group'!$D$7</c:f>
              <c:strCache>
                <c:ptCount val="1"/>
                <c:pt idx="0">
                  <c:v>Achieved$GM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'Chart Group'!$C$8:$C$19</c:f>
              <c:numCache>
                <c:formatCode>mmm</c:formatCode>
                <c:ptCount val="12"/>
                <c:pt idx="0">
                  <c:v>40544</c:v>
                </c:pt>
                <c:pt idx="1">
                  <c:v>40575</c:v>
                </c:pt>
                <c:pt idx="2">
                  <c:v>40603</c:v>
                </c:pt>
                <c:pt idx="3">
                  <c:v>40634</c:v>
                </c:pt>
                <c:pt idx="4">
                  <c:v>40664</c:v>
                </c:pt>
                <c:pt idx="5">
                  <c:v>40695</c:v>
                </c:pt>
                <c:pt idx="6">
                  <c:v>40725</c:v>
                </c:pt>
                <c:pt idx="7">
                  <c:v>40756</c:v>
                </c:pt>
                <c:pt idx="8">
                  <c:v>40787</c:v>
                </c:pt>
                <c:pt idx="9">
                  <c:v>40817</c:v>
                </c:pt>
                <c:pt idx="10">
                  <c:v>40848</c:v>
                </c:pt>
                <c:pt idx="11">
                  <c:v>40878</c:v>
                </c:pt>
              </c:numCache>
            </c:numRef>
          </c:cat>
          <c:val>
            <c:numRef>
              <c:f>'Chart Group'!$D$8:$D$19</c:f>
              <c:numCache>
                <c:formatCode>General</c:formatCode>
                <c:ptCount val="12"/>
                <c:pt idx="0">
                  <c:v>36</c:v>
                </c:pt>
                <c:pt idx="1">
                  <c:v>58</c:v>
                </c:pt>
                <c:pt idx="2">
                  <c:v>72</c:v>
                </c:pt>
                <c:pt idx="3">
                  <c:v>62</c:v>
                </c:pt>
                <c:pt idx="4">
                  <c:v>31</c:v>
                </c:pt>
                <c:pt idx="5">
                  <c:v>61</c:v>
                </c:pt>
                <c:pt idx="6">
                  <c:v>74</c:v>
                </c:pt>
                <c:pt idx="7">
                  <c:v>63</c:v>
                </c:pt>
                <c:pt idx="8">
                  <c:v>53</c:v>
                </c:pt>
                <c:pt idx="9">
                  <c:v>57</c:v>
                </c:pt>
                <c:pt idx="10">
                  <c:v>31</c:v>
                </c:pt>
                <c:pt idx="11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9-4AD8-8FF2-CBCA64C326E5}"/>
            </c:ext>
          </c:extLst>
        </c:ser>
        <c:ser>
          <c:idx val="1"/>
          <c:order val="1"/>
          <c:tx>
            <c:strRef>
              <c:f>'Chart Group'!$E$7</c:f>
              <c:strCache>
                <c:ptCount val="1"/>
                <c:pt idx="0">
                  <c:v>Target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'Chart Group'!$C$8:$C$19</c:f>
              <c:numCache>
                <c:formatCode>mmm</c:formatCode>
                <c:ptCount val="12"/>
                <c:pt idx="0">
                  <c:v>40544</c:v>
                </c:pt>
                <c:pt idx="1">
                  <c:v>40575</c:v>
                </c:pt>
                <c:pt idx="2">
                  <c:v>40603</c:v>
                </c:pt>
                <c:pt idx="3">
                  <c:v>40634</c:v>
                </c:pt>
                <c:pt idx="4">
                  <c:v>40664</c:v>
                </c:pt>
                <c:pt idx="5">
                  <c:v>40695</c:v>
                </c:pt>
                <c:pt idx="6">
                  <c:v>40725</c:v>
                </c:pt>
                <c:pt idx="7">
                  <c:v>40756</c:v>
                </c:pt>
                <c:pt idx="8">
                  <c:v>40787</c:v>
                </c:pt>
                <c:pt idx="9">
                  <c:v>40817</c:v>
                </c:pt>
                <c:pt idx="10">
                  <c:v>40848</c:v>
                </c:pt>
                <c:pt idx="11">
                  <c:v>40878</c:v>
                </c:pt>
              </c:numCache>
            </c:numRef>
          </c:cat>
          <c:val>
            <c:numRef>
              <c:f>'Chart Group'!$E$8:$E$19</c:f>
              <c:numCache>
                <c:formatCode>General</c:formatCode>
                <c:ptCount val="12"/>
                <c:pt idx="0">
                  <c:v>52</c:v>
                </c:pt>
                <c:pt idx="1">
                  <c:v>36</c:v>
                </c:pt>
                <c:pt idx="2">
                  <c:v>51</c:v>
                </c:pt>
                <c:pt idx="3">
                  <c:v>44</c:v>
                </c:pt>
                <c:pt idx="4">
                  <c:v>51</c:v>
                </c:pt>
                <c:pt idx="5">
                  <c:v>46</c:v>
                </c:pt>
                <c:pt idx="6">
                  <c:v>55</c:v>
                </c:pt>
                <c:pt idx="7">
                  <c:v>38</c:v>
                </c:pt>
                <c:pt idx="8">
                  <c:v>47</c:v>
                </c:pt>
                <c:pt idx="9">
                  <c:v>48</c:v>
                </c:pt>
                <c:pt idx="10">
                  <c:v>36</c:v>
                </c:pt>
                <c:pt idx="11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09-4AD8-8FF2-CBCA64C326E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0891136"/>
        <c:axId val="190892672"/>
      </c:barChart>
      <c:dateAx>
        <c:axId val="190891136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crossAx val="190892672"/>
        <c:crosses val="autoZero"/>
        <c:auto val="1"/>
        <c:lblOffset val="100"/>
        <c:baseTimeUnit val="months"/>
      </c:dateAx>
      <c:valAx>
        <c:axId val="1908926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0891136"/>
        <c:crosses val="autoZero"/>
        <c:crossBetween val="between"/>
      </c:valAx>
      <c:spPr>
        <a:gradFill rotWithShape="1">
          <a:gsLst>
            <a:gs pos="0">
              <a:schemeClr val="accent5">
                <a:tint val="50000"/>
                <a:satMod val="300000"/>
              </a:schemeClr>
            </a:gs>
            <a:gs pos="35000">
              <a:schemeClr val="accent5">
                <a:tint val="37000"/>
                <a:satMod val="300000"/>
              </a:schemeClr>
            </a:gs>
            <a:gs pos="100000">
              <a:schemeClr val="accent5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solidFill>
            <a:schemeClr val="accent5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plotArea>
    <c:legend>
      <c:legendPos val="b"/>
      <c:overlay val="0"/>
    </c:legend>
    <c:plotVisOnly val="1"/>
    <c:dispBlanksAs val="gap"/>
    <c:showDLblsOverMax val="0"/>
  </c:chart>
  <c:spPr>
    <a:gradFill rotWithShape="1">
      <a:gsLst>
        <a:gs pos="0">
          <a:schemeClr val="accent2">
            <a:tint val="50000"/>
            <a:satMod val="300000"/>
          </a:schemeClr>
        </a:gs>
        <a:gs pos="35000">
          <a:schemeClr val="accent2">
            <a:tint val="37000"/>
            <a:satMod val="300000"/>
          </a:schemeClr>
        </a:gs>
        <a:gs pos="100000">
          <a:schemeClr val="accent2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2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'Line chart Secendry '!$H$5</c:f>
              <c:strCache>
                <c:ptCount val="1"/>
                <c:pt idx="0">
                  <c:v>Target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'Line chart Secendry '!$G$6:$G$11</c:f>
              <c:strCache>
                <c:ptCount val="6"/>
                <c:pt idx="0">
                  <c:v>UUUU</c:v>
                </c:pt>
                <c:pt idx="1">
                  <c:v>VVVV</c:v>
                </c:pt>
                <c:pt idx="2">
                  <c:v>WWWW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strCache>
            </c:strRef>
          </c:cat>
          <c:val>
            <c:numRef>
              <c:f>'Line chart Secendry '!$H$6:$H$11</c:f>
              <c:numCache>
                <c:formatCode>General</c:formatCode>
                <c:ptCount val="6"/>
                <c:pt idx="0">
                  <c:v>61</c:v>
                </c:pt>
                <c:pt idx="1">
                  <c:v>70</c:v>
                </c:pt>
                <c:pt idx="2">
                  <c:v>61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6F-4D0C-B38B-03EBE482C849}"/>
            </c:ext>
          </c:extLst>
        </c:ser>
        <c:ser>
          <c:idx val="1"/>
          <c:order val="1"/>
          <c:tx>
            <c:strRef>
              <c:f>'Line chart Secendry '!$I$5</c:f>
              <c:strCache>
                <c:ptCount val="1"/>
                <c:pt idx="0">
                  <c:v>Achivement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'Line chart Secendry '!$G$6:$G$11</c:f>
              <c:strCache>
                <c:ptCount val="6"/>
                <c:pt idx="0">
                  <c:v>UUUU</c:v>
                </c:pt>
                <c:pt idx="1">
                  <c:v>VVVV</c:v>
                </c:pt>
                <c:pt idx="2">
                  <c:v>WWWW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strCache>
            </c:strRef>
          </c:cat>
          <c:val>
            <c:numRef>
              <c:f>'Line chart Secendry '!$I$6:$I$11</c:f>
              <c:numCache>
                <c:formatCode>General</c:formatCode>
                <c:ptCount val="6"/>
                <c:pt idx="0">
                  <c:v>57</c:v>
                </c:pt>
                <c:pt idx="1">
                  <c:v>40</c:v>
                </c:pt>
                <c:pt idx="2">
                  <c:v>57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6F-4D0C-B38B-03EBE482C84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13940096"/>
        <c:axId val="213941632"/>
      </c:barChart>
      <c:lineChart>
        <c:grouping val="stacked"/>
        <c:varyColors val="0"/>
        <c:ser>
          <c:idx val="2"/>
          <c:order val="2"/>
          <c:tx>
            <c:strRef>
              <c:f>'Line chart Secendry '!$J$5</c:f>
              <c:strCache>
                <c:ptCount val="1"/>
                <c:pt idx="0">
                  <c:v>Ach %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'Line chart Secendry '!$G$6:$G$11</c:f>
              <c:strCache>
                <c:ptCount val="6"/>
                <c:pt idx="0">
                  <c:v>UUUU</c:v>
                </c:pt>
                <c:pt idx="1">
                  <c:v>VVVV</c:v>
                </c:pt>
                <c:pt idx="2">
                  <c:v>WWWW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strCache>
            </c:strRef>
          </c:cat>
          <c:val>
            <c:numRef>
              <c:f>'Line chart Secendry '!$J$6:$J$11</c:f>
              <c:numCache>
                <c:formatCode>0%</c:formatCode>
                <c:ptCount val="6"/>
                <c:pt idx="0">
                  <c:v>0.93442622950819676</c:v>
                </c:pt>
                <c:pt idx="1">
                  <c:v>0.5714285714285714</c:v>
                </c:pt>
                <c:pt idx="2">
                  <c:v>0.93442622950819676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6F-4D0C-B38B-03EBE482C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561920"/>
        <c:axId val="214379904"/>
      </c:lineChart>
      <c:catAx>
        <c:axId val="2139400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13941632"/>
        <c:crosses val="autoZero"/>
        <c:auto val="1"/>
        <c:lblAlgn val="ctr"/>
        <c:lblOffset val="100"/>
        <c:noMultiLvlLbl val="0"/>
      </c:catAx>
      <c:valAx>
        <c:axId val="2139416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3940096"/>
        <c:crosses val="autoZero"/>
        <c:crossBetween val="between"/>
      </c:valAx>
      <c:valAx>
        <c:axId val="21437990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crossAx val="324561920"/>
        <c:crosses val="max"/>
        <c:crossBetween val="between"/>
      </c:valAx>
      <c:catAx>
        <c:axId val="324561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437990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 Chart'!$J$1</c:f>
          <c:strCache>
            <c:ptCount val="1"/>
            <c:pt idx="0">
              <c:v>17-Aug-16 to 27-Aug-16</c:v>
            </c:pt>
          </c:strCache>
        </c:strRef>
      </c:tx>
      <c:overlay val="0"/>
      <c:txPr>
        <a:bodyPr/>
        <a:lstStyle/>
        <a:p>
          <a:pPr>
            <a:defRPr sz="1100"/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 Chart'!$G$14</c:f>
              <c:strCache>
                <c:ptCount val="1"/>
                <c:pt idx="0">
                  <c:v> Units 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2060"/>
              </a:solidFill>
            </c:spPr>
            <c:extLst>
              <c:ext xmlns:c16="http://schemas.microsoft.com/office/drawing/2014/chart" uri="{C3380CC4-5D6E-409C-BE32-E72D297353CC}">
                <c16:uniqueId val="{00000001-45CC-4462-988E-742C28C10B95}"/>
              </c:ext>
            </c:extLst>
          </c:dPt>
          <c:dPt>
            <c:idx val="1"/>
            <c:invertIfNegative val="0"/>
            <c:bubble3D val="0"/>
            <c:spPr>
              <a:solidFill>
                <a:srgbClr val="00CC00"/>
              </a:solidFill>
            </c:spPr>
            <c:extLst>
              <c:ext xmlns:c16="http://schemas.microsoft.com/office/drawing/2014/chart" uri="{C3380CC4-5D6E-409C-BE32-E72D297353CC}">
                <c16:uniqueId val="{00000003-45CC-4462-988E-742C28C10B95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45CC-4462-988E-742C28C10B95}"/>
              </c:ext>
            </c:extLst>
          </c:dPt>
          <c:dPt>
            <c:idx val="3"/>
            <c:invertIfNegative val="0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7-45CC-4462-988E-742C28C10B95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'Column Chart'!$F$15:$F$18</c:f>
              <c:strCache>
                <c:ptCount val="4"/>
                <c:pt idx="0">
                  <c:v>Blue</c:v>
                </c:pt>
                <c:pt idx="1">
                  <c:v>Green</c:v>
                </c:pt>
                <c:pt idx="2">
                  <c:v>Red</c:v>
                </c:pt>
                <c:pt idx="3">
                  <c:v>Yellow</c:v>
                </c:pt>
              </c:strCache>
            </c:strRef>
          </c:cat>
          <c:val>
            <c:numRef>
              <c:f>'Column Chart'!$G$15:$G$18</c:f>
              <c:numCache>
                <c:formatCode>General</c:formatCode>
                <c:ptCount val="4"/>
                <c:pt idx="0">
                  <c:v>122</c:v>
                </c:pt>
                <c:pt idx="1">
                  <c:v>203</c:v>
                </c:pt>
                <c:pt idx="2">
                  <c:v>28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5CC-4462-988E-742C28C10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9007360"/>
        <c:axId val="202145792"/>
      </c:barChart>
      <c:catAx>
        <c:axId val="16900736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02145792"/>
        <c:crosses val="autoZero"/>
        <c:auto val="1"/>
        <c:lblAlgn val="ctr"/>
        <c:lblOffset val="100"/>
        <c:noMultiLvlLbl val="0"/>
      </c:catAx>
      <c:valAx>
        <c:axId val="2021457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69007360"/>
        <c:crosses val="autoZero"/>
        <c:crossBetween val="between"/>
      </c:valAx>
      <c:spPr>
        <a:solidFill>
          <a:schemeClr val="accent4"/>
        </a:solidFill>
        <a:ln w="38100" cap="flat" cmpd="sng" algn="ctr">
          <a:solidFill>
            <a:schemeClr val="lt1"/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plotArea>
    <c:plotVisOnly val="1"/>
    <c:dispBlanksAs val="gap"/>
    <c:showDLblsOverMax val="0"/>
  </c:chart>
  <c:spPr>
    <a:gradFill rotWithShape="1">
      <a:gsLst>
        <a:gs pos="0">
          <a:schemeClr val="accent1">
            <a:tint val="50000"/>
            <a:satMod val="300000"/>
          </a:schemeClr>
        </a:gs>
        <a:gs pos="35000">
          <a:schemeClr val="accent1">
            <a:tint val="37000"/>
            <a:satMod val="300000"/>
          </a:schemeClr>
        </a:gs>
        <a:gs pos="100000">
          <a:schemeClr val="accent1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1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 Chart With Group'!$M$4</c:f>
              <c:strCache>
                <c:ptCount val="1"/>
                <c:pt idx="0">
                  <c:v>Score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[0]!Player</c:f>
              <c:strCache>
                <c:ptCount val="2"/>
                <c:pt idx="0">
                  <c:v>Rahul</c:v>
                </c:pt>
                <c:pt idx="1">
                  <c:v>Rohit</c:v>
                </c:pt>
              </c:strCache>
            </c:strRef>
          </c:cat>
          <c:val>
            <c:numRef>
              <c:f>[0]!Score</c:f>
              <c:numCache>
                <c:formatCode>General</c:formatCode>
                <c:ptCount val="2"/>
                <c:pt idx="0">
                  <c:v>150</c:v>
                </c:pt>
                <c:pt idx="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10-4F46-AD63-A19655FFA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2498816"/>
        <c:axId val="190202624"/>
      </c:barChart>
      <c:catAx>
        <c:axId val="1424988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90202624"/>
        <c:crosses val="autoZero"/>
        <c:auto val="1"/>
        <c:lblAlgn val="ctr"/>
        <c:lblOffset val="100"/>
        <c:noMultiLvlLbl val="0"/>
      </c:catAx>
      <c:valAx>
        <c:axId val="1902026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2498816"/>
        <c:crosses val="autoZero"/>
        <c:crossBetween val="between"/>
      </c:valAx>
      <c:spPr>
        <a:gradFill rotWithShape="1">
          <a:gsLst>
            <a:gs pos="0">
              <a:schemeClr val="accent2">
                <a:tint val="50000"/>
                <a:satMod val="300000"/>
              </a:schemeClr>
            </a:gs>
            <a:gs pos="35000">
              <a:schemeClr val="accent2">
                <a:tint val="37000"/>
                <a:satMod val="300000"/>
              </a:schemeClr>
            </a:gs>
            <a:gs pos="100000">
              <a:schemeClr val="accent2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solidFill>
            <a:schemeClr val="accent2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plotArea>
    <c:plotVisOnly val="1"/>
    <c:dispBlanksAs val="gap"/>
    <c:showDLblsOverMax val="0"/>
  </c:chart>
  <c:spPr>
    <a:gradFill rotWithShape="1">
      <a:gsLst>
        <a:gs pos="0">
          <a:schemeClr val="accent5">
            <a:tint val="50000"/>
            <a:satMod val="300000"/>
          </a:schemeClr>
        </a:gs>
        <a:gs pos="35000">
          <a:schemeClr val="accent5">
            <a:tint val="37000"/>
            <a:satMod val="300000"/>
          </a:schemeClr>
        </a:gs>
        <a:gs pos="100000">
          <a:schemeClr val="accent5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5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 and Line Chart'!$B$1</c:f>
              <c:strCache>
                <c:ptCount val="1"/>
                <c:pt idx="0">
                  <c:v>Productivity</c:v>
                </c:pt>
              </c:strCache>
            </c:strRef>
          </c:tx>
          <c:invertIfNegative val="0"/>
          <c:cat>
            <c:numRef>
              <c:f>[0]!Months</c:f>
              <c:numCache>
                <c:formatCode>mmm</c:formatCode>
                <c:ptCount val="8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</c:numCache>
            </c:numRef>
          </c:cat>
          <c:val>
            <c:numRef>
              <c:f>[0]!Pro</c:f>
              <c:numCache>
                <c:formatCode>General</c:formatCode>
                <c:ptCount val="8"/>
                <c:pt idx="0">
                  <c:v>47</c:v>
                </c:pt>
                <c:pt idx="1">
                  <c:v>16</c:v>
                </c:pt>
                <c:pt idx="2">
                  <c:v>41</c:v>
                </c:pt>
                <c:pt idx="3">
                  <c:v>13</c:v>
                </c:pt>
                <c:pt idx="4">
                  <c:v>12</c:v>
                </c:pt>
                <c:pt idx="5">
                  <c:v>50</c:v>
                </c:pt>
                <c:pt idx="6">
                  <c:v>46</c:v>
                </c:pt>
                <c:pt idx="7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7A-4DA9-A9C7-E2DDDC469C8E}"/>
            </c:ext>
          </c:extLst>
        </c:ser>
        <c:ser>
          <c:idx val="1"/>
          <c:order val="1"/>
          <c:tx>
            <c:strRef>
              <c:f>'Column and Line Chart'!$C$1</c:f>
              <c:strCache>
                <c:ptCount val="1"/>
                <c:pt idx="0">
                  <c:v>Target</c:v>
                </c:pt>
              </c:strCache>
            </c:strRef>
          </c:tx>
          <c:invertIfNegative val="0"/>
          <c:cat>
            <c:numRef>
              <c:f>[0]!Months</c:f>
              <c:numCache>
                <c:formatCode>mmm</c:formatCode>
                <c:ptCount val="8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</c:numCache>
            </c:numRef>
          </c:cat>
          <c:val>
            <c:numRef>
              <c:f>[0]!Tar</c:f>
              <c:numCache>
                <c:formatCode>General</c:formatCode>
                <c:ptCount val="8"/>
                <c:pt idx="0">
                  <c:v>56</c:v>
                </c:pt>
                <c:pt idx="1">
                  <c:v>92</c:v>
                </c:pt>
                <c:pt idx="2">
                  <c:v>25</c:v>
                </c:pt>
                <c:pt idx="3">
                  <c:v>85</c:v>
                </c:pt>
                <c:pt idx="4">
                  <c:v>95</c:v>
                </c:pt>
                <c:pt idx="5">
                  <c:v>32</c:v>
                </c:pt>
                <c:pt idx="6">
                  <c:v>81</c:v>
                </c:pt>
                <c:pt idx="7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7A-4DA9-A9C7-E2DDDC469C8E}"/>
            </c:ext>
          </c:extLst>
        </c:ser>
        <c:ser>
          <c:idx val="2"/>
          <c:order val="2"/>
          <c:tx>
            <c:strRef>
              <c:f>'Column and Line Chart'!$D$1</c:f>
              <c:strCache>
                <c:ptCount val="1"/>
                <c:pt idx="0">
                  <c:v>Achivement</c:v>
                </c:pt>
              </c:strCache>
            </c:strRef>
          </c:tx>
          <c:invertIfNegative val="0"/>
          <c:cat>
            <c:numRef>
              <c:f>[0]!Months</c:f>
              <c:numCache>
                <c:formatCode>mmm</c:formatCode>
                <c:ptCount val="8"/>
                <c:pt idx="0">
                  <c:v>41275</c:v>
                </c:pt>
                <c:pt idx="1">
                  <c:v>41306</c:v>
                </c:pt>
                <c:pt idx="2">
                  <c:v>41334</c:v>
                </c:pt>
                <c:pt idx="3">
                  <c:v>41365</c:v>
                </c:pt>
                <c:pt idx="4">
                  <c:v>41395</c:v>
                </c:pt>
                <c:pt idx="5">
                  <c:v>41426</c:v>
                </c:pt>
                <c:pt idx="6">
                  <c:v>41456</c:v>
                </c:pt>
                <c:pt idx="7">
                  <c:v>41487</c:v>
                </c:pt>
              </c:numCache>
            </c:numRef>
          </c:cat>
          <c:val>
            <c:numRef>
              <c:f>[0]!Achi</c:f>
              <c:numCache>
                <c:formatCode>0</c:formatCode>
                <c:ptCount val="8"/>
                <c:pt idx="0">
                  <c:v>83.928571428571431</c:v>
                </c:pt>
                <c:pt idx="1">
                  <c:v>17.391304347826086</c:v>
                </c:pt>
                <c:pt idx="2">
                  <c:v>164</c:v>
                </c:pt>
                <c:pt idx="3">
                  <c:v>15.294117647058824</c:v>
                </c:pt>
                <c:pt idx="4">
                  <c:v>12.631578947368421</c:v>
                </c:pt>
                <c:pt idx="5">
                  <c:v>156.25</c:v>
                </c:pt>
                <c:pt idx="6">
                  <c:v>56.790123456790127</c:v>
                </c:pt>
                <c:pt idx="7">
                  <c:v>93.548387096774192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7A-4DA9-A9C7-E2DDDC469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3066240"/>
        <c:axId val="143067776"/>
      </c:barChart>
      <c:dateAx>
        <c:axId val="143066240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crossAx val="143067776"/>
        <c:crosses val="autoZero"/>
        <c:auto val="1"/>
        <c:lblOffset val="100"/>
        <c:baseTimeUnit val="months"/>
      </c:dateAx>
      <c:valAx>
        <c:axId val="1430677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30662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'Dynamic Chart'!$A$24</c:f>
              <c:strCache>
                <c:ptCount val="1"/>
                <c:pt idx="0">
                  <c:v>Subudhi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'Dynamic Chart'!$B$23:$N$23</c:f>
              <c:numCache>
                <c:formatCode>General</c:formatCode>
                <c:ptCount val="13"/>
                <c:pt idx="0">
                  <c:v>1984</c:v>
                </c:pt>
                <c:pt idx="1">
                  <c:v>1985</c:v>
                </c:pt>
                <c:pt idx="2">
                  <c:v>1986</c:v>
                </c:pt>
                <c:pt idx="3">
                  <c:v>1987</c:v>
                </c:pt>
                <c:pt idx="4">
                  <c:v>1988</c:v>
                </c:pt>
                <c:pt idx="5">
                  <c:v>1989</c:v>
                </c:pt>
                <c:pt idx="6">
                  <c:v>1990</c:v>
                </c:pt>
                <c:pt idx="7">
                  <c:v>1991</c:v>
                </c:pt>
                <c:pt idx="8">
                  <c:v>1992</c:v>
                </c:pt>
                <c:pt idx="9">
                  <c:v>1993</c:v>
                </c:pt>
                <c:pt idx="10">
                  <c:v>1994</c:v>
                </c:pt>
                <c:pt idx="11">
                  <c:v>1995</c:v>
                </c:pt>
                <c:pt idx="12">
                  <c:v>1996</c:v>
                </c:pt>
              </c:numCache>
            </c:numRef>
          </c:cat>
          <c:val>
            <c:numRef>
              <c:f>'Dynamic Chart'!$B$24:$N$24</c:f>
              <c:numCache>
                <c:formatCode>General</c:formatCode>
                <c:ptCount val="13"/>
                <c:pt idx="0">
                  <c:v>48</c:v>
                </c:pt>
                <c:pt idx="1">
                  <c:v>75</c:v>
                </c:pt>
                <c:pt idx="2">
                  <c:v>48</c:v>
                </c:pt>
                <c:pt idx="3">
                  <c:v>75</c:v>
                </c:pt>
                <c:pt idx="4">
                  <c:v>53</c:v>
                </c:pt>
                <c:pt idx="5">
                  <c:v>55</c:v>
                </c:pt>
                <c:pt idx="6">
                  <c:v>65</c:v>
                </c:pt>
                <c:pt idx="7">
                  <c:v>54</c:v>
                </c:pt>
                <c:pt idx="8">
                  <c:v>75</c:v>
                </c:pt>
                <c:pt idx="9">
                  <c:v>54</c:v>
                </c:pt>
                <c:pt idx="10">
                  <c:v>54</c:v>
                </c:pt>
                <c:pt idx="11">
                  <c:v>89</c:v>
                </c:pt>
                <c:pt idx="1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9-4653-9558-36AFEBCF3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2776192"/>
        <c:axId val="142777728"/>
      </c:barChart>
      <c:lineChart>
        <c:grouping val="stacked"/>
        <c:varyColors val="0"/>
        <c:ser>
          <c:idx val="0"/>
          <c:order val="1"/>
          <c:tx>
            <c:strRef>
              <c:f>'Dynamic Chart'!$A$24</c:f>
              <c:strCache>
                <c:ptCount val="1"/>
                <c:pt idx="0">
                  <c:v>Subudhi</c:v>
                </c:pt>
              </c:strCache>
            </c:strRef>
          </c:tx>
          <c:cat>
            <c:numRef>
              <c:f>'Dynamic Chart'!$B$23:$N$23</c:f>
              <c:numCache>
                <c:formatCode>General</c:formatCode>
                <c:ptCount val="13"/>
                <c:pt idx="0">
                  <c:v>1984</c:v>
                </c:pt>
                <c:pt idx="1">
                  <c:v>1985</c:v>
                </c:pt>
                <c:pt idx="2">
                  <c:v>1986</c:v>
                </c:pt>
                <c:pt idx="3">
                  <c:v>1987</c:v>
                </c:pt>
                <c:pt idx="4">
                  <c:v>1988</c:v>
                </c:pt>
                <c:pt idx="5">
                  <c:v>1989</c:v>
                </c:pt>
                <c:pt idx="6">
                  <c:v>1990</c:v>
                </c:pt>
                <c:pt idx="7">
                  <c:v>1991</c:v>
                </c:pt>
                <c:pt idx="8">
                  <c:v>1992</c:v>
                </c:pt>
                <c:pt idx="9">
                  <c:v>1993</c:v>
                </c:pt>
                <c:pt idx="10">
                  <c:v>1994</c:v>
                </c:pt>
                <c:pt idx="11">
                  <c:v>1995</c:v>
                </c:pt>
                <c:pt idx="12">
                  <c:v>1996</c:v>
                </c:pt>
              </c:numCache>
            </c:numRef>
          </c:cat>
          <c:val>
            <c:numRef>
              <c:f>'Dynamic Chart'!$B$24:$N$24</c:f>
              <c:numCache>
                <c:formatCode>General</c:formatCode>
                <c:ptCount val="13"/>
                <c:pt idx="0">
                  <c:v>48</c:v>
                </c:pt>
                <c:pt idx="1">
                  <c:v>75</c:v>
                </c:pt>
                <c:pt idx="2">
                  <c:v>48</c:v>
                </c:pt>
                <c:pt idx="3">
                  <c:v>75</c:v>
                </c:pt>
                <c:pt idx="4">
                  <c:v>53</c:v>
                </c:pt>
                <c:pt idx="5">
                  <c:v>55</c:v>
                </c:pt>
                <c:pt idx="6">
                  <c:v>65</c:v>
                </c:pt>
                <c:pt idx="7">
                  <c:v>54</c:v>
                </c:pt>
                <c:pt idx="8">
                  <c:v>75</c:v>
                </c:pt>
                <c:pt idx="9">
                  <c:v>54</c:v>
                </c:pt>
                <c:pt idx="10">
                  <c:v>54</c:v>
                </c:pt>
                <c:pt idx="11">
                  <c:v>89</c:v>
                </c:pt>
                <c:pt idx="12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F9-4653-9558-36AFEBCF3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776192"/>
        <c:axId val="142777728"/>
      </c:lineChart>
      <c:catAx>
        <c:axId val="14277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2777728"/>
        <c:crosses val="autoZero"/>
        <c:auto val="1"/>
        <c:lblAlgn val="ctr"/>
        <c:lblOffset val="100"/>
        <c:noMultiLvlLbl val="0"/>
      </c:catAx>
      <c:valAx>
        <c:axId val="142777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42776192"/>
        <c:crosses val="autoZero"/>
        <c:crossBetween val="between"/>
      </c:valAx>
      <c:spPr>
        <a:gradFill rotWithShape="1">
          <a:gsLst>
            <a:gs pos="0">
              <a:schemeClr val="accent4">
                <a:tint val="50000"/>
                <a:satMod val="300000"/>
              </a:schemeClr>
            </a:gs>
            <a:gs pos="35000">
              <a:schemeClr val="accent4">
                <a:tint val="37000"/>
                <a:satMod val="300000"/>
              </a:schemeClr>
            </a:gs>
            <a:gs pos="100000">
              <a:schemeClr val="accent4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solidFill>
            <a:schemeClr val="accent4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plotArea>
    <c:plotVisOnly val="1"/>
    <c:dispBlanksAs val="gap"/>
    <c:showDLblsOverMax val="0"/>
  </c:chart>
  <c:spPr>
    <a:gradFill rotWithShape="1">
      <a:gsLst>
        <a:gs pos="0">
          <a:schemeClr val="accent6">
            <a:tint val="50000"/>
            <a:satMod val="300000"/>
          </a:schemeClr>
        </a:gs>
        <a:gs pos="35000">
          <a:schemeClr val="accent6">
            <a:tint val="37000"/>
            <a:satMod val="300000"/>
          </a:schemeClr>
        </a:gs>
        <a:gs pos="100000">
          <a:schemeClr val="accent6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6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'Chart Spacle'!$Q$2</c:f>
              <c:strCache>
                <c:ptCount val="1"/>
                <c:pt idx="0">
                  <c:v>India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[0]!Data</c:f>
              <c:numCache>
                <c:formatCode>General</c:formatCode>
                <c:ptCount val="11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>
                  <c:v>2006</c:v>
                </c:pt>
                <c:pt idx="6">
                  <c:v>2007</c:v>
                </c:pt>
                <c:pt idx="7">
                  <c:v>2008</c:v>
                </c:pt>
                <c:pt idx="8">
                  <c:v>2009</c:v>
                </c:pt>
                <c:pt idx="9">
                  <c:v>2010</c:v>
                </c:pt>
                <c:pt idx="10">
                  <c:v>2011</c:v>
                </c:pt>
              </c:numCache>
            </c:numRef>
          </c:cat>
          <c:val>
            <c:numRef>
              <c:f>[0]!Delhi</c:f>
              <c:numCache>
                <c:formatCode>General</c:formatCode>
                <c:ptCount val="11"/>
                <c:pt idx="0">
                  <c:v>185743</c:v>
                </c:pt>
                <c:pt idx="1">
                  <c:v>399658</c:v>
                </c:pt>
                <c:pt idx="2">
                  <c:v>239350</c:v>
                </c:pt>
                <c:pt idx="3">
                  <c:v>302659</c:v>
                </c:pt>
                <c:pt idx="4">
                  <c:v>471594</c:v>
                </c:pt>
                <c:pt idx="5">
                  <c:v>368190</c:v>
                </c:pt>
                <c:pt idx="6">
                  <c:v>168628</c:v>
                </c:pt>
                <c:pt idx="7">
                  <c:v>352832</c:v>
                </c:pt>
                <c:pt idx="8">
                  <c:v>150841</c:v>
                </c:pt>
                <c:pt idx="9">
                  <c:v>134745</c:v>
                </c:pt>
                <c:pt idx="10">
                  <c:v>403058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EB-4644-9CB5-59D7942A3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111616"/>
        <c:axId val="326113152"/>
      </c:barChart>
      <c:catAx>
        <c:axId val="326111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6113152"/>
        <c:crosses val="autoZero"/>
        <c:auto val="1"/>
        <c:lblAlgn val="ctr"/>
        <c:lblOffset val="100"/>
        <c:noMultiLvlLbl val="0"/>
      </c:catAx>
      <c:valAx>
        <c:axId val="3261131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26111616"/>
        <c:crosses val="autoZero"/>
        <c:crossBetween val="between"/>
      </c:valAx>
      <c:spPr>
        <a:gradFill rotWithShape="1">
          <a:gsLst>
            <a:gs pos="0">
              <a:schemeClr val="accent3">
                <a:tint val="50000"/>
                <a:satMod val="300000"/>
              </a:schemeClr>
            </a:gs>
            <a:gs pos="35000">
              <a:schemeClr val="accent3">
                <a:tint val="37000"/>
                <a:satMod val="300000"/>
              </a:schemeClr>
            </a:gs>
            <a:gs pos="100000">
              <a:schemeClr val="accent3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solidFill>
            <a:schemeClr val="accent3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plotArea>
    <c:plotVisOnly val="1"/>
    <c:dispBlanksAs val="gap"/>
    <c:showDLblsOverMax val="0"/>
  </c:chart>
  <c:spPr>
    <a:gradFill rotWithShape="1">
      <a:gsLst>
        <a:gs pos="0">
          <a:schemeClr val="accent5">
            <a:tint val="50000"/>
            <a:satMod val="300000"/>
          </a:schemeClr>
        </a:gs>
        <a:gs pos="35000">
          <a:schemeClr val="accent5">
            <a:tint val="37000"/>
            <a:satMod val="300000"/>
          </a:schemeClr>
        </a:gs>
        <a:gs pos="100000">
          <a:schemeClr val="accent5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5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I$7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Scroll" dx="16" fmlaLink="$G$4" horiz="1" max="100" min="1" page="10" val="98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checked="Checked" firstButton="1" fmlaLink="$L$3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firstButton="1" fmlaLink="$O$2" lockText="1" noThreeD="1"/>
</file>

<file path=xl/ctrlProps/ctrlProp14.xml><?xml version="1.0" encoding="utf-8"?>
<formControlPr xmlns="http://schemas.microsoft.com/office/spreadsheetml/2009/9/main" objectType="Radio" checked="Checked" lockText="1" noThreeD="1"/>
</file>

<file path=xl/ctrlProps/ctrlProp15.xml><?xml version="1.0" encoding="utf-8"?>
<formControlPr xmlns="http://schemas.microsoft.com/office/spreadsheetml/2009/9/main" objectType="Drop" dropStyle="combo" dx="16" fmlaLink="$P$2" fmlaRange="Combo" sel="3" val="0"/>
</file>

<file path=xl/ctrlProps/ctrlProp16.xml><?xml version="1.0" encoding="utf-8"?>
<formControlPr xmlns="http://schemas.microsoft.com/office/spreadsheetml/2009/9/main" objectType="Scroll" dx="16" fmlaLink="$Q$2" horiz="1" max="25" min="1" page="10" val="5"/>
</file>

<file path=xl/ctrlProps/ctrlProp17.xml><?xml version="1.0" encoding="utf-8"?>
<formControlPr xmlns="http://schemas.microsoft.com/office/spreadsheetml/2009/9/main" objectType="Drop" dropStyle="combo" dx="16" fmlaLink="$O$2" fmlaRange="$Q$2:$Q$11" sel="9" val="2"/>
</file>

<file path=xl/ctrlProps/ctrlProp18.xml><?xml version="1.0" encoding="utf-8"?>
<formControlPr xmlns="http://schemas.microsoft.com/office/spreadsheetml/2009/9/main" objectType="Drop" dropStyle="combo" dx="16" fmlaLink="$P$2" fmlaRange="$AF$1:$AF$13" sel="11" val="5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142875</xdr:rowOff>
    </xdr:from>
    <xdr:to>
      <xdr:col>6</xdr:col>
      <xdr:colOff>228600</xdr:colOff>
      <xdr:row>21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28575</xdr:rowOff>
        </xdr:from>
        <xdr:to>
          <xdr:col>12</xdr:col>
          <xdr:colOff>9525</xdr:colOff>
          <xdr:row>2</xdr:row>
          <xdr:rowOff>114300</xdr:rowOff>
        </xdr:to>
        <xdr:sp macro="" textlink="">
          <xdr:nvSpPr>
            <xdr:cNvPr id="18478" name="Group Box 46" hidden="1">
              <a:extLst>
                <a:ext uri="{63B3BB69-23CF-44E3-9099-C40C66FF867C}">
                  <a14:compatExt spid="_x0000_s18478"/>
                </a:ext>
                <a:ext uri="{FF2B5EF4-FFF2-40B4-BE49-F238E27FC236}">
                  <a16:creationId xmlns:a16="http://schemas.microsoft.com/office/drawing/2014/main" id="{00000000-0008-0000-0200-00002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0</xdr:row>
          <xdr:rowOff>57150</xdr:rowOff>
        </xdr:from>
        <xdr:to>
          <xdr:col>2</xdr:col>
          <xdr:colOff>190500</xdr:colOff>
          <xdr:row>1</xdr:row>
          <xdr:rowOff>171450</xdr:rowOff>
        </xdr:to>
        <xdr:sp macro="" textlink="">
          <xdr:nvSpPr>
            <xdr:cNvPr id="18479" name="Option Button 47" hidden="1">
              <a:extLst>
                <a:ext uri="{63B3BB69-23CF-44E3-9099-C40C66FF867C}">
                  <a14:compatExt spid="_x0000_s18479"/>
                </a:ext>
                <a:ext uri="{FF2B5EF4-FFF2-40B4-BE49-F238E27FC236}">
                  <a16:creationId xmlns:a16="http://schemas.microsoft.com/office/drawing/2014/main" id="{00000000-0008-0000-0200-00002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Team 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0</xdr:row>
          <xdr:rowOff>57150</xdr:rowOff>
        </xdr:from>
        <xdr:to>
          <xdr:col>5</xdr:col>
          <xdr:colOff>190500</xdr:colOff>
          <xdr:row>1</xdr:row>
          <xdr:rowOff>171450</xdr:rowOff>
        </xdr:to>
        <xdr:sp macro="" textlink="">
          <xdr:nvSpPr>
            <xdr:cNvPr id="18480" name="Option Button 48" hidden="1">
              <a:extLst>
                <a:ext uri="{63B3BB69-23CF-44E3-9099-C40C66FF867C}">
                  <a14:compatExt spid="_x0000_s18480"/>
                </a:ext>
                <a:ext uri="{FF2B5EF4-FFF2-40B4-BE49-F238E27FC236}">
                  <a16:creationId xmlns:a16="http://schemas.microsoft.com/office/drawing/2014/main" id="{00000000-0008-0000-0200-00003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Team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57150</xdr:rowOff>
        </xdr:from>
        <xdr:to>
          <xdr:col>8</xdr:col>
          <xdr:colOff>190500</xdr:colOff>
          <xdr:row>1</xdr:row>
          <xdr:rowOff>171450</xdr:rowOff>
        </xdr:to>
        <xdr:sp macro="" textlink="">
          <xdr:nvSpPr>
            <xdr:cNvPr id="18481" name="Option Button 49" hidden="1">
              <a:extLst>
                <a:ext uri="{63B3BB69-23CF-44E3-9099-C40C66FF867C}">
                  <a14:compatExt spid="_x0000_s18481"/>
                </a:ext>
                <a:ext uri="{FF2B5EF4-FFF2-40B4-BE49-F238E27FC236}">
                  <a16:creationId xmlns:a16="http://schemas.microsoft.com/office/drawing/2014/main" id="{00000000-0008-0000-0200-00003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Team 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0</xdr:row>
          <xdr:rowOff>57150</xdr:rowOff>
        </xdr:from>
        <xdr:to>
          <xdr:col>11</xdr:col>
          <xdr:colOff>190500</xdr:colOff>
          <xdr:row>1</xdr:row>
          <xdr:rowOff>171450</xdr:rowOff>
        </xdr:to>
        <xdr:sp macro="" textlink="">
          <xdr:nvSpPr>
            <xdr:cNvPr id="18482" name="Option Button 50" hidden="1">
              <a:extLst>
                <a:ext uri="{63B3BB69-23CF-44E3-9099-C40C66FF867C}">
                  <a14:compatExt spid="_x0000_s18482"/>
                </a:ext>
                <a:ext uri="{FF2B5EF4-FFF2-40B4-BE49-F238E27FC236}">
                  <a16:creationId xmlns:a16="http://schemas.microsoft.com/office/drawing/2014/main" id="{00000000-0008-0000-0200-00003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Team D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19049</xdr:colOff>
      <xdr:row>3</xdr:row>
      <xdr:rowOff>116032</xdr:rowOff>
    </xdr:from>
    <xdr:to>
      <xdr:col>12</xdr:col>
      <xdr:colOff>9524</xdr:colOff>
      <xdr:row>21</xdr:row>
      <xdr:rowOff>131618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20</xdr:row>
          <xdr:rowOff>133350</xdr:rowOff>
        </xdr:from>
        <xdr:to>
          <xdr:col>16</xdr:col>
          <xdr:colOff>533400</xdr:colOff>
          <xdr:row>22</xdr:row>
          <xdr:rowOff>161925</xdr:rowOff>
        </xdr:to>
        <xdr:sp macro="" textlink="">
          <xdr:nvSpPr>
            <xdr:cNvPr id="19466" name="Scroll Bar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3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47624</xdr:colOff>
      <xdr:row>0</xdr:row>
      <xdr:rowOff>47624</xdr:rowOff>
    </xdr:from>
    <xdr:to>
      <xdr:col>17</xdr:col>
      <xdr:colOff>76199</xdr:colOff>
      <xdr:row>20</xdr:row>
      <xdr:rowOff>114299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168519</xdr:colOff>
      <xdr:row>1</xdr:row>
      <xdr:rowOff>115766</xdr:rowOff>
    </xdr:from>
    <xdr:to>
      <xdr:col>14</xdr:col>
      <xdr:colOff>483577</xdr:colOff>
      <xdr:row>16</xdr:row>
      <xdr:rowOff>1466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21555" name="Group Box 51" hidden="1">
              <a:extLst>
                <a:ext uri="{63B3BB69-23CF-44E3-9099-C40C66FF867C}">
                  <a14:compatExt spid="_x0000_s21555"/>
                </a:ext>
                <a:ext uri="{FF2B5EF4-FFF2-40B4-BE49-F238E27FC236}">
                  <a16:creationId xmlns:a16="http://schemas.microsoft.com/office/drawing/2014/main" id="{00000000-0008-0000-0500-00003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</xdr:row>
          <xdr:rowOff>57150</xdr:rowOff>
        </xdr:from>
        <xdr:to>
          <xdr:col>3</xdr:col>
          <xdr:colOff>476250</xdr:colOff>
          <xdr:row>3</xdr:row>
          <xdr:rowOff>0</xdr:rowOff>
        </xdr:to>
        <xdr:sp macro="" textlink="">
          <xdr:nvSpPr>
            <xdr:cNvPr id="21556" name="Option Button 52" hidden="1">
              <a:extLst>
                <a:ext uri="{63B3BB69-23CF-44E3-9099-C40C66FF867C}">
                  <a14:compatExt spid="_x0000_s21556"/>
                </a:ext>
                <a:ext uri="{FF2B5EF4-FFF2-40B4-BE49-F238E27FC236}">
                  <a16:creationId xmlns:a16="http://schemas.microsoft.com/office/drawing/2014/main" id="{00000000-0008-0000-0500-00003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47625</xdr:rowOff>
        </xdr:from>
        <xdr:to>
          <xdr:col>5</xdr:col>
          <xdr:colOff>476250</xdr:colOff>
          <xdr:row>2</xdr:row>
          <xdr:rowOff>266700</xdr:rowOff>
        </xdr:to>
        <xdr:sp macro="" textlink="">
          <xdr:nvSpPr>
            <xdr:cNvPr id="21557" name="Option Button 53" hidden="1">
              <a:extLst>
                <a:ext uri="{63B3BB69-23CF-44E3-9099-C40C66FF867C}">
                  <a14:compatExt spid="_x0000_s21557"/>
                </a:ext>
                <a:ext uri="{FF2B5EF4-FFF2-40B4-BE49-F238E27FC236}">
                  <a16:creationId xmlns:a16="http://schemas.microsoft.com/office/drawing/2014/main" id="{00000000-0008-0000-0500-00003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Austrelia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</xdr:row>
          <xdr:rowOff>47625</xdr:rowOff>
        </xdr:from>
        <xdr:to>
          <xdr:col>7</xdr:col>
          <xdr:colOff>371475</xdr:colOff>
          <xdr:row>2</xdr:row>
          <xdr:rowOff>266700</xdr:rowOff>
        </xdr:to>
        <xdr:sp macro="" textlink="">
          <xdr:nvSpPr>
            <xdr:cNvPr id="21558" name="Option Button 54" hidden="1">
              <a:extLst>
                <a:ext uri="{63B3BB69-23CF-44E3-9099-C40C66FF867C}">
                  <a14:compatExt spid="_x0000_s21558"/>
                </a:ext>
                <a:ext uri="{FF2B5EF4-FFF2-40B4-BE49-F238E27FC236}">
                  <a16:creationId xmlns:a16="http://schemas.microsoft.com/office/drawing/2014/main" id="{00000000-0008-0000-0500-00003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England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2</xdr:row>
          <xdr:rowOff>47625</xdr:rowOff>
        </xdr:from>
        <xdr:to>
          <xdr:col>9</xdr:col>
          <xdr:colOff>476250</xdr:colOff>
          <xdr:row>2</xdr:row>
          <xdr:rowOff>266700</xdr:rowOff>
        </xdr:to>
        <xdr:sp macro="" textlink="">
          <xdr:nvSpPr>
            <xdr:cNvPr id="21559" name="Option Button 55" hidden="1">
              <a:extLst>
                <a:ext uri="{63B3BB69-23CF-44E3-9099-C40C66FF867C}">
                  <a14:compatExt spid="_x0000_s21559"/>
                </a:ext>
                <a:ext uri="{FF2B5EF4-FFF2-40B4-BE49-F238E27FC236}">
                  <a16:creationId xmlns:a16="http://schemas.microsoft.com/office/drawing/2014/main" id="{00000000-0008-0000-0500-00003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West Indies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9524</xdr:colOff>
      <xdr:row>10</xdr:row>
      <xdr:rowOff>28575</xdr:rowOff>
    </xdr:from>
    <xdr:to>
      <xdr:col>10</xdr:col>
      <xdr:colOff>28574</xdr:colOff>
      <xdr:row>24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5</xdr:row>
      <xdr:rowOff>152400</xdr:rowOff>
    </xdr:from>
    <xdr:to>
      <xdr:col>19</xdr:col>
      <xdr:colOff>342900</xdr:colOff>
      <xdr:row>24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352425</xdr:colOff>
      <xdr:row>0</xdr:row>
      <xdr:rowOff>114300</xdr:rowOff>
    </xdr:from>
    <xdr:to>
      <xdr:col>10</xdr:col>
      <xdr:colOff>238125</xdr:colOff>
      <xdr:row>3</xdr:row>
      <xdr:rowOff>66675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4305300" y="114300"/>
          <a:ext cx="2324100" cy="523875"/>
        </a:xfrm>
        <a:prstGeom prst="leftArrow">
          <a:avLst>
            <a:gd name="adj1" fmla="val 50000"/>
            <a:gd name="adj2" fmla="val 15363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</a:t>
          </a:r>
          <a:r>
            <a:rPr lang="en-US" sz="1100" baseline="0"/>
            <a:t> for Change Month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5</xdr:row>
          <xdr:rowOff>9525</xdr:rowOff>
        </xdr:from>
        <xdr:to>
          <xdr:col>17</xdr:col>
          <xdr:colOff>190500</xdr:colOff>
          <xdr:row>9</xdr:row>
          <xdr:rowOff>161925</xdr:rowOff>
        </xdr:to>
        <xdr:sp macro="" textlink="">
          <xdr:nvSpPr>
            <xdr:cNvPr id="5190" name="Group Box 7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7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Group Box 70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5</xdr:row>
          <xdr:rowOff>85725</xdr:rowOff>
        </xdr:from>
        <xdr:to>
          <xdr:col>17</xdr:col>
          <xdr:colOff>38100</xdr:colOff>
          <xdr:row>7</xdr:row>
          <xdr:rowOff>57150</xdr:rowOff>
        </xdr:to>
        <xdr:sp macro="" textlink="">
          <xdr:nvSpPr>
            <xdr:cNvPr id="5191" name="Option Button 71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7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India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57150</xdr:colOff>
          <xdr:row>7</xdr:row>
          <xdr:rowOff>85725</xdr:rowOff>
        </xdr:from>
        <xdr:to>
          <xdr:col>17</xdr:col>
          <xdr:colOff>38100</xdr:colOff>
          <xdr:row>9</xdr:row>
          <xdr:rowOff>57150</xdr:rowOff>
        </xdr:to>
        <xdr:sp macro="" textlink="">
          <xdr:nvSpPr>
            <xdr:cNvPr id="5192" name="Option Button 72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7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Austrelia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11</xdr:row>
          <xdr:rowOff>9525</xdr:rowOff>
        </xdr:from>
        <xdr:to>
          <xdr:col>17</xdr:col>
          <xdr:colOff>104775</xdr:colOff>
          <xdr:row>12</xdr:row>
          <xdr:rowOff>28575</xdr:rowOff>
        </xdr:to>
        <xdr:sp macro="" textlink="">
          <xdr:nvSpPr>
            <xdr:cNvPr id="5193" name="Drop Down 73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7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21</xdr:row>
          <xdr:rowOff>85725</xdr:rowOff>
        </xdr:from>
        <xdr:to>
          <xdr:col>14</xdr:col>
          <xdr:colOff>47625</xdr:colOff>
          <xdr:row>24</xdr:row>
          <xdr:rowOff>104775</xdr:rowOff>
        </xdr:to>
        <xdr:sp macro="" textlink="">
          <xdr:nvSpPr>
            <xdr:cNvPr id="5194" name="Scroll Bar 74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7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19050</xdr:colOff>
      <xdr:row>0</xdr:row>
      <xdr:rowOff>28575</xdr:rowOff>
    </xdr:from>
    <xdr:to>
      <xdr:col>14</xdr:col>
      <xdr:colOff>38100</xdr:colOff>
      <xdr:row>21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13</xdr:col>
      <xdr:colOff>552450</xdr:colOff>
      <xdr:row>24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0</xdr:row>
          <xdr:rowOff>171450</xdr:rowOff>
        </xdr:from>
        <xdr:to>
          <xdr:col>3</xdr:col>
          <xdr:colOff>371475</xdr:colOff>
          <xdr:row>2</xdr:row>
          <xdr:rowOff>38100</xdr:rowOff>
        </xdr:to>
        <xdr:sp macro="" textlink="">
          <xdr:nvSpPr>
            <xdr:cNvPr id="24581" name="Drop Dow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8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266700</xdr:colOff>
          <xdr:row>0</xdr:row>
          <xdr:rowOff>180975</xdr:rowOff>
        </xdr:from>
        <xdr:to>
          <xdr:col>13</xdr:col>
          <xdr:colOff>371475</xdr:colOff>
          <xdr:row>2</xdr:row>
          <xdr:rowOff>47625</xdr:rowOff>
        </xdr:to>
        <xdr:sp macro="" textlink="">
          <xdr:nvSpPr>
            <xdr:cNvPr id="24582" name="Drop Dow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8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G1:P4"/>
  <sheetViews>
    <sheetView workbookViewId="0">
      <selection activeCell="G1" sqref="G1:P4"/>
    </sheetView>
  </sheetViews>
  <sheetFormatPr defaultRowHeight="15" x14ac:dyDescent="0.25"/>
  <sheetData>
    <row r="1" spans="7:16" x14ac:dyDescent="0.25">
      <c r="G1" s="39" t="s">
        <v>186</v>
      </c>
      <c r="H1" s="40"/>
      <c r="I1" s="40"/>
      <c r="J1" s="40"/>
      <c r="K1" s="40"/>
      <c r="L1" s="40"/>
      <c r="M1" s="40"/>
      <c r="N1" s="40"/>
      <c r="O1" s="40"/>
      <c r="P1" s="41"/>
    </row>
    <row r="2" spans="7:16" x14ac:dyDescent="0.25">
      <c r="G2" s="42"/>
      <c r="H2" s="43"/>
      <c r="I2" s="43"/>
      <c r="J2" s="43"/>
      <c r="K2" s="43"/>
      <c r="L2" s="43"/>
      <c r="M2" s="43"/>
      <c r="N2" s="43"/>
      <c r="O2" s="43"/>
      <c r="P2" s="44"/>
    </row>
    <row r="3" spans="7:16" x14ac:dyDescent="0.25">
      <c r="G3" s="42"/>
      <c r="H3" s="43"/>
      <c r="I3" s="43"/>
      <c r="J3" s="43"/>
      <c r="K3" s="43"/>
      <c r="L3" s="43"/>
      <c r="M3" s="43"/>
      <c r="N3" s="43"/>
      <c r="O3" s="43"/>
      <c r="P3" s="44"/>
    </row>
    <row r="4" spans="7:16" ht="15.75" thickBot="1" x14ac:dyDescent="0.3">
      <c r="G4" s="45"/>
      <c r="H4" s="46"/>
      <c r="I4" s="46"/>
      <c r="J4" s="46"/>
      <c r="K4" s="46"/>
      <c r="L4" s="46"/>
      <c r="M4" s="46"/>
      <c r="N4" s="46"/>
      <c r="O4" s="46"/>
      <c r="P4" s="47"/>
    </row>
  </sheetData>
  <mergeCells count="1">
    <mergeCell ref="G1:P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J11"/>
  <sheetViews>
    <sheetView workbookViewId="0">
      <selection activeCell="J7" sqref="J7"/>
    </sheetView>
  </sheetViews>
  <sheetFormatPr defaultRowHeight="15" x14ac:dyDescent="0.25"/>
  <cols>
    <col min="1" max="1" width="19.42578125" bestFit="1" customWidth="1"/>
    <col min="10" max="10" width="18" customWidth="1"/>
  </cols>
  <sheetData>
    <row r="1" spans="1:10" x14ac:dyDescent="0.25">
      <c r="A1" s="25" t="s">
        <v>38</v>
      </c>
      <c r="B1" s="25" t="s">
        <v>39</v>
      </c>
      <c r="C1" s="25" t="s">
        <v>40</v>
      </c>
      <c r="D1" s="25" t="s">
        <v>41</v>
      </c>
      <c r="E1" s="25" t="s">
        <v>42</v>
      </c>
      <c r="F1" s="25" t="s">
        <v>43</v>
      </c>
    </row>
    <row r="2" spans="1:10" x14ac:dyDescent="0.25">
      <c r="A2" s="3" t="s">
        <v>33</v>
      </c>
      <c r="B2" s="3">
        <v>200</v>
      </c>
      <c r="C2" s="3">
        <v>220</v>
      </c>
      <c r="D2" s="3">
        <v>300</v>
      </c>
      <c r="E2" s="3">
        <v>400</v>
      </c>
      <c r="F2" s="3">
        <v>500</v>
      </c>
    </row>
    <row r="3" spans="1:10" x14ac:dyDescent="0.25">
      <c r="A3" s="3" t="s">
        <v>34</v>
      </c>
      <c r="B3" s="3">
        <v>123</v>
      </c>
      <c r="C3" s="3">
        <v>145</v>
      </c>
      <c r="D3" s="3">
        <v>120</v>
      </c>
      <c r="E3" s="3">
        <v>120</v>
      </c>
      <c r="F3" s="3">
        <v>120</v>
      </c>
    </row>
    <row r="4" spans="1:10" x14ac:dyDescent="0.25">
      <c r="A4" s="3" t="s">
        <v>35</v>
      </c>
      <c r="B4" s="3">
        <v>22</v>
      </c>
      <c r="C4" s="3">
        <v>12</v>
      </c>
      <c r="D4" s="3">
        <v>1</v>
      </c>
      <c r="E4" s="3">
        <v>2</v>
      </c>
      <c r="F4" s="3">
        <v>3</v>
      </c>
    </row>
    <row r="5" spans="1:10" x14ac:dyDescent="0.25">
      <c r="A5" s="3" t="s">
        <v>36</v>
      </c>
      <c r="B5" s="3">
        <v>123</v>
      </c>
      <c r="C5" s="3">
        <v>300</v>
      </c>
      <c r="D5" s="3">
        <v>340</v>
      </c>
      <c r="E5" s="3">
        <v>330</v>
      </c>
      <c r="F5" s="3">
        <v>550</v>
      </c>
    </row>
    <row r="6" spans="1:10" x14ac:dyDescent="0.25">
      <c r="A6" s="4" t="s">
        <v>37</v>
      </c>
      <c r="B6" s="4">
        <f>SUM(B2:B5)</f>
        <v>468</v>
      </c>
      <c r="C6" s="4">
        <f>SUM(C2:C5)</f>
        <v>677</v>
      </c>
      <c r="D6" s="4">
        <f>SUM(D2:D5)</f>
        <v>761</v>
      </c>
      <c r="E6" s="4">
        <f>SUM(E2:E5)</f>
        <v>852</v>
      </c>
      <c r="F6" s="4">
        <f>SUM(F2:F5)</f>
        <v>1173</v>
      </c>
    </row>
    <row r="7" spans="1:10" x14ac:dyDescent="0.25">
      <c r="J7" t="s">
        <v>36</v>
      </c>
    </row>
    <row r="10" spans="1:10" x14ac:dyDescent="0.25">
      <c r="A10" s="25" t="s">
        <v>38</v>
      </c>
      <c r="B10" s="25" t="s">
        <v>39</v>
      </c>
      <c r="C10" s="25" t="s">
        <v>40</v>
      </c>
      <c r="D10" s="25" t="s">
        <v>41</v>
      </c>
      <c r="E10" s="25" t="s">
        <v>42</v>
      </c>
      <c r="F10" s="25" t="s">
        <v>43</v>
      </c>
    </row>
    <row r="11" spans="1:10" x14ac:dyDescent="0.25">
      <c r="A11" t="str">
        <f>J7</f>
        <v>Bonus</v>
      </c>
      <c r="B11">
        <f>VLOOKUP($A$11,$A$1:$F$6,MATCH(B$10,$A$1:$F$1,0),0)</f>
        <v>123</v>
      </c>
      <c r="C11">
        <f t="shared" ref="C11:F11" si="0">VLOOKUP($A$11,$A$1:$F$6,MATCH(C$10,$A$1:$F$1,0),0)</f>
        <v>300</v>
      </c>
      <c r="D11">
        <f t="shared" si="0"/>
        <v>340</v>
      </c>
      <c r="E11">
        <f t="shared" si="0"/>
        <v>330</v>
      </c>
      <c r="F11">
        <f t="shared" si="0"/>
        <v>550</v>
      </c>
    </row>
  </sheetData>
  <dataValidations count="1">
    <dataValidation type="list" allowBlank="1" showInputMessage="1" showErrorMessage="1" sqref="J7" xr:uid="{00000000-0002-0000-0100-000000000000}">
      <formula1>$A$2:$A$6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C1:Y19"/>
  <sheetViews>
    <sheetView showGridLines="0" workbookViewId="0">
      <selection activeCell="Q7" sqref="Q7"/>
    </sheetView>
  </sheetViews>
  <sheetFormatPr defaultRowHeight="15" x14ac:dyDescent="0.25"/>
  <cols>
    <col min="14" max="14" width="7" customWidth="1"/>
    <col min="15" max="15" width="13.7109375" bestFit="1" customWidth="1"/>
    <col min="16" max="16" width="7.7109375" customWidth="1"/>
    <col min="17" max="17" width="7" customWidth="1"/>
    <col min="18" max="18" width="13.7109375" bestFit="1" customWidth="1"/>
    <col min="19" max="19" width="7.7109375" customWidth="1"/>
    <col min="20" max="20" width="7" customWidth="1"/>
    <col min="21" max="21" width="13.7109375" bestFit="1" customWidth="1"/>
    <col min="22" max="22" width="7.7109375" customWidth="1"/>
    <col min="23" max="23" width="7" customWidth="1"/>
    <col min="24" max="24" width="13.7109375" bestFit="1" customWidth="1"/>
    <col min="25" max="25" width="7.7109375" customWidth="1"/>
  </cols>
  <sheetData>
    <row r="1" spans="3:25" x14ac:dyDescent="0.25">
      <c r="N1" s="48" t="s">
        <v>67</v>
      </c>
      <c r="O1" s="48"/>
      <c r="P1" s="48"/>
      <c r="Q1" s="48" t="s">
        <v>68</v>
      </c>
      <c r="R1" s="48"/>
      <c r="S1" s="48"/>
      <c r="T1" s="48" t="s">
        <v>69</v>
      </c>
      <c r="U1" s="48"/>
      <c r="V1" s="48"/>
      <c r="W1" s="48" t="s">
        <v>70</v>
      </c>
      <c r="X1" s="48"/>
      <c r="Y1" s="48"/>
    </row>
    <row r="2" spans="3:25" ht="16.5" x14ac:dyDescent="0.25">
      <c r="N2" s="30" t="s">
        <v>29</v>
      </c>
      <c r="O2" s="31" t="s">
        <v>71</v>
      </c>
      <c r="P2" s="32" t="s">
        <v>31</v>
      </c>
      <c r="Q2" s="33" t="s">
        <v>29</v>
      </c>
      <c r="R2" s="31" t="s">
        <v>71</v>
      </c>
      <c r="S2" s="32" t="s">
        <v>31</v>
      </c>
      <c r="T2" s="33" t="s">
        <v>29</v>
      </c>
      <c r="U2" s="31" t="s">
        <v>71</v>
      </c>
      <c r="V2" s="32" t="s">
        <v>31</v>
      </c>
      <c r="W2" s="33" t="s">
        <v>29</v>
      </c>
      <c r="X2" s="31" t="s">
        <v>71</v>
      </c>
      <c r="Y2" s="32" t="s">
        <v>31</v>
      </c>
    </row>
    <row r="3" spans="3:25" x14ac:dyDescent="0.25">
      <c r="N3" s="34">
        <v>40544</v>
      </c>
      <c r="O3" s="10">
        <v>35</v>
      </c>
      <c r="P3" s="10">
        <v>40</v>
      </c>
      <c r="Q3" s="34">
        <v>40544</v>
      </c>
      <c r="R3" s="10">
        <v>56</v>
      </c>
      <c r="S3" s="10">
        <v>50</v>
      </c>
      <c r="T3" s="34">
        <v>40544</v>
      </c>
      <c r="U3" s="10">
        <v>29</v>
      </c>
      <c r="V3" s="10">
        <f ca="1">RANDBETWEEN(20,32)</f>
        <v>22</v>
      </c>
      <c r="W3" s="34">
        <v>40544</v>
      </c>
      <c r="X3" s="10">
        <v>36</v>
      </c>
      <c r="Y3" s="10">
        <v>52</v>
      </c>
    </row>
    <row r="4" spans="3:25" x14ac:dyDescent="0.25">
      <c r="N4" s="34">
        <v>40575</v>
      </c>
      <c r="O4" s="10">
        <v>50</v>
      </c>
      <c r="P4" s="10">
        <v>45</v>
      </c>
      <c r="Q4" s="34">
        <v>40575</v>
      </c>
      <c r="R4" s="10">
        <v>52</v>
      </c>
      <c r="S4" s="10">
        <v>12</v>
      </c>
      <c r="T4" s="34">
        <v>40575</v>
      </c>
      <c r="U4" s="10">
        <v>54</v>
      </c>
      <c r="V4" s="10">
        <f t="shared" ref="V4:V14" ca="1" si="0">RANDBETWEEN(20,32)</f>
        <v>28</v>
      </c>
      <c r="W4" s="34">
        <v>40575</v>
      </c>
      <c r="X4" s="10">
        <v>58</v>
      </c>
      <c r="Y4" s="10">
        <v>36</v>
      </c>
    </row>
    <row r="5" spans="3:25" x14ac:dyDescent="0.25">
      <c r="N5" s="34">
        <v>40603</v>
      </c>
      <c r="O5" s="10">
        <v>40</v>
      </c>
      <c r="P5" s="10">
        <v>50</v>
      </c>
      <c r="Q5" s="34">
        <v>40603</v>
      </c>
      <c r="R5" s="10">
        <v>42</v>
      </c>
      <c r="S5" s="10">
        <v>46</v>
      </c>
      <c r="T5" s="34">
        <v>40603</v>
      </c>
      <c r="U5" s="10">
        <v>44</v>
      </c>
      <c r="V5" s="10">
        <f t="shared" ca="1" si="0"/>
        <v>31</v>
      </c>
      <c r="W5" s="34">
        <v>40603</v>
      </c>
      <c r="X5" s="10">
        <v>72</v>
      </c>
      <c r="Y5" s="10">
        <v>51</v>
      </c>
    </row>
    <row r="6" spans="3:25" x14ac:dyDescent="0.25">
      <c r="C6" s="48" t="s">
        <v>67</v>
      </c>
      <c r="D6" s="48"/>
      <c r="E6" s="48"/>
      <c r="N6" s="34">
        <v>40634</v>
      </c>
      <c r="O6" s="10">
        <v>60</v>
      </c>
      <c r="P6" s="10">
        <v>55</v>
      </c>
      <c r="Q6" s="34">
        <v>40634</v>
      </c>
      <c r="R6" s="10">
        <v>54</v>
      </c>
      <c r="S6" s="10">
        <v>35</v>
      </c>
      <c r="T6" s="34">
        <v>40634</v>
      </c>
      <c r="U6" s="10">
        <v>48</v>
      </c>
      <c r="V6" s="10">
        <f t="shared" ca="1" si="0"/>
        <v>20</v>
      </c>
      <c r="W6" s="34">
        <v>40634</v>
      </c>
      <c r="X6" s="10">
        <v>62</v>
      </c>
      <c r="Y6" s="10">
        <v>44</v>
      </c>
    </row>
    <row r="7" spans="3:25" ht="16.5" x14ac:dyDescent="0.25">
      <c r="C7" s="30" t="s">
        <v>29</v>
      </c>
      <c r="D7" s="31" t="s">
        <v>71</v>
      </c>
      <c r="E7" s="32" t="s">
        <v>31</v>
      </c>
      <c r="I7">
        <v>4</v>
      </c>
      <c r="N7" s="34">
        <v>40664</v>
      </c>
      <c r="O7" s="10">
        <v>25</v>
      </c>
      <c r="P7" s="10">
        <v>50</v>
      </c>
      <c r="Q7" s="34">
        <v>40664</v>
      </c>
      <c r="R7" s="10">
        <v>26</v>
      </c>
      <c r="S7" s="10">
        <v>13</v>
      </c>
      <c r="T7" s="34">
        <v>40664</v>
      </c>
      <c r="U7" s="10">
        <v>27</v>
      </c>
      <c r="V7" s="10">
        <f t="shared" ca="1" si="0"/>
        <v>21</v>
      </c>
      <c r="W7" s="34">
        <v>40664</v>
      </c>
      <c r="X7" s="10">
        <v>31</v>
      </c>
      <c r="Y7" s="10">
        <v>51</v>
      </c>
    </row>
    <row r="8" spans="3:25" x14ac:dyDescent="0.25">
      <c r="C8" s="34">
        <v>40544</v>
      </c>
      <c r="D8" s="10">
        <f t="shared" ref="D8:D19" si="1">CHOOSE($I$7,O3,R3,U3,X3)</f>
        <v>36</v>
      </c>
      <c r="E8" s="10">
        <f t="shared" ref="E8:E19" si="2">CHOOSE($I$7,P3,S3,V3,Y3)</f>
        <v>52</v>
      </c>
      <c r="N8" s="34">
        <v>40695</v>
      </c>
      <c r="O8" s="10">
        <v>45</v>
      </c>
      <c r="P8" s="10">
        <v>60</v>
      </c>
      <c r="Q8" s="34">
        <v>40695</v>
      </c>
      <c r="R8" s="10">
        <v>46</v>
      </c>
      <c r="S8" s="10">
        <v>34</v>
      </c>
      <c r="T8" s="34">
        <v>40695</v>
      </c>
      <c r="U8" s="10">
        <v>47</v>
      </c>
      <c r="V8" s="10">
        <f t="shared" ca="1" si="0"/>
        <v>21</v>
      </c>
      <c r="W8" s="34">
        <v>40695</v>
      </c>
      <c r="X8" s="10">
        <v>61</v>
      </c>
      <c r="Y8" s="10">
        <v>46</v>
      </c>
    </row>
    <row r="9" spans="3:25" x14ac:dyDescent="0.25">
      <c r="C9" s="34">
        <v>40575</v>
      </c>
      <c r="D9" s="10">
        <f t="shared" si="1"/>
        <v>58</v>
      </c>
      <c r="E9" s="10">
        <f t="shared" si="2"/>
        <v>36</v>
      </c>
      <c r="N9" s="34">
        <v>40725</v>
      </c>
      <c r="O9" s="10">
        <v>61</v>
      </c>
      <c r="P9" s="10">
        <v>65</v>
      </c>
      <c r="Q9" s="34">
        <v>40725</v>
      </c>
      <c r="R9" s="10">
        <v>64</v>
      </c>
      <c r="S9" s="10">
        <v>16</v>
      </c>
      <c r="T9" s="34">
        <v>40725</v>
      </c>
      <c r="U9" s="10">
        <v>67</v>
      </c>
      <c r="V9" s="10">
        <f t="shared" ca="1" si="0"/>
        <v>20</v>
      </c>
      <c r="W9" s="34">
        <v>40725</v>
      </c>
      <c r="X9" s="10">
        <v>74</v>
      </c>
      <c r="Y9" s="10">
        <v>55</v>
      </c>
    </row>
    <row r="10" spans="3:25" x14ac:dyDescent="0.25">
      <c r="C10" s="34">
        <v>40603</v>
      </c>
      <c r="D10" s="10">
        <f t="shared" si="1"/>
        <v>72</v>
      </c>
      <c r="E10" s="10">
        <f t="shared" si="2"/>
        <v>51</v>
      </c>
      <c r="N10" s="34">
        <v>40756</v>
      </c>
      <c r="O10" s="10">
        <v>53</v>
      </c>
      <c r="P10" s="10">
        <v>65</v>
      </c>
      <c r="Q10" s="34">
        <v>40756</v>
      </c>
      <c r="R10" s="10">
        <v>58</v>
      </c>
      <c r="S10" s="10">
        <v>46</v>
      </c>
      <c r="T10" s="34">
        <v>40756</v>
      </c>
      <c r="U10" s="10">
        <v>63</v>
      </c>
      <c r="V10" s="10">
        <f t="shared" ca="1" si="0"/>
        <v>22</v>
      </c>
      <c r="W10" s="34">
        <v>40756</v>
      </c>
      <c r="X10" s="10">
        <v>63</v>
      </c>
      <c r="Y10" s="10">
        <v>38</v>
      </c>
    </row>
    <row r="11" spans="3:25" x14ac:dyDescent="0.25">
      <c r="C11" s="34">
        <v>40634</v>
      </c>
      <c r="D11" s="10">
        <f t="shared" si="1"/>
        <v>62</v>
      </c>
      <c r="E11" s="10">
        <f t="shared" si="2"/>
        <v>44</v>
      </c>
      <c r="N11" s="34">
        <v>40787</v>
      </c>
      <c r="O11" s="10">
        <v>70</v>
      </c>
      <c r="P11" s="10">
        <v>70</v>
      </c>
      <c r="Q11" s="34">
        <v>40787</v>
      </c>
      <c r="R11" s="10">
        <v>49</v>
      </c>
      <c r="S11" s="10">
        <v>32</v>
      </c>
      <c r="T11" s="34">
        <v>40787</v>
      </c>
      <c r="U11" s="10">
        <v>53</v>
      </c>
      <c r="V11" s="10">
        <f t="shared" ca="1" si="0"/>
        <v>21</v>
      </c>
      <c r="W11" s="34">
        <v>40787</v>
      </c>
      <c r="X11" s="10">
        <v>53</v>
      </c>
      <c r="Y11" s="10">
        <v>47</v>
      </c>
    </row>
    <row r="12" spans="3:25" x14ac:dyDescent="0.25">
      <c r="C12" s="34">
        <v>40664</v>
      </c>
      <c r="D12" s="10">
        <f t="shared" si="1"/>
        <v>31</v>
      </c>
      <c r="E12" s="10">
        <f t="shared" si="2"/>
        <v>51</v>
      </c>
      <c r="N12" s="34">
        <v>40817</v>
      </c>
      <c r="O12" s="10">
        <v>52</v>
      </c>
      <c r="P12" s="10">
        <v>70</v>
      </c>
      <c r="Q12" s="34">
        <v>40817</v>
      </c>
      <c r="R12" s="10">
        <v>47</v>
      </c>
      <c r="S12" s="10">
        <v>34</v>
      </c>
      <c r="T12" s="34">
        <v>40817</v>
      </c>
      <c r="U12" s="10">
        <v>42</v>
      </c>
      <c r="V12" s="10">
        <f t="shared" ca="1" si="0"/>
        <v>28</v>
      </c>
      <c r="W12" s="34">
        <v>40817</v>
      </c>
      <c r="X12" s="10">
        <v>57</v>
      </c>
      <c r="Y12" s="10">
        <v>48</v>
      </c>
    </row>
    <row r="13" spans="3:25" x14ac:dyDescent="0.25">
      <c r="C13" s="34">
        <v>40695</v>
      </c>
      <c r="D13" s="10">
        <f t="shared" si="1"/>
        <v>61</v>
      </c>
      <c r="E13" s="10">
        <f t="shared" si="2"/>
        <v>46</v>
      </c>
      <c r="N13" s="34">
        <v>40848</v>
      </c>
      <c r="O13" s="10">
        <v>89</v>
      </c>
      <c r="P13" s="10">
        <v>75</v>
      </c>
      <c r="Q13" s="34">
        <v>40848</v>
      </c>
      <c r="R13" s="10">
        <v>80</v>
      </c>
      <c r="S13" s="10">
        <v>15</v>
      </c>
      <c r="T13" s="34">
        <v>40848</v>
      </c>
      <c r="U13" s="10">
        <v>31</v>
      </c>
      <c r="V13" s="10">
        <f t="shared" ca="1" si="0"/>
        <v>31</v>
      </c>
      <c r="W13" s="34">
        <v>40848</v>
      </c>
      <c r="X13" s="10">
        <v>31</v>
      </c>
      <c r="Y13" s="10">
        <v>36</v>
      </c>
    </row>
    <row r="14" spans="3:25" x14ac:dyDescent="0.25">
      <c r="C14" s="34">
        <v>40725</v>
      </c>
      <c r="D14" s="10">
        <f t="shared" si="1"/>
        <v>74</v>
      </c>
      <c r="E14" s="10">
        <f t="shared" si="2"/>
        <v>55</v>
      </c>
      <c r="N14" s="34">
        <v>40878</v>
      </c>
      <c r="O14" s="10">
        <v>45</v>
      </c>
      <c r="P14" s="10">
        <v>75</v>
      </c>
      <c r="Q14" s="34">
        <v>40878</v>
      </c>
      <c r="R14" s="10">
        <v>44</v>
      </c>
      <c r="S14" s="10">
        <v>26</v>
      </c>
      <c r="T14" s="34">
        <v>40878</v>
      </c>
      <c r="U14" s="10">
        <v>43</v>
      </c>
      <c r="V14" s="10">
        <f t="shared" ca="1" si="0"/>
        <v>29</v>
      </c>
      <c r="W14" s="34">
        <v>40878</v>
      </c>
      <c r="X14" s="10">
        <v>54</v>
      </c>
      <c r="Y14" s="10">
        <v>37</v>
      </c>
    </row>
    <row r="15" spans="3:25" x14ac:dyDescent="0.25">
      <c r="C15" s="34">
        <v>40756</v>
      </c>
      <c r="D15" s="10">
        <f t="shared" si="1"/>
        <v>63</v>
      </c>
      <c r="E15" s="10">
        <f t="shared" si="2"/>
        <v>38</v>
      </c>
    </row>
    <row r="16" spans="3:25" x14ac:dyDescent="0.25">
      <c r="C16" s="34">
        <v>40787</v>
      </c>
      <c r="D16" s="10">
        <f t="shared" si="1"/>
        <v>53</v>
      </c>
      <c r="E16" s="10">
        <f t="shared" si="2"/>
        <v>47</v>
      </c>
    </row>
    <row r="17" spans="3:5" x14ac:dyDescent="0.25">
      <c r="C17" s="34">
        <v>40817</v>
      </c>
      <c r="D17" s="10">
        <f t="shared" si="1"/>
        <v>57</v>
      </c>
      <c r="E17" s="10">
        <f t="shared" si="2"/>
        <v>48</v>
      </c>
    </row>
    <row r="18" spans="3:5" x14ac:dyDescent="0.25">
      <c r="C18" s="34">
        <v>40848</v>
      </c>
      <c r="D18" s="10">
        <f t="shared" si="1"/>
        <v>31</v>
      </c>
      <c r="E18" s="10">
        <f t="shared" si="2"/>
        <v>36</v>
      </c>
    </row>
    <row r="19" spans="3:5" x14ac:dyDescent="0.25">
      <c r="C19" s="34">
        <v>40878</v>
      </c>
      <c r="D19" s="10">
        <f t="shared" si="1"/>
        <v>54</v>
      </c>
      <c r="E19" s="10">
        <f t="shared" si="2"/>
        <v>37</v>
      </c>
    </row>
  </sheetData>
  <mergeCells count="5">
    <mergeCell ref="C6:E6"/>
    <mergeCell ref="N1:P1"/>
    <mergeCell ref="Q1:S1"/>
    <mergeCell ref="T1:V1"/>
    <mergeCell ref="W1:Y1"/>
  </mergeCells>
  <conditionalFormatting sqref="P2">
    <cfRule type="expression" dxfId="59" priority="190" stopIfTrue="1">
      <formula>$M2="Backout"</formula>
    </cfRule>
    <cfRule type="expression" dxfId="58" priority="191" stopIfTrue="1">
      <formula>#REF!="KPIT"</formula>
    </cfRule>
    <cfRule type="expression" dxfId="57" priority="192" stopIfTrue="1">
      <formula>#REF!="BPC"</formula>
    </cfRule>
  </conditionalFormatting>
  <conditionalFormatting sqref="P2">
    <cfRule type="expression" dxfId="56" priority="187" stopIfTrue="1">
      <formula>$M2="Backout"</formula>
    </cfRule>
    <cfRule type="expression" dxfId="55" priority="188" stopIfTrue="1">
      <formula>#REF!="KPIT"</formula>
    </cfRule>
    <cfRule type="expression" dxfId="54" priority="189" stopIfTrue="1">
      <formula>#REF!="BPC"</formula>
    </cfRule>
  </conditionalFormatting>
  <conditionalFormatting sqref="P2">
    <cfRule type="expression" dxfId="53" priority="184" stopIfTrue="1">
      <formula>$M2="Backout"</formula>
    </cfRule>
    <cfRule type="expression" dxfId="52" priority="185" stopIfTrue="1">
      <formula>#REF!="KPIT"</formula>
    </cfRule>
    <cfRule type="expression" dxfId="51" priority="186" stopIfTrue="1">
      <formula>#REF!="BPC"</formula>
    </cfRule>
  </conditionalFormatting>
  <conditionalFormatting sqref="P2">
    <cfRule type="expression" dxfId="50" priority="181" stopIfTrue="1">
      <formula>$M2="Backout"</formula>
    </cfRule>
    <cfRule type="expression" dxfId="49" priority="182" stopIfTrue="1">
      <formula>#REF!="KPIT"</formula>
    </cfRule>
    <cfRule type="expression" dxfId="48" priority="183" stopIfTrue="1">
      <formula>#REF!="BPC"</formula>
    </cfRule>
  </conditionalFormatting>
  <conditionalFormatting sqref="S2">
    <cfRule type="expression" dxfId="47" priority="178" stopIfTrue="1">
      <formula>$M2="Backout"</formula>
    </cfRule>
    <cfRule type="expression" dxfId="46" priority="179" stopIfTrue="1">
      <formula>#REF!="KPIT"</formula>
    </cfRule>
    <cfRule type="expression" dxfId="45" priority="180" stopIfTrue="1">
      <formula>#REF!="BPC"</formula>
    </cfRule>
  </conditionalFormatting>
  <conditionalFormatting sqref="S2">
    <cfRule type="expression" dxfId="44" priority="175" stopIfTrue="1">
      <formula>$M2="Backout"</formula>
    </cfRule>
    <cfRule type="expression" dxfId="43" priority="176" stopIfTrue="1">
      <formula>#REF!="KPIT"</formula>
    </cfRule>
    <cfRule type="expression" dxfId="42" priority="177" stopIfTrue="1">
      <formula>#REF!="BPC"</formula>
    </cfRule>
  </conditionalFormatting>
  <conditionalFormatting sqref="S2">
    <cfRule type="expression" dxfId="41" priority="172" stopIfTrue="1">
      <formula>$M2="Backout"</formula>
    </cfRule>
    <cfRule type="expression" dxfId="40" priority="173" stopIfTrue="1">
      <formula>#REF!="KPIT"</formula>
    </cfRule>
    <cfRule type="expression" dxfId="39" priority="174" stopIfTrue="1">
      <formula>#REF!="BPC"</formula>
    </cfRule>
  </conditionalFormatting>
  <conditionalFormatting sqref="S2">
    <cfRule type="expression" dxfId="38" priority="169" stopIfTrue="1">
      <formula>$M2="Backout"</formula>
    </cfRule>
    <cfRule type="expression" dxfId="37" priority="170" stopIfTrue="1">
      <formula>#REF!="KPIT"</formula>
    </cfRule>
    <cfRule type="expression" dxfId="36" priority="171" stopIfTrue="1">
      <formula>#REF!="BPC"</formula>
    </cfRule>
  </conditionalFormatting>
  <conditionalFormatting sqref="V2">
    <cfRule type="expression" dxfId="35" priority="166" stopIfTrue="1">
      <formula>$M2="Backout"</formula>
    </cfRule>
    <cfRule type="expression" dxfId="34" priority="167" stopIfTrue="1">
      <formula>#REF!="KPIT"</formula>
    </cfRule>
    <cfRule type="expression" dxfId="33" priority="168" stopIfTrue="1">
      <formula>#REF!="BPC"</formula>
    </cfRule>
  </conditionalFormatting>
  <conditionalFormatting sqref="V2">
    <cfRule type="expression" dxfId="32" priority="163" stopIfTrue="1">
      <formula>$M2="Backout"</formula>
    </cfRule>
    <cfRule type="expression" dxfId="31" priority="164" stopIfTrue="1">
      <formula>#REF!="KPIT"</formula>
    </cfRule>
    <cfRule type="expression" dxfId="30" priority="165" stopIfTrue="1">
      <formula>#REF!="BPC"</formula>
    </cfRule>
  </conditionalFormatting>
  <conditionalFormatting sqref="V2">
    <cfRule type="expression" dxfId="29" priority="160" stopIfTrue="1">
      <formula>$M2="Backout"</formula>
    </cfRule>
    <cfRule type="expression" dxfId="28" priority="161" stopIfTrue="1">
      <formula>#REF!="KPIT"</formula>
    </cfRule>
    <cfRule type="expression" dxfId="27" priority="162" stopIfTrue="1">
      <formula>#REF!="BPC"</formula>
    </cfRule>
  </conditionalFormatting>
  <conditionalFormatting sqref="V2">
    <cfRule type="expression" dxfId="26" priority="157" stopIfTrue="1">
      <formula>$M2="Backout"</formula>
    </cfRule>
    <cfRule type="expression" dxfId="25" priority="158" stopIfTrue="1">
      <formula>#REF!="KPIT"</formula>
    </cfRule>
    <cfRule type="expression" dxfId="24" priority="159" stopIfTrue="1">
      <formula>#REF!="BPC"</formula>
    </cfRule>
  </conditionalFormatting>
  <conditionalFormatting sqref="Y2">
    <cfRule type="expression" dxfId="23" priority="154" stopIfTrue="1">
      <formula>$M2="Backout"</formula>
    </cfRule>
    <cfRule type="expression" dxfId="22" priority="155" stopIfTrue="1">
      <formula>#REF!="KPIT"</formula>
    </cfRule>
    <cfRule type="expression" dxfId="21" priority="156" stopIfTrue="1">
      <formula>#REF!="BPC"</formula>
    </cfRule>
  </conditionalFormatting>
  <conditionalFormatting sqref="Y2">
    <cfRule type="expression" dxfId="20" priority="151" stopIfTrue="1">
      <formula>$M2="Backout"</formula>
    </cfRule>
    <cfRule type="expression" dxfId="19" priority="152" stopIfTrue="1">
      <formula>#REF!="KPIT"</formula>
    </cfRule>
    <cfRule type="expression" dxfId="18" priority="153" stopIfTrue="1">
      <formula>#REF!="BPC"</formula>
    </cfRule>
  </conditionalFormatting>
  <conditionalFormatting sqref="Y2">
    <cfRule type="expression" dxfId="17" priority="148" stopIfTrue="1">
      <formula>$M2="Backout"</formula>
    </cfRule>
    <cfRule type="expression" dxfId="16" priority="149" stopIfTrue="1">
      <formula>#REF!="KPIT"</formula>
    </cfRule>
    <cfRule type="expression" dxfId="15" priority="150" stopIfTrue="1">
      <formula>#REF!="BPC"</formula>
    </cfRule>
  </conditionalFormatting>
  <conditionalFormatting sqref="Y2">
    <cfRule type="expression" dxfId="14" priority="145" stopIfTrue="1">
      <formula>$M2="Backout"</formula>
    </cfRule>
    <cfRule type="expression" dxfId="13" priority="146" stopIfTrue="1">
      <formula>#REF!="KPIT"</formula>
    </cfRule>
    <cfRule type="expression" dxfId="12" priority="147" stopIfTrue="1">
      <formula>#REF!="BPC"</formula>
    </cfRule>
  </conditionalFormatting>
  <conditionalFormatting sqref="E7">
    <cfRule type="expression" dxfId="11" priority="10" stopIfTrue="1">
      <formula>$M7="Backout"</formula>
    </cfRule>
    <cfRule type="expression" dxfId="10" priority="11" stopIfTrue="1">
      <formula>#REF!="KPIT"</formula>
    </cfRule>
    <cfRule type="expression" dxfId="9" priority="12" stopIfTrue="1">
      <formula>#REF!="BPC"</formula>
    </cfRule>
  </conditionalFormatting>
  <conditionalFormatting sqref="E7">
    <cfRule type="expression" dxfId="8" priority="7" stopIfTrue="1">
      <formula>$M7="Backout"</formula>
    </cfRule>
    <cfRule type="expression" dxfId="7" priority="8" stopIfTrue="1">
      <formula>#REF!="KPIT"</formula>
    </cfRule>
    <cfRule type="expression" dxfId="6" priority="9" stopIfTrue="1">
      <formula>#REF!="BPC"</formula>
    </cfRule>
  </conditionalFormatting>
  <conditionalFormatting sqref="E7">
    <cfRule type="expression" dxfId="5" priority="4" stopIfTrue="1">
      <formula>$M7="Backout"</formula>
    </cfRule>
    <cfRule type="expression" dxfId="4" priority="5" stopIfTrue="1">
      <formula>#REF!="KPIT"</formula>
    </cfRule>
    <cfRule type="expression" dxfId="3" priority="6" stopIfTrue="1">
      <formula>#REF!="BPC"</formula>
    </cfRule>
  </conditionalFormatting>
  <conditionalFormatting sqref="E7">
    <cfRule type="expression" dxfId="2" priority="1" stopIfTrue="1">
      <formula>$M7="Backout"</formula>
    </cfRule>
    <cfRule type="expression" dxfId="1" priority="2" stopIfTrue="1">
      <formula>#REF!="KPIT"</formula>
    </cfRule>
    <cfRule type="expression" dxfId="0" priority="3" stopIfTrue="1">
      <formula>#REF!="BPC"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78" r:id="rId4" name="Group Box 46">
              <controlPr defaultSize="0" autoFill="0" autoPict="0">
                <anchor moveWithCells="1">
                  <from>
                    <xdr:col>0</xdr:col>
                    <xdr:colOff>9525</xdr:colOff>
                    <xdr:row>0</xdr:row>
                    <xdr:rowOff>28575</xdr:rowOff>
                  </from>
                  <to>
                    <xdr:col>12</xdr:col>
                    <xdr:colOff>9525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9" r:id="rId5" name="Option Button 47">
              <controlPr defaultSize="0" autoFill="0" autoLine="0" autoPict="0">
                <anchor moveWithCells="1">
                  <from>
                    <xdr:col>0</xdr:col>
                    <xdr:colOff>114300</xdr:colOff>
                    <xdr:row>0</xdr:row>
                    <xdr:rowOff>57150</xdr:rowOff>
                  </from>
                  <to>
                    <xdr:col>2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0" r:id="rId6" name="Option Button 48">
              <controlPr defaultSize="0" autoFill="0" autoLine="0" autoPict="0">
                <anchor moveWithCells="1">
                  <from>
                    <xdr:col>3</xdr:col>
                    <xdr:colOff>114300</xdr:colOff>
                    <xdr:row>0</xdr:row>
                    <xdr:rowOff>57150</xdr:rowOff>
                  </from>
                  <to>
                    <xdr:col>5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1" r:id="rId7" name="Option Button 49">
              <controlPr defaultSize="0" autoFill="0" autoLine="0" autoPict="0">
                <anchor moveWithCells="1">
                  <from>
                    <xdr:col>6</xdr:col>
                    <xdr:colOff>114300</xdr:colOff>
                    <xdr:row>0</xdr:row>
                    <xdr:rowOff>57150</xdr:rowOff>
                  </from>
                  <to>
                    <xdr:col>8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2" r:id="rId8" name="Option Button 50">
              <controlPr defaultSize="0" autoFill="0" autoLine="0" autoPict="0">
                <anchor moveWithCells="1">
                  <from>
                    <xdr:col>9</xdr:col>
                    <xdr:colOff>114300</xdr:colOff>
                    <xdr:row>0</xdr:row>
                    <xdr:rowOff>57150</xdr:rowOff>
                  </from>
                  <to>
                    <xdr:col>11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J101"/>
  <sheetViews>
    <sheetView workbookViewId="0">
      <selection activeCell="B11" sqref="B11"/>
    </sheetView>
  </sheetViews>
  <sheetFormatPr defaultRowHeight="15" x14ac:dyDescent="0.25"/>
  <cols>
    <col min="1" max="3" width="16.42578125" style="14" customWidth="1"/>
    <col min="4" max="4" width="16.42578125" style="15" customWidth="1"/>
    <col min="5" max="16384" width="9.140625" style="9"/>
  </cols>
  <sheetData>
    <row r="1" spans="1:10" customFormat="1" x14ac:dyDescent="0.25">
      <c r="A1" s="28" t="s">
        <v>66</v>
      </c>
      <c r="B1" s="28" t="s">
        <v>31</v>
      </c>
      <c r="C1" s="28" t="s">
        <v>32</v>
      </c>
      <c r="D1" s="29" t="s">
        <v>72</v>
      </c>
    </row>
    <row r="2" spans="1:10" customFormat="1" x14ac:dyDescent="0.25">
      <c r="A2" s="11" t="s">
        <v>0</v>
      </c>
      <c r="B2" s="11">
        <v>100</v>
      </c>
      <c r="C2" s="11">
        <v>38</v>
      </c>
      <c r="D2" s="12">
        <f>C2/B2</f>
        <v>0.38</v>
      </c>
    </row>
    <row r="3" spans="1:10" customFormat="1" x14ac:dyDescent="0.25">
      <c r="A3" s="11" t="s">
        <v>1</v>
      </c>
      <c r="B3" s="11">
        <v>70</v>
      </c>
      <c r="C3" s="11">
        <v>48</v>
      </c>
      <c r="D3" s="12">
        <f t="shared" ref="D3:D66" si="0">C3/B3</f>
        <v>0.68571428571428572</v>
      </c>
    </row>
    <row r="4" spans="1:10" customFormat="1" x14ac:dyDescent="0.25">
      <c r="A4" s="11" t="s">
        <v>2</v>
      </c>
      <c r="B4" s="11">
        <v>63</v>
      </c>
      <c r="C4" s="11">
        <v>48</v>
      </c>
      <c r="D4" s="12">
        <f t="shared" si="0"/>
        <v>0.76190476190476186</v>
      </c>
      <c r="G4">
        <v>98</v>
      </c>
    </row>
    <row r="5" spans="1:10" customFormat="1" ht="25.5" x14ac:dyDescent="0.25">
      <c r="A5" s="11" t="s">
        <v>73</v>
      </c>
      <c r="B5" s="11">
        <v>75</v>
      </c>
      <c r="C5" s="11">
        <v>25</v>
      </c>
      <c r="D5" s="12">
        <f t="shared" si="0"/>
        <v>0.33333333333333331</v>
      </c>
      <c r="G5" s="28" t="s">
        <v>66</v>
      </c>
      <c r="H5" s="28" t="s">
        <v>31</v>
      </c>
      <c r="I5" s="28" t="s">
        <v>32</v>
      </c>
      <c r="J5" s="29" t="s">
        <v>72</v>
      </c>
    </row>
    <row r="6" spans="1:10" customFormat="1" x14ac:dyDescent="0.25">
      <c r="A6" s="11" t="s">
        <v>74</v>
      </c>
      <c r="B6" s="11">
        <v>42</v>
      </c>
      <c r="C6" s="11">
        <v>37</v>
      </c>
      <c r="D6" s="12">
        <f t="shared" si="0"/>
        <v>0.88095238095238093</v>
      </c>
      <c r="G6" s="11" t="str">
        <f ca="1">OFFSET(A1,$G$4,0)</f>
        <v>UUUU</v>
      </c>
      <c r="H6" s="11">
        <f t="shared" ref="H6:J11" ca="1" si="1">OFFSET(B1,$G$4,0)</f>
        <v>61</v>
      </c>
      <c r="I6" s="11">
        <f t="shared" ca="1" si="1"/>
        <v>57</v>
      </c>
      <c r="J6" s="12">
        <f t="shared" ca="1" si="1"/>
        <v>0.93442622950819676</v>
      </c>
    </row>
    <row r="7" spans="1:10" customFormat="1" x14ac:dyDescent="0.25">
      <c r="A7" s="11" t="s">
        <v>75</v>
      </c>
      <c r="B7" s="11">
        <v>71</v>
      </c>
      <c r="C7" s="11">
        <v>65</v>
      </c>
      <c r="D7" s="12">
        <f t="shared" si="0"/>
        <v>0.91549295774647887</v>
      </c>
      <c r="G7" s="11" t="str">
        <f t="shared" ref="G7:G11" ca="1" si="2">OFFSET(A2,$G$4,0)</f>
        <v>VVVV</v>
      </c>
      <c r="H7" s="11">
        <f t="shared" ca="1" si="1"/>
        <v>70</v>
      </c>
      <c r="I7" s="11">
        <f t="shared" ca="1" si="1"/>
        <v>40</v>
      </c>
      <c r="J7" s="12">
        <f t="shared" ca="1" si="1"/>
        <v>0.5714285714285714</v>
      </c>
    </row>
    <row r="8" spans="1:10" customFormat="1" x14ac:dyDescent="0.25">
      <c r="A8" s="11" t="s">
        <v>76</v>
      </c>
      <c r="B8" s="11">
        <v>89</v>
      </c>
      <c r="C8" s="11">
        <v>58</v>
      </c>
      <c r="D8" s="12">
        <f t="shared" si="0"/>
        <v>0.651685393258427</v>
      </c>
      <c r="G8" s="11" t="str">
        <f t="shared" ca="1" si="2"/>
        <v>WWWW</v>
      </c>
      <c r="H8" s="11">
        <f t="shared" ca="1" si="1"/>
        <v>61</v>
      </c>
      <c r="I8" s="11">
        <f t="shared" ca="1" si="1"/>
        <v>57</v>
      </c>
      <c r="J8" s="12">
        <f t="shared" ca="1" si="1"/>
        <v>0.93442622950819676</v>
      </c>
    </row>
    <row r="9" spans="1:10" customFormat="1" x14ac:dyDescent="0.25">
      <c r="A9" s="11" t="s">
        <v>77</v>
      </c>
      <c r="B9" s="11">
        <v>78</v>
      </c>
      <c r="C9" s="11">
        <v>20</v>
      </c>
      <c r="D9" s="12">
        <f t="shared" si="0"/>
        <v>0.25641025641025639</v>
      </c>
      <c r="G9" s="11">
        <f t="shared" ca="1" si="2"/>
        <v>0</v>
      </c>
      <c r="H9" s="11">
        <f t="shared" ca="1" si="1"/>
        <v>0</v>
      </c>
      <c r="I9" s="11">
        <f t="shared" ca="1" si="1"/>
        <v>0</v>
      </c>
      <c r="J9" s="12">
        <f t="shared" ca="1" si="1"/>
        <v>0</v>
      </c>
    </row>
    <row r="10" spans="1:10" customFormat="1" x14ac:dyDescent="0.25">
      <c r="A10" s="11" t="s">
        <v>78</v>
      </c>
      <c r="B10" s="11">
        <v>70</v>
      </c>
      <c r="C10" s="11">
        <v>70</v>
      </c>
      <c r="D10" s="12">
        <f t="shared" si="0"/>
        <v>1</v>
      </c>
      <c r="G10" s="11">
        <f t="shared" ca="1" si="2"/>
        <v>0</v>
      </c>
      <c r="H10" s="11">
        <f t="shared" ca="1" si="1"/>
        <v>0</v>
      </c>
      <c r="I10" s="11">
        <f t="shared" ca="1" si="1"/>
        <v>0</v>
      </c>
      <c r="J10" s="12">
        <f t="shared" ca="1" si="1"/>
        <v>0</v>
      </c>
    </row>
    <row r="11" spans="1:10" customFormat="1" x14ac:dyDescent="0.25">
      <c r="A11" s="11" t="s">
        <v>79</v>
      </c>
      <c r="B11" s="11">
        <v>90</v>
      </c>
      <c r="C11" s="11">
        <v>31</v>
      </c>
      <c r="D11" s="12">
        <f t="shared" si="0"/>
        <v>0.34444444444444444</v>
      </c>
      <c r="G11" s="11">
        <f t="shared" ca="1" si="2"/>
        <v>0</v>
      </c>
      <c r="H11" s="11">
        <f t="shared" ca="1" si="1"/>
        <v>0</v>
      </c>
      <c r="I11" s="11">
        <f t="shared" ca="1" si="1"/>
        <v>0</v>
      </c>
      <c r="J11" s="12">
        <f t="shared" ca="1" si="1"/>
        <v>0</v>
      </c>
    </row>
    <row r="12" spans="1:10" customFormat="1" x14ac:dyDescent="0.25">
      <c r="A12" s="11" t="s">
        <v>80</v>
      </c>
      <c r="B12" s="11">
        <v>45</v>
      </c>
      <c r="C12" s="11">
        <v>30</v>
      </c>
      <c r="D12" s="12">
        <f t="shared" si="0"/>
        <v>0.66666666666666663</v>
      </c>
    </row>
    <row r="13" spans="1:10" customFormat="1" x14ac:dyDescent="0.25">
      <c r="A13" s="11" t="s">
        <v>81</v>
      </c>
      <c r="B13" s="11">
        <v>70</v>
      </c>
      <c r="C13" s="11">
        <v>40</v>
      </c>
      <c r="D13" s="12">
        <f t="shared" si="0"/>
        <v>0.5714285714285714</v>
      </c>
    </row>
    <row r="14" spans="1:10" customFormat="1" x14ac:dyDescent="0.25">
      <c r="A14" s="11" t="s">
        <v>82</v>
      </c>
      <c r="B14" s="11">
        <v>62</v>
      </c>
      <c r="C14" s="11">
        <v>41</v>
      </c>
      <c r="D14" s="12">
        <f t="shared" si="0"/>
        <v>0.66129032258064513</v>
      </c>
    </row>
    <row r="15" spans="1:10" customFormat="1" x14ac:dyDescent="0.25">
      <c r="A15" s="11" t="s">
        <v>83</v>
      </c>
      <c r="B15" s="11">
        <v>57</v>
      </c>
      <c r="C15" s="11">
        <v>13</v>
      </c>
      <c r="D15" s="12">
        <f t="shared" si="0"/>
        <v>0.22807017543859648</v>
      </c>
    </row>
    <row r="16" spans="1:10" customFormat="1" x14ac:dyDescent="0.25">
      <c r="A16" s="11" t="s">
        <v>84</v>
      </c>
      <c r="B16" s="11">
        <v>93</v>
      </c>
      <c r="C16" s="11">
        <v>48</v>
      </c>
      <c r="D16" s="12">
        <f t="shared" si="0"/>
        <v>0.5161290322580645</v>
      </c>
    </row>
    <row r="17" spans="1:4" customFormat="1" x14ac:dyDescent="0.25">
      <c r="A17" s="11" t="s">
        <v>85</v>
      </c>
      <c r="B17" s="11">
        <v>57</v>
      </c>
      <c r="C17" s="11">
        <v>22</v>
      </c>
      <c r="D17" s="12">
        <f t="shared" si="0"/>
        <v>0.38596491228070173</v>
      </c>
    </row>
    <row r="18" spans="1:4" customFormat="1" x14ac:dyDescent="0.25">
      <c r="A18" s="11" t="s">
        <v>86</v>
      </c>
      <c r="B18" s="11">
        <v>58</v>
      </c>
      <c r="C18" s="11">
        <v>42</v>
      </c>
      <c r="D18" s="12">
        <f t="shared" si="0"/>
        <v>0.72413793103448276</v>
      </c>
    </row>
    <row r="19" spans="1:4" customFormat="1" x14ac:dyDescent="0.25">
      <c r="A19" s="11" t="s">
        <v>87</v>
      </c>
      <c r="B19" s="11">
        <v>17</v>
      </c>
      <c r="C19" s="11">
        <v>15</v>
      </c>
      <c r="D19" s="12">
        <f t="shared" si="0"/>
        <v>0.88235294117647056</v>
      </c>
    </row>
    <row r="20" spans="1:4" customFormat="1" x14ac:dyDescent="0.25">
      <c r="A20" s="11" t="s">
        <v>88</v>
      </c>
      <c r="B20" s="11">
        <v>89</v>
      </c>
      <c r="C20" s="11">
        <v>53</v>
      </c>
      <c r="D20" s="12">
        <f t="shared" si="0"/>
        <v>0.5955056179775281</v>
      </c>
    </row>
    <row r="21" spans="1:4" customFormat="1" x14ac:dyDescent="0.25">
      <c r="A21" s="11" t="s">
        <v>89</v>
      </c>
      <c r="B21" s="11">
        <v>30</v>
      </c>
      <c r="C21" s="11">
        <v>11</v>
      </c>
      <c r="D21" s="12">
        <f t="shared" si="0"/>
        <v>0.36666666666666664</v>
      </c>
    </row>
    <row r="22" spans="1:4" customFormat="1" x14ac:dyDescent="0.25">
      <c r="A22" s="11" t="s">
        <v>90</v>
      </c>
      <c r="B22" s="11">
        <v>52</v>
      </c>
      <c r="C22" s="11">
        <v>35</v>
      </c>
      <c r="D22" s="12">
        <f t="shared" si="0"/>
        <v>0.67307692307692313</v>
      </c>
    </row>
    <row r="23" spans="1:4" customFormat="1" x14ac:dyDescent="0.25">
      <c r="A23" s="11" t="s">
        <v>91</v>
      </c>
      <c r="B23" s="11">
        <v>25</v>
      </c>
      <c r="C23" s="11">
        <v>12</v>
      </c>
      <c r="D23" s="12">
        <f t="shared" si="0"/>
        <v>0.48</v>
      </c>
    </row>
    <row r="24" spans="1:4" customFormat="1" x14ac:dyDescent="0.25">
      <c r="A24" s="11" t="s">
        <v>92</v>
      </c>
      <c r="B24" s="11">
        <v>80</v>
      </c>
      <c r="C24" s="11">
        <v>23</v>
      </c>
      <c r="D24" s="12">
        <f t="shared" si="0"/>
        <v>0.28749999999999998</v>
      </c>
    </row>
    <row r="25" spans="1:4" customFormat="1" x14ac:dyDescent="0.25">
      <c r="A25" s="11" t="s">
        <v>3</v>
      </c>
      <c r="B25" s="11">
        <v>50</v>
      </c>
      <c r="C25" s="11">
        <v>23</v>
      </c>
      <c r="D25" s="12">
        <f t="shared" si="0"/>
        <v>0.46</v>
      </c>
    </row>
    <row r="26" spans="1:4" customFormat="1" x14ac:dyDescent="0.25">
      <c r="A26" s="11" t="s">
        <v>4</v>
      </c>
      <c r="B26" s="11">
        <v>48</v>
      </c>
      <c r="C26" s="11">
        <v>45</v>
      </c>
      <c r="D26" s="12">
        <f t="shared" si="0"/>
        <v>0.9375</v>
      </c>
    </row>
    <row r="27" spans="1:4" customFormat="1" x14ac:dyDescent="0.25">
      <c r="A27" s="11" t="s">
        <v>93</v>
      </c>
      <c r="B27" s="11">
        <v>75</v>
      </c>
      <c r="C27" s="11">
        <v>14</v>
      </c>
      <c r="D27" s="12">
        <f t="shared" si="0"/>
        <v>0.18666666666666668</v>
      </c>
    </row>
    <row r="28" spans="1:4" customFormat="1" x14ac:dyDescent="0.25">
      <c r="A28" s="11" t="s">
        <v>94</v>
      </c>
      <c r="B28" s="11">
        <v>55</v>
      </c>
      <c r="C28" s="11">
        <v>28</v>
      </c>
      <c r="D28" s="12">
        <f t="shared" si="0"/>
        <v>0.50909090909090904</v>
      </c>
    </row>
    <row r="29" spans="1:4" customFormat="1" x14ac:dyDescent="0.25">
      <c r="A29" s="11" t="s">
        <v>95</v>
      </c>
      <c r="B29" s="11">
        <v>92</v>
      </c>
      <c r="C29" s="11">
        <v>72</v>
      </c>
      <c r="D29" s="12">
        <f t="shared" si="0"/>
        <v>0.78260869565217395</v>
      </c>
    </row>
    <row r="30" spans="1:4" customFormat="1" x14ac:dyDescent="0.25">
      <c r="A30" s="11" t="s">
        <v>96</v>
      </c>
      <c r="B30" s="11">
        <v>63</v>
      </c>
      <c r="C30" s="11">
        <v>24</v>
      </c>
      <c r="D30" s="12">
        <f t="shared" si="0"/>
        <v>0.38095238095238093</v>
      </c>
    </row>
    <row r="31" spans="1:4" customFormat="1" x14ac:dyDescent="0.25">
      <c r="A31" s="11" t="s">
        <v>97</v>
      </c>
      <c r="B31" s="11">
        <v>78</v>
      </c>
      <c r="C31" s="11">
        <v>64</v>
      </c>
      <c r="D31" s="12">
        <f t="shared" si="0"/>
        <v>0.82051282051282048</v>
      </c>
    </row>
    <row r="32" spans="1:4" customFormat="1" x14ac:dyDescent="0.25">
      <c r="A32" s="11" t="s">
        <v>98</v>
      </c>
      <c r="B32" s="11">
        <v>75</v>
      </c>
      <c r="C32" s="11">
        <v>45</v>
      </c>
      <c r="D32" s="12">
        <f t="shared" si="0"/>
        <v>0.6</v>
      </c>
    </row>
    <row r="33" spans="1:4" customFormat="1" x14ac:dyDescent="0.25">
      <c r="A33" s="11" t="s">
        <v>99</v>
      </c>
      <c r="B33" s="11">
        <v>73</v>
      </c>
      <c r="C33" s="11">
        <v>60</v>
      </c>
      <c r="D33" s="12">
        <f t="shared" si="0"/>
        <v>0.82191780821917804</v>
      </c>
    </row>
    <row r="34" spans="1:4" customFormat="1" x14ac:dyDescent="0.25">
      <c r="A34" s="11" t="s">
        <v>100</v>
      </c>
      <c r="B34" s="11">
        <v>100</v>
      </c>
      <c r="C34" s="11">
        <v>30</v>
      </c>
      <c r="D34" s="12">
        <f t="shared" si="0"/>
        <v>0.3</v>
      </c>
    </row>
    <row r="35" spans="1:4" customFormat="1" x14ac:dyDescent="0.25">
      <c r="A35" s="11" t="s">
        <v>101</v>
      </c>
      <c r="B35" s="11">
        <v>45</v>
      </c>
      <c r="C35" s="11">
        <v>11</v>
      </c>
      <c r="D35" s="12">
        <f t="shared" si="0"/>
        <v>0.24444444444444444</v>
      </c>
    </row>
    <row r="36" spans="1:4" customFormat="1" x14ac:dyDescent="0.25">
      <c r="A36" s="11" t="s">
        <v>102</v>
      </c>
      <c r="B36" s="11">
        <v>34</v>
      </c>
      <c r="C36" s="11">
        <v>20</v>
      </c>
      <c r="D36" s="12">
        <f t="shared" si="0"/>
        <v>0.58823529411764708</v>
      </c>
    </row>
    <row r="37" spans="1:4" customFormat="1" x14ac:dyDescent="0.25">
      <c r="A37" s="11" t="s">
        <v>103</v>
      </c>
      <c r="B37" s="11">
        <v>71</v>
      </c>
      <c r="C37" s="11">
        <v>43</v>
      </c>
      <c r="D37" s="12">
        <f t="shared" si="0"/>
        <v>0.60563380281690138</v>
      </c>
    </row>
    <row r="38" spans="1:4" customFormat="1" x14ac:dyDescent="0.25">
      <c r="A38" s="11" t="s">
        <v>104</v>
      </c>
      <c r="B38" s="11">
        <v>80</v>
      </c>
      <c r="C38" s="11">
        <v>47</v>
      </c>
      <c r="D38" s="12">
        <f t="shared" si="0"/>
        <v>0.58750000000000002</v>
      </c>
    </row>
    <row r="39" spans="1:4" customFormat="1" x14ac:dyDescent="0.25">
      <c r="A39" s="11" t="s">
        <v>105</v>
      </c>
      <c r="B39" s="11">
        <v>100</v>
      </c>
      <c r="C39" s="11">
        <v>100</v>
      </c>
      <c r="D39" s="12">
        <f t="shared" si="0"/>
        <v>1</v>
      </c>
    </row>
    <row r="40" spans="1:4" customFormat="1" x14ac:dyDescent="0.25">
      <c r="A40" s="11" t="s">
        <v>106</v>
      </c>
      <c r="B40" s="11">
        <v>75</v>
      </c>
      <c r="C40" s="11">
        <v>51</v>
      </c>
      <c r="D40" s="12">
        <f t="shared" si="0"/>
        <v>0.68</v>
      </c>
    </row>
    <row r="41" spans="1:4" customFormat="1" x14ac:dyDescent="0.25">
      <c r="A41" s="11" t="s">
        <v>107</v>
      </c>
      <c r="B41" s="11">
        <v>96</v>
      </c>
      <c r="C41" s="11">
        <v>87</v>
      </c>
      <c r="D41" s="12">
        <f t="shared" si="0"/>
        <v>0.90625</v>
      </c>
    </row>
    <row r="42" spans="1:4" customFormat="1" x14ac:dyDescent="0.25">
      <c r="A42" s="11" t="s">
        <v>108</v>
      </c>
      <c r="B42" s="11">
        <v>73</v>
      </c>
      <c r="C42" s="11">
        <v>48</v>
      </c>
      <c r="D42" s="12">
        <f t="shared" si="0"/>
        <v>0.65753424657534243</v>
      </c>
    </row>
    <row r="43" spans="1:4" customFormat="1" x14ac:dyDescent="0.25">
      <c r="A43" s="11" t="s">
        <v>109</v>
      </c>
      <c r="B43" s="11">
        <v>94</v>
      </c>
      <c r="C43" s="11">
        <v>68</v>
      </c>
      <c r="D43" s="12">
        <f t="shared" si="0"/>
        <v>0.72340425531914898</v>
      </c>
    </row>
    <row r="44" spans="1:4" customFormat="1" x14ac:dyDescent="0.25">
      <c r="A44" s="11" t="s">
        <v>110</v>
      </c>
      <c r="B44" s="11">
        <v>50</v>
      </c>
      <c r="C44" s="11">
        <v>50</v>
      </c>
      <c r="D44" s="12">
        <f t="shared" si="0"/>
        <v>1</v>
      </c>
    </row>
    <row r="45" spans="1:4" customFormat="1" x14ac:dyDescent="0.25">
      <c r="A45" s="11" t="s">
        <v>111</v>
      </c>
      <c r="B45" s="11">
        <v>70</v>
      </c>
      <c r="C45" s="11">
        <v>51</v>
      </c>
      <c r="D45" s="12">
        <f t="shared" si="0"/>
        <v>0.72857142857142854</v>
      </c>
    </row>
    <row r="46" spans="1:4" customFormat="1" x14ac:dyDescent="0.25">
      <c r="A46" s="11" t="s">
        <v>112</v>
      </c>
      <c r="B46" s="11">
        <v>83</v>
      </c>
      <c r="C46" s="11">
        <v>69</v>
      </c>
      <c r="D46" s="12">
        <f t="shared" si="0"/>
        <v>0.83132530120481929</v>
      </c>
    </row>
    <row r="47" spans="1:4" customFormat="1" x14ac:dyDescent="0.25">
      <c r="A47" s="11" t="s">
        <v>113</v>
      </c>
      <c r="B47" s="11">
        <v>16</v>
      </c>
      <c r="C47" s="11">
        <v>16</v>
      </c>
      <c r="D47" s="12">
        <f t="shared" si="0"/>
        <v>1</v>
      </c>
    </row>
    <row r="48" spans="1:4" customFormat="1" x14ac:dyDescent="0.25">
      <c r="A48" s="11" t="s">
        <v>114</v>
      </c>
      <c r="B48" s="11">
        <v>81</v>
      </c>
      <c r="C48" s="11">
        <v>49</v>
      </c>
      <c r="D48" s="12">
        <f t="shared" si="0"/>
        <v>0.60493827160493829</v>
      </c>
    </row>
    <row r="49" spans="1:4" customFormat="1" x14ac:dyDescent="0.25">
      <c r="A49" s="11" t="s">
        <v>115</v>
      </c>
      <c r="B49" s="11">
        <v>90</v>
      </c>
      <c r="C49" s="11">
        <v>70</v>
      </c>
      <c r="D49" s="12">
        <f t="shared" si="0"/>
        <v>0.77777777777777779</v>
      </c>
    </row>
    <row r="50" spans="1:4" customFormat="1" x14ac:dyDescent="0.25">
      <c r="A50" s="11" t="s">
        <v>116</v>
      </c>
      <c r="B50" s="11">
        <v>35</v>
      </c>
      <c r="C50" s="11">
        <v>31</v>
      </c>
      <c r="D50" s="12">
        <f t="shared" si="0"/>
        <v>0.88571428571428568</v>
      </c>
    </row>
    <row r="51" spans="1:4" customFormat="1" x14ac:dyDescent="0.25">
      <c r="A51" s="11" t="s">
        <v>117</v>
      </c>
      <c r="B51" s="11">
        <v>65</v>
      </c>
      <c r="C51" s="11">
        <v>27</v>
      </c>
      <c r="D51" s="12">
        <f t="shared" si="0"/>
        <v>0.41538461538461541</v>
      </c>
    </row>
    <row r="52" spans="1:4" customFormat="1" x14ac:dyDescent="0.25">
      <c r="A52" s="11" t="s">
        <v>118</v>
      </c>
      <c r="B52" s="11">
        <v>82</v>
      </c>
      <c r="C52" s="11">
        <v>27</v>
      </c>
      <c r="D52" s="12">
        <f t="shared" si="0"/>
        <v>0.32926829268292684</v>
      </c>
    </row>
    <row r="53" spans="1:4" customFormat="1" x14ac:dyDescent="0.25">
      <c r="A53" s="11" t="s">
        <v>119</v>
      </c>
      <c r="B53" s="11">
        <v>80</v>
      </c>
      <c r="C53" s="11">
        <v>80</v>
      </c>
      <c r="D53" s="12">
        <f t="shared" si="0"/>
        <v>1</v>
      </c>
    </row>
    <row r="54" spans="1:4" customFormat="1" x14ac:dyDescent="0.25">
      <c r="A54" s="11" t="s">
        <v>120</v>
      </c>
      <c r="B54" s="11">
        <v>88</v>
      </c>
      <c r="C54" s="11">
        <v>47</v>
      </c>
      <c r="D54" s="12">
        <f t="shared" si="0"/>
        <v>0.53409090909090906</v>
      </c>
    </row>
    <row r="55" spans="1:4" customFormat="1" x14ac:dyDescent="0.25">
      <c r="A55" s="11" t="s">
        <v>121</v>
      </c>
      <c r="B55" s="11">
        <v>87</v>
      </c>
      <c r="C55" s="11">
        <v>45</v>
      </c>
      <c r="D55" s="12">
        <f t="shared" si="0"/>
        <v>0.51724137931034486</v>
      </c>
    </row>
    <row r="56" spans="1:4" customFormat="1" x14ac:dyDescent="0.25">
      <c r="A56" s="11" t="s">
        <v>122</v>
      </c>
      <c r="B56" s="11">
        <v>90</v>
      </c>
      <c r="C56" s="11">
        <v>90</v>
      </c>
      <c r="D56" s="12">
        <f t="shared" si="0"/>
        <v>1</v>
      </c>
    </row>
    <row r="57" spans="1:4" customFormat="1" x14ac:dyDescent="0.25">
      <c r="A57" s="11" t="s">
        <v>123</v>
      </c>
      <c r="B57" s="11">
        <v>70</v>
      </c>
      <c r="C57" s="11">
        <v>60</v>
      </c>
      <c r="D57" s="12">
        <f t="shared" si="0"/>
        <v>0.8571428571428571</v>
      </c>
    </row>
    <row r="58" spans="1:4" customFormat="1" x14ac:dyDescent="0.25">
      <c r="A58" s="11" t="s">
        <v>124</v>
      </c>
      <c r="B58" s="11">
        <v>77</v>
      </c>
      <c r="C58" s="11">
        <v>49</v>
      </c>
      <c r="D58" s="12">
        <f t="shared" si="0"/>
        <v>0.63636363636363635</v>
      </c>
    </row>
    <row r="59" spans="1:4" customFormat="1" x14ac:dyDescent="0.25">
      <c r="A59" s="11" t="s">
        <v>125</v>
      </c>
      <c r="B59" s="11">
        <v>90</v>
      </c>
      <c r="C59" s="11">
        <v>47</v>
      </c>
      <c r="D59" s="12">
        <f t="shared" si="0"/>
        <v>0.52222222222222225</v>
      </c>
    </row>
    <row r="60" spans="1:4" customFormat="1" x14ac:dyDescent="0.25">
      <c r="A60" s="11" t="s">
        <v>126</v>
      </c>
      <c r="B60" s="11">
        <v>40</v>
      </c>
      <c r="C60" s="11">
        <v>14</v>
      </c>
      <c r="D60" s="12">
        <f t="shared" si="0"/>
        <v>0.35</v>
      </c>
    </row>
    <row r="61" spans="1:4" customFormat="1" x14ac:dyDescent="0.25">
      <c r="A61" s="11" t="s">
        <v>127</v>
      </c>
      <c r="B61" s="11">
        <v>24</v>
      </c>
      <c r="C61" s="11">
        <v>20</v>
      </c>
      <c r="D61" s="12">
        <f t="shared" si="0"/>
        <v>0.83333333333333337</v>
      </c>
    </row>
    <row r="62" spans="1:4" customFormat="1" x14ac:dyDescent="0.25">
      <c r="A62" s="11" t="s">
        <v>128</v>
      </c>
      <c r="B62" s="11">
        <v>44</v>
      </c>
      <c r="C62" s="11">
        <v>35</v>
      </c>
      <c r="D62" s="12">
        <f t="shared" si="0"/>
        <v>0.79545454545454541</v>
      </c>
    </row>
    <row r="63" spans="1:4" customFormat="1" x14ac:dyDescent="0.25">
      <c r="A63" s="11" t="s">
        <v>129</v>
      </c>
      <c r="B63" s="11">
        <v>68</v>
      </c>
      <c r="C63" s="11">
        <v>65</v>
      </c>
      <c r="D63" s="12">
        <f t="shared" si="0"/>
        <v>0.95588235294117652</v>
      </c>
    </row>
    <row r="64" spans="1:4" customFormat="1" x14ac:dyDescent="0.25">
      <c r="A64" s="11" t="s">
        <v>130</v>
      </c>
      <c r="B64" s="11">
        <v>71</v>
      </c>
      <c r="C64" s="11">
        <v>57</v>
      </c>
      <c r="D64" s="12">
        <f t="shared" si="0"/>
        <v>0.80281690140845074</v>
      </c>
    </row>
    <row r="65" spans="1:4" customFormat="1" x14ac:dyDescent="0.25">
      <c r="A65" s="11" t="s">
        <v>131</v>
      </c>
      <c r="B65" s="11">
        <v>34</v>
      </c>
      <c r="C65" s="11">
        <v>16</v>
      </c>
      <c r="D65" s="12">
        <f t="shared" si="0"/>
        <v>0.47058823529411764</v>
      </c>
    </row>
    <row r="66" spans="1:4" customFormat="1" x14ac:dyDescent="0.25">
      <c r="A66" s="11" t="s">
        <v>132</v>
      </c>
      <c r="B66" s="11">
        <v>70</v>
      </c>
      <c r="C66" s="11">
        <v>70</v>
      </c>
      <c r="D66" s="12">
        <f t="shared" si="0"/>
        <v>1</v>
      </c>
    </row>
    <row r="67" spans="1:4" customFormat="1" x14ac:dyDescent="0.25">
      <c r="A67" s="11" t="s">
        <v>133</v>
      </c>
      <c r="B67" s="11">
        <v>79</v>
      </c>
      <c r="C67" s="11">
        <v>75</v>
      </c>
      <c r="D67" s="12">
        <f t="shared" ref="D67:D100" si="3">C67/B67</f>
        <v>0.94936708860759489</v>
      </c>
    </row>
    <row r="68" spans="1:4" customFormat="1" x14ac:dyDescent="0.25">
      <c r="A68" s="11" t="s">
        <v>134</v>
      </c>
      <c r="B68" s="11">
        <v>86</v>
      </c>
      <c r="C68" s="11">
        <v>11</v>
      </c>
      <c r="D68" s="12">
        <f t="shared" si="3"/>
        <v>0.12790697674418605</v>
      </c>
    </row>
    <row r="69" spans="1:4" customFormat="1" x14ac:dyDescent="0.25">
      <c r="A69" s="11" t="s">
        <v>135</v>
      </c>
      <c r="B69" s="11">
        <v>85</v>
      </c>
      <c r="C69" s="11">
        <v>85</v>
      </c>
      <c r="D69" s="12">
        <f t="shared" si="3"/>
        <v>1</v>
      </c>
    </row>
    <row r="70" spans="1:4" customFormat="1" x14ac:dyDescent="0.25">
      <c r="A70" s="11" t="s">
        <v>136</v>
      </c>
      <c r="B70" s="11">
        <v>85</v>
      </c>
      <c r="C70" s="11">
        <v>40</v>
      </c>
      <c r="D70" s="12">
        <f t="shared" si="3"/>
        <v>0.47058823529411764</v>
      </c>
    </row>
    <row r="71" spans="1:4" customFormat="1" x14ac:dyDescent="0.25">
      <c r="A71" s="11" t="s">
        <v>137</v>
      </c>
      <c r="B71" s="11">
        <v>88</v>
      </c>
      <c r="C71" s="11">
        <v>44</v>
      </c>
      <c r="D71" s="12">
        <f t="shared" si="3"/>
        <v>0.5</v>
      </c>
    </row>
    <row r="72" spans="1:4" customFormat="1" x14ac:dyDescent="0.25">
      <c r="A72" s="11" t="s">
        <v>138</v>
      </c>
      <c r="B72" s="11">
        <v>43</v>
      </c>
      <c r="C72" s="11">
        <v>15</v>
      </c>
      <c r="D72" s="12">
        <f t="shared" si="3"/>
        <v>0.34883720930232559</v>
      </c>
    </row>
    <row r="73" spans="1:4" customFormat="1" x14ac:dyDescent="0.25">
      <c r="A73" s="11" t="s">
        <v>139</v>
      </c>
      <c r="B73" s="11">
        <v>70</v>
      </c>
      <c r="C73" s="11">
        <v>40</v>
      </c>
      <c r="D73" s="12">
        <f t="shared" si="3"/>
        <v>0.5714285714285714</v>
      </c>
    </row>
    <row r="74" spans="1:4" customFormat="1" x14ac:dyDescent="0.25">
      <c r="A74" s="11" t="s">
        <v>140</v>
      </c>
      <c r="B74" s="11">
        <v>70</v>
      </c>
      <c r="C74" s="11">
        <v>70</v>
      </c>
      <c r="D74" s="12">
        <f t="shared" si="3"/>
        <v>1</v>
      </c>
    </row>
    <row r="75" spans="1:4" customFormat="1" x14ac:dyDescent="0.25">
      <c r="A75" s="11" t="s">
        <v>141</v>
      </c>
      <c r="B75" s="11">
        <v>90</v>
      </c>
      <c r="C75" s="11">
        <v>90</v>
      </c>
      <c r="D75" s="12">
        <f t="shared" si="3"/>
        <v>1</v>
      </c>
    </row>
    <row r="76" spans="1:4" customFormat="1" x14ac:dyDescent="0.25">
      <c r="A76" s="11" t="s">
        <v>142</v>
      </c>
      <c r="B76" s="11">
        <v>60</v>
      </c>
      <c r="C76" s="11">
        <v>45</v>
      </c>
      <c r="D76" s="12">
        <f t="shared" si="3"/>
        <v>0.75</v>
      </c>
    </row>
    <row r="77" spans="1:4" customFormat="1" x14ac:dyDescent="0.25">
      <c r="A77" s="11" t="s">
        <v>143</v>
      </c>
      <c r="B77" s="11">
        <v>31</v>
      </c>
      <c r="C77" s="11">
        <v>30</v>
      </c>
      <c r="D77" s="12">
        <f t="shared" si="3"/>
        <v>0.967741935483871</v>
      </c>
    </row>
    <row r="78" spans="1:4" customFormat="1" x14ac:dyDescent="0.25">
      <c r="A78" s="11" t="s">
        <v>144</v>
      </c>
      <c r="B78" s="11">
        <v>90</v>
      </c>
      <c r="C78" s="11">
        <v>60</v>
      </c>
      <c r="D78" s="12">
        <f t="shared" si="3"/>
        <v>0.66666666666666663</v>
      </c>
    </row>
    <row r="79" spans="1:4" customFormat="1" x14ac:dyDescent="0.25">
      <c r="A79" s="11" t="s">
        <v>145</v>
      </c>
      <c r="B79" s="11">
        <v>41</v>
      </c>
      <c r="C79" s="11">
        <v>33</v>
      </c>
      <c r="D79" s="12">
        <f t="shared" si="3"/>
        <v>0.80487804878048785</v>
      </c>
    </row>
    <row r="80" spans="1:4" customFormat="1" x14ac:dyDescent="0.25">
      <c r="A80" s="11" t="s">
        <v>146</v>
      </c>
      <c r="B80" s="11">
        <v>91</v>
      </c>
      <c r="C80" s="11">
        <v>54</v>
      </c>
      <c r="D80" s="12">
        <f t="shared" si="3"/>
        <v>0.59340659340659341</v>
      </c>
    </row>
    <row r="81" spans="1:4" customFormat="1" x14ac:dyDescent="0.25">
      <c r="A81" s="11" t="s">
        <v>147</v>
      </c>
      <c r="B81" s="11">
        <v>40</v>
      </c>
      <c r="C81" s="11">
        <v>26</v>
      </c>
      <c r="D81" s="12">
        <f t="shared" si="3"/>
        <v>0.65</v>
      </c>
    </row>
    <row r="82" spans="1:4" customFormat="1" x14ac:dyDescent="0.25">
      <c r="A82" s="11" t="s">
        <v>148</v>
      </c>
      <c r="B82" s="11">
        <v>70</v>
      </c>
      <c r="C82" s="11">
        <v>57</v>
      </c>
      <c r="D82" s="12">
        <f t="shared" si="3"/>
        <v>0.81428571428571428</v>
      </c>
    </row>
    <row r="83" spans="1:4" customFormat="1" x14ac:dyDescent="0.25">
      <c r="A83" s="11" t="s">
        <v>149</v>
      </c>
      <c r="B83" s="11">
        <v>90</v>
      </c>
      <c r="C83" s="11">
        <v>48</v>
      </c>
      <c r="D83" s="12">
        <f t="shared" si="3"/>
        <v>0.53333333333333333</v>
      </c>
    </row>
    <row r="84" spans="1:4" customFormat="1" x14ac:dyDescent="0.25">
      <c r="A84" s="11" t="s">
        <v>150</v>
      </c>
      <c r="B84" s="11">
        <v>69</v>
      </c>
      <c r="C84" s="11">
        <v>51</v>
      </c>
      <c r="D84" s="12">
        <f t="shared" si="3"/>
        <v>0.73913043478260865</v>
      </c>
    </row>
    <row r="85" spans="1:4" customFormat="1" x14ac:dyDescent="0.25">
      <c r="A85" s="11" t="s">
        <v>151</v>
      </c>
      <c r="B85" s="11">
        <v>25</v>
      </c>
      <c r="C85" s="11">
        <v>23</v>
      </c>
      <c r="D85" s="12">
        <f t="shared" si="3"/>
        <v>0.92</v>
      </c>
    </row>
    <row r="86" spans="1:4" customFormat="1" x14ac:dyDescent="0.25">
      <c r="A86" s="11" t="s">
        <v>152</v>
      </c>
      <c r="B86" s="11">
        <v>80</v>
      </c>
      <c r="C86" s="11">
        <v>80</v>
      </c>
      <c r="D86" s="12">
        <f t="shared" si="3"/>
        <v>1</v>
      </c>
    </row>
    <row r="87" spans="1:4" customFormat="1" x14ac:dyDescent="0.25">
      <c r="A87" s="11" t="s">
        <v>153</v>
      </c>
      <c r="B87" s="11">
        <v>61</v>
      </c>
      <c r="C87" s="11">
        <v>29</v>
      </c>
      <c r="D87" s="12">
        <f t="shared" si="3"/>
        <v>0.47540983606557374</v>
      </c>
    </row>
    <row r="88" spans="1:4" customFormat="1" x14ac:dyDescent="0.25">
      <c r="A88" s="11" t="s">
        <v>154</v>
      </c>
      <c r="B88" s="11">
        <v>70</v>
      </c>
      <c r="C88" s="11">
        <v>51</v>
      </c>
      <c r="D88" s="12">
        <f t="shared" si="3"/>
        <v>0.72857142857142854</v>
      </c>
    </row>
    <row r="89" spans="1:4" customFormat="1" x14ac:dyDescent="0.25">
      <c r="A89" s="11" t="s">
        <v>155</v>
      </c>
      <c r="B89" s="11">
        <v>38</v>
      </c>
      <c r="C89" s="11">
        <v>29</v>
      </c>
      <c r="D89" s="12">
        <f t="shared" si="3"/>
        <v>0.76315789473684215</v>
      </c>
    </row>
    <row r="90" spans="1:4" customFormat="1" x14ac:dyDescent="0.25">
      <c r="A90" s="11" t="s">
        <v>156</v>
      </c>
      <c r="B90" s="11">
        <v>51</v>
      </c>
      <c r="C90" s="11">
        <v>50</v>
      </c>
      <c r="D90" s="12">
        <f t="shared" si="3"/>
        <v>0.98039215686274506</v>
      </c>
    </row>
    <row r="91" spans="1:4" customFormat="1" x14ac:dyDescent="0.25">
      <c r="A91" s="11" t="s">
        <v>157</v>
      </c>
      <c r="B91" s="11">
        <v>32</v>
      </c>
      <c r="C91" s="11">
        <v>25</v>
      </c>
      <c r="D91" s="12">
        <f t="shared" si="3"/>
        <v>0.78125</v>
      </c>
    </row>
    <row r="92" spans="1:4" customFormat="1" x14ac:dyDescent="0.25">
      <c r="A92" s="11" t="s">
        <v>158</v>
      </c>
      <c r="B92" s="11">
        <v>71</v>
      </c>
      <c r="C92" s="11">
        <v>54</v>
      </c>
      <c r="D92" s="12">
        <f t="shared" si="3"/>
        <v>0.76056338028169013</v>
      </c>
    </row>
    <row r="93" spans="1:4" customFormat="1" x14ac:dyDescent="0.25">
      <c r="A93" s="11" t="s">
        <v>159</v>
      </c>
      <c r="B93" s="11">
        <v>70</v>
      </c>
      <c r="C93" s="11">
        <v>70</v>
      </c>
      <c r="D93" s="12">
        <f t="shared" si="3"/>
        <v>1</v>
      </c>
    </row>
    <row r="94" spans="1:4" customFormat="1" x14ac:dyDescent="0.25">
      <c r="A94" s="11" t="s">
        <v>160</v>
      </c>
      <c r="B94" s="11">
        <v>60</v>
      </c>
      <c r="C94" s="11">
        <v>41</v>
      </c>
      <c r="D94" s="12">
        <f t="shared" si="3"/>
        <v>0.68333333333333335</v>
      </c>
    </row>
    <row r="95" spans="1:4" customFormat="1" x14ac:dyDescent="0.25">
      <c r="A95" s="11" t="s">
        <v>161</v>
      </c>
      <c r="B95" s="11">
        <v>89</v>
      </c>
      <c r="C95" s="11">
        <v>35</v>
      </c>
      <c r="D95" s="12">
        <f t="shared" si="3"/>
        <v>0.39325842696629215</v>
      </c>
    </row>
    <row r="96" spans="1:4" customFormat="1" x14ac:dyDescent="0.25">
      <c r="A96" s="11" t="s">
        <v>162</v>
      </c>
      <c r="B96" s="11">
        <v>61</v>
      </c>
      <c r="C96" s="11">
        <v>38</v>
      </c>
      <c r="D96" s="12">
        <f t="shared" si="3"/>
        <v>0.62295081967213117</v>
      </c>
    </row>
    <row r="97" spans="1:4" customFormat="1" x14ac:dyDescent="0.25">
      <c r="A97" s="11" t="s">
        <v>163</v>
      </c>
      <c r="B97" s="11">
        <v>43</v>
      </c>
      <c r="C97" s="11">
        <v>30</v>
      </c>
      <c r="D97" s="12">
        <f t="shared" si="3"/>
        <v>0.69767441860465118</v>
      </c>
    </row>
    <row r="98" spans="1:4" customFormat="1" x14ac:dyDescent="0.25">
      <c r="A98" s="11" t="s">
        <v>164</v>
      </c>
      <c r="B98" s="11">
        <v>47</v>
      </c>
      <c r="C98" s="11">
        <v>37</v>
      </c>
      <c r="D98" s="12">
        <f t="shared" si="3"/>
        <v>0.78723404255319152</v>
      </c>
    </row>
    <row r="99" spans="1:4" customFormat="1" x14ac:dyDescent="0.25">
      <c r="A99" s="11" t="s">
        <v>165</v>
      </c>
      <c r="B99" s="11">
        <v>61</v>
      </c>
      <c r="C99" s="11">
        <v>57</v>
      </c>
      <c r="D99" s="12">
        <f t="shared" si="3"/>
        <v>0.93442622950819676</v>
      </c>
    </row>
    <row r="100" spans="1:4" customFormat="1" x14ac:dyDescent="0.25">
      <c r="A100" s="11" t="s">
        <v>166</v>
      </c>
      <c r="B100" s="11">
        <v>70</v>
      </c>
      <c r="C100" s="11">
        <v>40</v>
      </c>
      <c r="D100" s="12">
        <f t="shared" si="3"/>
        <v>0.5714285714285714</v>
      </c>
    </row>
    <row r="101" spans="1:4" customFormat="1" x14ac:dyDescent="0.25">
      <c r="A101" s="11" t="s">
        <v>167</v>
      </c>
      <c r="B101" s="11">
        <v>61</v>
      </c>
      <c r="C101" s="11">
        <v>57</v>
      </c>
      <c r="D101" s="12">
        <f>C101/B101</f>
        <v>0.93442622950819676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6" r:id="rId3" name="Scroll Bar 10">
              <controlPr defaultSize="0" autoPict="0">
                <anchor moveWithCells="1">
                  <from>
                    <xdr:col>4</xdr:col>
                    <xdr:colOff>600075</xdr:colOff>
                    <xdr:row>20</xdr:row>
                    <xdr:rowOff>133350</xdr:rowOff>
                  </from>
                  <to>
                    <xdr:col>16</xdr:col>
                    <xdr:colOff>533400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CC00"/>
  </sheetPr>
  <dimension ref="A1:J43"/>
  <sheetViews>
    <sheetView zoomScale="130" zoomScaleNormal="130" workbookViewId="0">
      <selection activeCell="G6" sqref="G6"/>
    </sheetView>
  </sheetViews>
  <sheetFormatPr defaultRowHeight="15" x14ac:dyDescent="0.25"/>
  <cols>
    <col min="6" max="7" width="10.7109375" customWidth="1"/>
  </cols>
  <sheetData>
    <row r="1" spans="1:10" x14ac:dyDescent="0.25">
      <c r="A1" s="16" t="s">
        <v>5</v>
      </c>
      <c r="B1" s="17" t="s">
        <v>6</v>
      </c>
      <c r="C1" s="18" t="s">
        <v>7</v>
      </c>
      <c r="D1" s="17" t="s">
        <v>8</v>
      </c>
      <c r="F1" s="38" t="s">
        <v>182</v>
      </c>
      <c r="G1" s="38" t="s">
        <v>183</v>
      </c>
      <c r="J1" t="str">
        <f>TEXT(F2,"dd-mmm-yy")&amp;" to "&amp;TEXT(G2,"dd-mmm-yy")</f>
        <v>17-Aug-16 to 27-Aug-16</v>
      </c>
    </row>
    <row r="2" spans="1:10" x14ac:dyDescent="0.25">
      <c r="A2" s="19">
        <v>42588</v>
      </c>
      <c r="B2" s="1" t="s">
        <v>168</v>
      </c>
      <c r="C2" s="1" t="s">
        <v>10</v>
      </c>
      <c r="D2" s="20">
        <v>58</v>
      </c>
      <c r="F2" s="37">
        <v>42599</v>
      </c>
      <c r="G2" s="37">
        <v>42609</v>
      </c>
    </row>
    <row r="3" spans="1:10" x14ac:dyDescent="0.25">
      <c r="A3" s="19">
        <v>42589</v>
      </c>
      <c r="B3" s="1" t="s">
        <v>169</v>
      </c>
      <c r="C3" s="1" t="s">
        <v>11</v>
      </c>
      <c r="D3" s="20">
        <v>5</v>
      </c>
    </row>
    <row r="4" spans="1:10" x14ac:dyDescent="0.25">
      <c r="A4" s="19">
        <v>42590</v>
      </c>
      <c r="B4" s="1" t="s">
        <v>170</v>
      </c>
      <c r="C4" s="1" t="s">
        <v>11</v>
      </c>
      <c r="D4" s="20">
        <v>30</v>
      </c>
    </row>
    <row r="5" spans="1:10" x14ac:dyDescent="0.25">
      <c r="A5" s="19">
        <v>42591</v>
      </c>
      <c r="B5" s="1" t="s">
        <v>171</v>
      </c>
      <c r="C5" s="1" t="s">
        <v>10</v>
      </c>
      <c r="D5" s="20">
        <v>20</v>
      </c>
    </row>
    <row r="6" spans="1:10" x14ac:dyDescent="0.25">
      <c r="A6" s="19">
        <v>42592</v>
      </c>
      <c r="B6" s="1" t="s">
        <v>9</v>
      </c>
      <c r="C6" s="1" t="s">
        <v>12</v>
      </c>
      <c r="D6" s="20">
        <v>36</v>
      </c>
    </row>
    <row r="7" spans="1:10" x14ac:dyDescent="0.25">
      <c r="A7" s="19">
        <v>42593</v>
      </c>
      <c r="B7" s="1" t="s">
        <v>172</v>
      </c>
      <c r="C7" s="1" t="s">
        <v>13</v>
      </c>
      <c r="D7" s="20">
        <v>40</v>
      </c>
    </row>
    <row r="8" spans="1:10" x14ac:dyDescent="0.25">
      <c r="A8" s="19">
        <v>42594</v>
      </c>
      <c r="B8" s="1" t="s">
        <v>168</v>
      </c>
      <c r="C8" s="1" t="s">
        <v>12</v>
      </c>
      <c r="D8" s="20">
        <v>77</v>
      </c>
    </row>
    <row r="9" spans="1:10" x14ac:dyDescent="0.25">
      <c r="A9" s="19">
        <v>42595</v>
      </c>
      <c r="B9" s="1" t="s">
        <v>169</v>
      </c>
      <c r="C9" s="1" t="s">
        <v>11</v>
      </c>
      <c r="D9" s="20">
        <v>5</v>
      </c>
    </row>
    <row r="10" spans="1:10" x14ac:dyDescent="0.25">
      <c r="A10" s="19">
        <v>42596</v>
      </c>
      <c r="B10" s="1" t="s">
        <v>170</v>
      </c>
      <c r="C10" s="1" t="s">
        <v>11</v>
      </c>
      <c r="D10" s="20">
        <v>59</v>
      </c>
    </row>
    <row r="11" spans="1:10" x14ac:dyDescent="0.25">
      <c r="A11" s="19">
        <v>42597</v>
      </c>
      <c r="B11" s="1" t="s">
        <v>171</v>
      </c>
      <c r="C11" s="1" t="s">
        <v>12</v>
      </c>
      <c r="D11" s="20">
        <v>47</v>
      </c>
    </row>
    <row r="12" spans="1:10" x14ac:dyDescent="0.25">
      <c r="A12" s="19">
        <v>42598</v>
      </c>
      <c r="B12" s="1" t="s">
        <v>9</v>
      </c>
      <c r="C12" s="1" t="s">
        <v>12</v>
      </c>
      <c r="D12" s="20">
        <v>30</v>
      </c>
    </row>
    <row r="13" spans="1:10" x14ac:dyDescent="0.25">
      <c r="A13" s="19">
        <v>42599</v>
      </c>
      <c r="B13" s="1" t="s">
        <v>172</v>
      </c>
      <c r="C13" s="1" t="s">
        <v>13</v>
      </c>
      <c r="D13" s="20">
        <v>28</v>
      </c>
    </row>
    <row r="14" spans="1:10" x14ac:dyDescent="0.25">
      <c r="A14" s="19">
        <v>42600</v>
      </c>
      <c r="B14" s="1" t="s">
        <v>168</v>
      </c>
      <c r="C14" s="1" t="s">
        <v>10</v>
      </c>
      <c r="D14" s="20">
        <v>80</v>
      </c>
      <c r="F14" s="18" t="s">
        <v>7</v>
      </c>
      <c r="G14" s="17" t="s">
        <v>8</v>
      </c>
    </row>
    <row r="15" spans="1:10" x14ac:dyDescent="0.25">
      <c r="A15" s="19">
        <v>42601</v>
      </c>
      <c r="B15" s="1" t="s">
        <v>169</v>
      </c>
      <c r="C15" s="1" t="s">
        <v>11</v>
      </c>
      <c r="D15" s="20">
        <v>41</v>
      </c>
      <c r="F15" s="1" t="s">
        <v>10</v>
      </c>
      <c r="G15">
        <f>SUMPRODUCT(--($A$2:$A$43&gt;=$F$2)*($A$2:$A$43&lt;=$G$2)*($C$2:$C$43=$F15)*($D$2:$D$43))</f>
        <v>122</v>
      </c>
    </row>
    <row r="16" spans="1:10" x14ac:dyDescent="0.25">
      <c r="A16" s="19">
        <v>42602</v>
      </c>
      <c r="B16" s="1" t="s">
        <v>170</v>
      </c>
      <c r="C16" s="1" t="s">
        <v>11</v>
      </c>
      <c r="D16" s="20">
        <v>71</v>
      </c>
      <c r="F16" s="1" t="s">
        <v>11</v>
      </c>
      <c r="G16">
        <f t="shared" ref="G16:G18" si="0">SUMPRODUCT(--($A$2:$A$43&gt;=$F$2)*($A$2:$A$43&lt;=$G$2)*($C$2:$C$43=$F16)*($D$2:$D$43))</f>
        <v>203</v>
      </c>
    </row>
    <row r="17" spans="1:7" x14ac:dyDescent="0.25">
      <c r="A17" s="19">
        <v>42603</v>
      </c>
      <c r="B17" s="1" t="s">
        <v>171</v>
      </c>
      <c r="C17" s="1" t="s">
        <v>10</v>
      </c>
      <c r="D17" s="20">
        <v>10</v>
      </c>
      <c r="F17" s="1" t="s">
        <v>12</v>
      </c>
      <c r="G17">
        <f t="shared" si="0"/>
        <v>28</v>
      </c>
    </row>
    <row r="18" spans="1:7" x14ac:dyDescent="0.25">
      <c r="A18" s="19">
        <v>42604</v>
      </c>
      <c r="B18" s="1" t="s">
        <v>9</v>
      </c>
      <c r="C18" s="1" t="s">
        <v>10</v>
      </c>
      <c r="D18" s="20">
        <v>30</v>
      </c>
      <c r="F18" s="1" t="s">
        <v>13</v>
      </c>
      <c r="G18">
        <f t="shared" si="0"/>
        <v>44</v>
      </c>
    </row>
    <row r="19" spans="1:7" x14ac:dyDescent="0.25">
      <c r="A19" s="19">
        <v>42605</v>
      </c>
      <c r="B19" s="1" t="s">
        <v>172</v>
      </c>
      <c r="C19" s="1" t="s">
        <v>13</v>
      </c>
      <c r="D19" s="20">
        <v>16</v>
      </c>
    </row>
    <row r="20" spans="1:7" x14ac:dyDescent="0.25">
      <c r="A20" s="19">
        <v>42606</v>
      </c>
      <c r="B20" s="1" t="s">
        <v>168</v>
      </c>
      <c r="C20" s="1" t="s">
        <v>10</v>
      </c>
      <c r="D20" s="20">
        <v>2</v>
      </c>
    </row>
    <row r="21" spans="1:7" x14ac:dyDescent="0.25">
      <c r="A21" s="19">
        <v>42607</v>
      </c>
      <c r="B21" s="1" t="s">
        <v>169</v>
      </c>
      <c r="C21" s="1" t="s">
        <v>11</v>
      </c>
      <c r="D21" s="20">
        <v>65</v>
      </c>
    </row>
    <row r="22" spans="1:7" x14ac:dyDescent="0.25">
      <c r="A22" s="19">
        <v>42608</v>
      </c>
      <c r="B22" s="1" t="s">
        <v>170</v>
      </c>
      <c r="C22" s="1" t="s">
        <v>11</v>
      </c>
      <c r="D22" s="20">
        <v>26</v>
      </c>
    </row>
    <row r="23" spans="1:7" x14ac:dyDescent="0.25">
      <c r="A23" s="19">
        <v>42609</v>
      </c>
      <c r="B23" s="1" t="s">
        <v>171</v>
      </c>
      <c r="C23" s="1" t="s">
        <v>12</v>
      </c>
      <c r="D23" s="20">
        <v>28</v>
      </c>
    </row>
    <row r="24" spans="1:7" x14ac:dyDescent="0.25">
      <c r="A24" s="19">
        <v>42610</v>
      </c>
      <c r="B24" s="1" t="s">
        <v>9</v>
      </c>
      <c r="C24" s="1" t="s">
        <v>12</v>
      </c>
      <c r="D24" s="20">
        <v>53</v>
      </c>
    </row>
    <row r="25" spans="1:7" x14ac:dyDescent="0.25">
      <c r="A25" s="19">
        <v>42611</v>
      </c>
      <c r="B25" s="1" t="s">
        <v>172</v>
      </c>
      <c r="C25" s="1" t="s">
        <v>13</v>
      </c>
      <c r="D25" s="20">
        <v>16</v>
      </c>
    </row>
    <row r="26" spans="1:7" x14ac:dyDescent="0.25">
      <c r="A26" s="19">
        <v>42612</v>
      </c>
      <c r="B26" s="1" t="s">
        <v>168</v>
      </c>
      <c r="C26" s="1" t="s">
        <v>12</v>
      </c>
      <c r="D26" s="20">
        <v>11</v>
      </c>
    </row>
    <row r="27" spans="1:7" x14ac:dyDescent="0.25">
      <c r="A27" s="19">
        <v>42613</v>
      </c>
      <c r="B27" s="1" t="s">
        <v>169</v>
      </c>
      <c r="C27" s="1" t="s">
        <v>11</v>
      </c>
      <c r="D27" s="20">
        <v>99</v>
      </c>
    </row>
    <row r="28" spans="1:7" x14ac:dyDescent="0.25">
      <c r="A28" s="19">
        <v>42614</v>
      </c>
      <c r="B28" s="1" t="s">
        <v>170</v>
      </c>
      <c r="C28" s="1" t="s">
        <v>11</v>
      </c>
      <c r="D28" s="20">
        <v>91</v>
      </c>
    </row>
    <row r="29" spans="1:7" x14ac:dyDescent="0.25">
      <c r="A29" s="19">
        <v>42615</v>
      </c>
      <c r="B29" s="1" t="s">
        <v>171</v>
      </c>
      <c r="C29" s="1" t="s">
        <v>11</v>
      </c>
      <c r="D29" s="20">
        <v>70</v>
      </c>
    </row>
    <row r="30" spans="1:7" x14ac:dyDescent="0.25">
      <c r="A30" s="19">
        <v>42616</v>
      </c>
      <c r="B30" s="1" t="s">
        <v>9</v>
      </c>
      <c r="C30" s="1" t="s">
        <v>10</v>
      </c>
      <c r="D30" s="20">
        <v>100</v>
      </c>
    </row>
    <row r="31" spans="1:7" x14ac:dyDescent="0.25">
      <c r="A31" s="19">
        <v>42617</v>
      </c>
      <c r="B31" s="1" t="s">
        <v>172</v>
      </c>
      <c r="C31" s="1" t="s">
        <v>10</v>
      </c>
      <c r="D31" s="20">
        <v>68</v>
      </c>
    </row>
    <row r="32" spans="1:7" x14ac:dyDescent="0.25">
      <c r="A32" s="19">
        <v>42618</v>
      </c>
      <c r="B32" s="1" t="s">
        <v>168</v>
      </c>
      <c r="C32" s="1" t="s">
        <v>10</v>
      </c>
      <c r="D32" s="20">
        <v>38</v>
      </c>
    </row>
    <row r="33" spans="1:4" x14ac:dyDescent="0.25">
      <c r="A33" s="19">
        <v>42619</v>
      </c>
      <c r="B33" s="1" t="s">
        <v>169</v>
      </c>
      <c r="C33" s="1" t="s">
        <v>10</v>
      </c>
      <c r="D33" s="20">
        <v>30</v>
      </c>
    </row>
    <row r="34" spans="1:4" x14ac:dyDescent="0.25">
      <c r="A34" s="19">
        <v>42620</v>
      </c>
      <c r="B34" s="1" t="s">
        <v>170</v>
      </c>
      <c r="C34" s="1" t="s">
        <v>13</v>
      </c>
      <c r="D34" s="20">
        <v>65</v>
      </c>
    </row>
    <row r="35" spans="1:4" x14ac:dyDescent="0.25">
      <c r="A35" s="19">
        <v>42621</v>
      </c>
      <c r="B35" s="1" t="s">
        <v>171</v>
      </c>
      <c r="C35" s="1" t="s">
        <v>13</v>
      </c>
      <c r="D35" s="20">
        <v>41</v>
      </c>
    </row>
    <row r="36" spans="1:4" x14ac:dyDescent="0.25">
      <c r="A36" s="19">
        <v>42622</v>
      </c>
      <c r="B36" s="1" t="s">
        <v>9</v>
      </c>
      <c r="C36" s="1" t="s">
        <v>10</v>
      </c>
      <c r="D36" s="20">
        <v>28</v>
      </c>
    </row>
    <row r="37" spans="1:4" x14ac:dyDescent="0.25">
      <c r="A37" s="19">
        <v>42623</v>
      </c>
      <c r="B37" s="1" t="s">
        <v>172</v>
      </c>
      <c r="C37" s="1" t="s">
        <v>10</v>
      </c>
      <c r="D37" s="20">
        <v>5</v>
      </c>
    </row>
    <row r="38" spans="1:4" x14ac:dyDescent="0.25">
      <c r="A38" s="19">
        <v>42624</v>
      </c>
      <c r="B38" s="1" t="s">
        <v>168</v>
      </c>
      <c r="C38" s="1" t="s">
        <v>11</v>
      </c>
      <c r="D38" s="20">
        <v>10</v>
      </c>
    </row>
    <row r="39" spans="1:4" x14ac:dyDescent="0.25">
      <c r="A39" s="19">
        <v>42625</v>
      </c>
      <c r="B39" s="1" t="s">
        <v>169</v>
      </c>
      <c r="C39" s="1" t="s">
        <v>11</v>
      </c>
      <c r="D39" s="20">
        <v>10</v>
      </c>
    </row>
    <row r="40" spans="1:4" x14ac:dyDescent="0.25">
      <c r="A40" s="19">
        <v>42626</v>
      </c>
      <c r="B40" s="1" t="s">
        <v>170</v>
      </c>
      <c r="C40" s="1" t="s">
        <v>11</v>
      </c>
      <c r="D40" s="20">
        <v>56</v>
      </c>
    </row>
    <row r="41" spans="1:4" x14ac:dyDescent="0.25">
      <c r="A41" s="19">
        <v>42627</v>
      </c>
      <c r="B41" s="1" t="s">
        <v>171</v>
      </c>
      <c r="C41" s="1" t="s">
        <v>11</v>
      </c>
      <c r="D41" s="20">
        <v>56</v>
      </c>
    </row>
    <row r="42" spans="1:4" x14ac:dyDescent="0.25">
      <c r="A42" s="19">
        <v>42628</v>
      </c>
      <c r="B42" s="1" t="s">
        <v>9</v>
      </c>
      <c r="C42" s="1" t="s">
        <v>10</v>
      </c>
      <c r="D42" s="20">
        <v>95</v>
      </c>
    </row>
    <row r="43" spans="1:4" x14ac:dyDescent="0.25">
      <c r="A43" s="19">
        <v>42629</v>
      </c>
      <c r="B43" s="1" t="s">
        <v>172</v>
      </c>
      <c r="C43" s="1" t="s">
        <v>10</v>
      </c>
      <c r="D43" s="20">
        <v>98</v>
      </c>
    </row>
  </sheetData>
  <dataValidations count="1">
    <dataValidation type="list" allowBlank="1" showInputMessage="1" showErrorMessage="1" sqref="F2:G2" xr:uid="{00000000-0002-0000-0400-000000000000}">
      <formula1>$A$2:$A$43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C2:O10"/>
  <sheetViews>
    <sheetView topLeftCell="A2" zoomScaleNormal="100" workbookViewId="0">
      <selection activeCell="N16" sqref="N16"/>
    </sheetView>
  </sheetViews>
  <sheetFormatPr defaultRowHeight="15" x14ac:dyDescent="0.25"/>
  <cols>
    <col min="7" max="7" width="10.7109375" customWidth="1"/>
  </cols>
  <sheetData>
    <row r="2" spans="3:15" ht="12.75" customHeight="1" x14ac:dyDescent="0.25"/>
    <row r="3" spans="3:15" ht="21.75" customHeight="1" x14ac:dyDescent="0.25">
      <c r="L3">
        <v>1</v>
      </c>
    </row>
    <row r="4" spans="3:15" x14ac:dyDescent="0.25">
      <c r="C4" s="23" t="s">
        <v>14</v>
      </c>
      <c r="D4" s="23" t="s">
        <v>15</v>
      </c>
      <c r="E4" s="23" t="s">
        <v>14</v>
      </c>
      <c r="F4" s="23" t="s">
        <v>15</v>
      </c>
      <c r="G4" s="24" t="s">
        <v>14</v>
      </c>
      <c r="H4" s="23" t="s">
        <v>15</v>
      </c>
      <c r="I4" s="24" t="s">
        <v>14</v>
      </c>
      <c r="J4" s="23" t="s">
        <v>15</v>
      </c>
      <c r="L4" s="24" t="s">
        <v>14</v>
      </c>
      <c r="M4" s="23" t="s">
        <v>15</v>
      </c>
      <c r="N4" s="24" t="s">
        <v>14</v>
      </c>
      <c r="O4" s="23" t="s">
        <v>15</v>
      </c>
    </row>
    <row r="5" spans="3:15" x14ac:dyDescent="0.25">
      <c r="C5" s="13" t="s">
        <v>173</v>
      </c>
      <c r="D5" s="13">
        <v>150</v>
      </c>
      <c r="E5" s="13" t="s">
        <v>16</v>
      </c>
      <c r="F5" s="13">
        <v>15</v>
      </c>
      <c r="G5" s="13" t="s">
        <v>17</v>
      </c>
      <c r="H5" s="13">
        <v>72</v>
      </c>
      <c r="I5" s="13" t="s">
        <v>18</v>
      </c>
      <c r="J5" s="13">
        <v>38</v>
      </c>
      <c r="L5" s="13" t="str">
        <f>CHOOSE($L$3,C5,E5,G5,I5)</f>
        <v>Rahul</v>
      </c>
      <c r="M5" s="13">
        <f>CHOOSE($L$3,D5,F5,H5,J5)</f>
        <v>150</v>
      </c>
      <c r="N5" t="str">
        <f ca="1">OFFSET($L$4,1,0,COUNTIF($L$5:$L$10,"&lt;&gt;0"),1)</f>
        <v>Rahul</v>
      </c>
      <c r="O5">
        <f ca="1">OFFSET($M$4,1,0,COUNTIF($M$5:$M$10,"&lt;&gt;0"),1)</f>
        <v>150</v>
      </c>
    </row>
    <row r="6" spans="3:15" x14ac:dyDescent="0.25">
      <c r="C6" s="13" t="s">
        <v>174</v>
      </c>
      <c r="D6" s="13">
        <v>25</v>
      </c>
      <c r="E6" s="13" t="s">
        <v>19</v>
      </c>
      <c r="F6" s="13">
        <v>97</v>
      </c>
      <c r="G6" s="13" t="s">
        <v>20</v>
      </c>
      <c r="H6" s="13">
        <v>49</v>
      </c>
      <c r="I6" s="13" t="s">
        <v>21</v>
      </c>
      <c r="J6" s="13">
        <v>71</v>
      </c>
      <c r="L6" s="13" t="str">
        <f t="shared" ref="L6:M10" si="0">CHOOSE($L$3,C6,E6,G6,I6)</f>
        <v>Rohit</v>
      </c>
      <c r="M6" s="13">
        <f t="shared" si="0"/>
        <v>25</v>
      </c>
    </row>
    <row r="7" spans="3:15" x14ac:dyDescent="0.25">
      <c r="C7" s="13"/>
      <c r="D7" s="13"/>
      <c r="E7" s="13" t="s">
        <v>22</v>
      </c>
      <c r="F7" s="13">
        <v>15</v>
      </c>
      <c r="G7" s="13" t="s">
        <v>23</v>
      </c>
      <c r="H7" s="13">
        <v>47</v>
      </c>
      <c r="I7" s="13" t="s">
        <v>24</v>
      </c>
      <c r="J7" s="13">
        <v>35</v>
      </c>
      <c r="L7" s="13">
        <f t="shared" si="0"/>
        <v>0</v>
      </c>
      <c r="M7" s="13">
        <f t="shared" si="0"/>
        <v>0</v>
      </c>
    </row>
    <row r="8" spans="3:15" x14ac:dyDescent="0.25">
      <c r="C8" s="13"/>
      <c r="D8" s="13"/>
      <c r="E8" s="13"/>
      <c r="F8" s="13"/>
      <c r="G8" s="13" t="s">
        <v>25</v>
      </c>
      <c r="H8" s="13">
        <v>39</v>
      </c>
      <c r="I8" s="13" t="s">
        <v>26</v>
      </c>
      <c r="J8" s="13">
        <v>89</v>
      </c>
      <c r="L8" s="13">
        <f t="shared" si="0"/>
        <v>0</v>
      </c>
      <c r="M8" s="13">
        <f t="shared" si="0"/>
        <v>0</v>
      </c>
    </row>
    <row r="9" spans="3:15" x14ac:dyDescent="0.25">
      <c r="C9" s="13"/>
      <c r="D9" s="13"/>
      <c r="E9" s="13"/>
      <c r="F9" s="13"/>
      <c r="G9" s="13"/>
      <c r="H9" s="13"/>
      <c r="I9" s="13" t="s">
        <v>27</v>
      </c>
      <c r="J9" s="13">
        <v>70</v>
      </c>
      <c r="L9" s="13">
        <f t="shared" si="0"/>
        <v>0</v>
      </c>
      <c r="M9" s="13">
        <f t="shared" si="0"/>
        <v>0</v>
      </c>
    </row>
    <row r="10" spans="3:15" x14ac:dyDescent="0.25">
      <c r="C10" s="13"/>
      <c r="D10" s="13"/>
      <c r="E10" s="13"/>
      <c r="F10" s="13"/>
      <c r="G10" s="13"/>
      <c r="H10" s="13"/>
      <c r="I10" s="13" t="s">
        <v>28</v>
      </c>
      <c r="J10" s="13">
        <v>66</v>
      </c>
      <c r="L10" s="13">
        <f t="shared" si="0"/>
        <v>0</v>
      </c>
      <c r="M10" s="13">
        <f t="shared" si="0"/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55" r:id="rId4" name="Group Box 51">
              <controlPr defaultSize="0" autoFill="0" autoPict="0">
                <anchor mov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6" r:id="rId5" name="Option Button 52">
              <controlPr defaultSize="0" autoFill="0" autoLine="0" autoPict="0">
                <anchor moveWithCells="1">
                  <from>
                    <xdr:col>2</xdr:col>
                    <xdr:colOff>47625</xdr:colOff>
                    <xdr:row>2</xdr:row>
                    <xdr:rowOff>57150</xdr:rowOff>
                  </from>
                  <to>
                    <xdr:col>3</xdr:col>
                    <xdr:colOff>476250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7" r:id="rId6" name="Option Button 53">
              <controlPr defaultSize="0" autoFill="0" autoLine="0" autoPict="0">
                <anchor moveWithCells="1">
                  <from>
                    <xdr:col>4</xdr:col>
                    <xdr:colOff>47625</xdr:colOff>
                    <xdr:row>2</xdr:row>
                    <xdr:rowOff>47625</xdr:rowOff>
                  </from>
                  <to>
                    <xdr:col>5</xdr:col>
                    <xdr:colOff>476250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8" r:id="rId7" name="Option Button 54">
              <controlPr defaultSize="0" autoFill="0" autoLine="0" autoPict="0">
                <anchor moveWithCells="1">
                  <from>
                    <xdr:col>6</xdr:col>
                    <xdr:colOff>47625</xdr:colOff>
                    <xdr:row>2</xdr:row>
                    <xdr:rowOff>47625</xdr:rowOff>
                  </from>
                  <to>
                    <xdr:col>7</xdr:col>
                    <xdr:colOff>371475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9" r:id="rId8" name="Option Button 55">
              <controlPr defaultSize="0" autoFill="0" autoLine="0" autoPict="0">
                <anchor moveWithCells="1">
                  <from>
                    <xdr:col>8</xdr:col>
                    <xdr:colOff>47625</xdr:colOff>
                    <xdr:row>2</xdr:row>
                    <xdr:rowOff>47625</xdr:rowOff>
                  </from>
                  <to>
                    <xdr:col>9</xdr:col>
                    <xdr:colOff>476250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I13"/>
  <sheetViews>
    <sheetView workbookViewId="0">
      <selection activeCell="F2" sqref="F2"/>
    </sheetView>
  </sheetViews>
  <sheetFormatPr defaultRowHeight="15" x14ac:dyDescent="0.25"/>
  <cols>
    <col min="2" max="2" width="11.7109375" bestFit="1" customWidth="1"/>
    <col min="3" max="3" width="8.140625" customWidth="1"/>
    <col min="4" max="4" width="12" bestFit="1" customWidth="1"/>
  </cols>
  <sheetData>
    <row r="1" spans="1:9" x14ac:dyDescent="0.25">
      <c r="A1" s="24" t="s">
        <v>29</v>
      </c>
      <c r="B1" s="24" t="s">
        <v>30</v>
      </c>
      <c r="C1" s="24" t="s">
        <v>31</v>
      </c>
      <c r="D1" s="24" t="s">
        <v>32</v>
      </c>
    </row>
    <row r="2" spans="1:9" x14ac:dyDescent="0.25">
      <c r="A2" s="21">
        <v>41275</v>
      </c>
      <c r="B2" s="13">
        <v>47</v>
      </c>
      <c r="C2" s="13">
        <v>56</v>
      </c>
      <c r="D2" s="22">
        <f>B2*100/C2</f>
        <v>83.928571428571431</v>
      </c>
      <c r="F2" s="21">
        <v>41487</v>
      </c>
      <c r="H2">
        <f ca="1">OFFSET($A$1,1,0,MATCH($F$2,$A$2:$A$13,0),1)</f>
        <v>41275</v>
      </c>
      <c r="I2" t="s">
        <v>189</v>
      </c>
    </row>
    <row r="3" spans="1:9" x14ac:dyDescent="0.25">
      <c r="A3" s="21">
        <v>41306</v>
      </c>
      <c r="B3" s="13">
        <v>16</v>
      </c>
      <c r="C3" s="13">
        <v>92</v>
      </c>
      <c r="D3" s="22">
        <f t="shared" ref="D3:D13" si="0">B3*100/C3</f>
        <v>17.391304347826086</v>
      </c>
      <c r="H3">
        <f ca="1">OFFSET(Months,0,1)</f>
        <v>16</v>
      </c>
      <c r="I3" t="s">
        <v>190</v>
      </c>
    </row>
    <row r="4" spans="1:9" x14ac:dyDescent="0.25">
      <c r="A4" s="21">
        <v>41334</v>
      </c>
      <c r="B4" s="13">
        <v>41</v>
      </c>
      <c r="C4" s="13">
        <v>25</v>
      </c>
      <c r="D4" s="22">
        <f t="shared" si="0"/>
        <v>164</v>
      </c>
      <c r="H4">
        <f ca="1">OFFSET(Pro,0,1)</f>
        <v>25</v>
      </c>
      <c r="I4" t="s">
        <v>191</v>
      </c>
    </row>
    <row r="5" spans="1:9" x14ac:dyDescent="0.25">
      <c r="A5" s="21">
        <v>41365</v>
      </c>
      <c r="B5" s="13">
        <v>13</v>
      </c>
      <c r="C5" s="13">
        <v>85</v>
      </c>
      <c r="D5" s="22">
        <f t="shared" si="0"/>
        <v>15.294117647058824</v>
      </c>
      <c r="H5">
        <f ca="1">OFFSET(Tar,0,1)</f>
        <v>15.294117647058824</v>
      </c>
      <c r="I5" t="s">
        <v>192</v>
      </c>
    </row>
    <row r="6" spans="1:9" x14ac:dyDescent="0.25">
      <c r="A6" s="21">
        <v>41395</v>
      </c>
      <c r="B6" s="13">
        <v>12</v>
      </c>
      <c r="C6" s="13">
        <v>95</v>
      </c>
      <c r="D6" s="22">
        <f t="shared" si="0"/>
        <v>12.631578947368421</v>
      </c>
    </row>
    <row r="7" spans="1:9" x14ac:dyDescent="0.25">
      <c r="A7" s="21">
        <v>41426</v>
      </c>
      <c r="B7" s="13">
        <v>50</v>
      </c>
      <c r="C7" s="13">
        <v>32</v>
      </c>
      <c r="D7" s="22">
        <f t="shared" si="0"/>
        <v>156.25</v>
      </c>
    </row>
    <row r="8" spans="1:9" x14ac:dyDescent="0.25">
      <c r="A8" s="21">
        <v>41456</v>
      </c>
      <c r="B8" s="13">
        <v>46</v>
      </c>
      <c r="C8" s="13">
        <v>81</v>
      </c>
      <c r="D8" s="22">
        <f t="shared" si="0"/>
        <v>56.790123456790127</v>
      </c>
    </row>
    <row r="9" spans="1:9" x14ac:dyDescent="0.25">
      <c r="A9" s="21">
        <v>41487</v>
      </c>
      <c r="B9" s="13">
        <v>29</v>
      </c>
      <c r="C9" s="13">
        <v>31</v>
      </c>
      <c r="D9" s="22">
        <f t="shared" si="0"/>
        <v>93.548387096774192</v>
      </c>
    </row>
    <row r="10" spans="1:9" x14ac:dyDescent="0.25">
      <c r="A10" s="21">
        <v>41518</v>
      </c>
      <c r="B10" s="13">
        <v>39</v>
      </c>
      <c r="C10" s="13">
        <v>52</v>
      </c>
      <c r="D10" s="22">
        <f t="shared" si="0"/>
        <v>75</v>
      </c>
    </row>
    <row r="11" spans="1:9" x14ac:dyDescent="0.25">
      <c r="A11" s="21">
        <v>41548</v>
      </c>
      <c r="B11" s="13">
        <v>33</v>
      </c>
      <c r="C11" s="13">
        <v>80</v>
      </c>
      <c r="D11" s="22">
        <f t="shared" si="0"/>
        <v>41.25</v>
      </c>
    </row>
    <row r="12" spans="1:9" x14ac:dyDescent="0.25">
      <c r="A12" s="21">
        <v>41579</v>
      </c>
      <c r="B12" s="13">
        <v>36</v>
      </c>
      <c r="C12" s="13">
        <v>36</v>
      </c>
      <c r="D12" s="22">
        <f t="shared" si="0"/>
        <v>100</v>
      </c>
    </row>
    <row r="13" spans="1:9" x14ac:dyDescent="0.25">
      <c r="A13" s="21">
        <v>41609</v>
      </c>
      <c r="B13" s="13">
        <v>30</v>
      </c>
      <c r="C13" s="13">
        <v>61</v>
      </c>
      <c r="D13" s="22">
        <f t="shared" si="0"/>
        <v>49.180327868852459</v>
      </c>
    </row>
  </sheetData>
  <dataValidations count="1">
    <dataValidation type="list" allowBlank="1" showInputMessage="1" showErrorMessage="1" sqref="F2" xr:uid="{00000000-0002-0000-0600-000000000000}">
      <formula1>$A$2:$A$13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AZ24"/>
  <sheetViews>
    <sheetView tabSelected="1" workbookViewId="0">
      <selection activeCell="Q22" sqref="Q22"/>
    </sheetView>
  </sheetViews>
  <sheetFormatPr defaultRowHeight="15" x14ac:dyDescent="0.25"/>
  <cols>
    <col min="19" max="19" width="10.140625" bestFit="1" customWidth="1"/>
  </cols>
  <sheetData>
    <row r="1" spans="15:52" x14ac:dyDescent="0.25">
      <c r="O1" t="s">
        <v>188</v>
      </c>
      <c r="P1" t="s">
        <v>184</v>
      </c>
      <c r="Q1" t="s">
        <v>185</v>
      </c>
      <c r="T1" s="35" t="s">
        <v>55</v>
      </c>
    </row>
    <row r="2" spans="15:52" x14ac:dyDescent="0.25">
      <c r="O2">
        <v>2</v>
      </c>
      <c r="P2">
        <v>3</v>
      </c>
      <c r="Q2">
        <v>5</v>
      </c>
      <c r="S2" s="2"/>
      <c r="T2" s="2">
        <v>1991</v>
      </c>
      <c r="U2" s="2">
        <v>1992</v>
      </c>
      <c r="V2" s="2">
        <v>1993</v>
      </c>
      <c r="W2" s="2">
        <v>1994</v>
      </c>
      <c r="X2" s="2">
        <v>1995</v>
      </c>
      <c r="Y2" s="2">
        <v>1996</v>
      </c>
      <c r="Z2" s="2">
        <v>1997</v>
      </c>
      <c r="AA2" s="2">
        <v>1998</v>
      </c>
      <c r="AB2" s="2">
        <v>1999</v>
      </c>
      <c r="AC2" s="2">
        <v>2000</v>
      </c>
      <c r="AD2" s="2">
        <v>2001</v>
      </c>
      <c r="AE2" s="2">
        <v>2002</v>
      </c>
      <c r="AF2" s="2">
        <v>2003</v>
      </c>
      <c r="AG2" s="2">
        <v>2004</v>
      </c>
      <c r="AH2" s="2">
        <v>2005</v>
      </c>
      <c r="AI2" s="2">
        <v>2006</v>
      </c>
      <c r="AJ2" s="2">
        <v>2007</v>
      </c>
      <c r="AK2" s="2">
        <v>2008</v>
      </c>
      <c r="AL2" s="2">
        <v>2009</v>
      </c>
      <c r="AM2" s="2">
        <v>2010</v>
      </c>
      <c r="AN2" s="2">
        <v>2011</v>
      </c>
      <c r="AO2" s="2">
        <v>2012</v>
      </c>
      <c r="AP2" s="2">
        <v>2013</v>
      </c>
      <c r="AQ2" s="2">
        <v>2014</v>
      </c>
      <c r="AR2" s="2">
        <v>2015</v>
      </c>
      <c r="AS2" s="2">
        <v>2016</v>
      </c>
      <c r="AT2" s="2">
        <v>2017</v>
      </c>
      <c r="AU2" s="2">
        <v>2018</v>
      </c>
      <c r="AV2" s="2">
        <v>2019</v>
      </c>
      <c r="AW2" s="2">
        <v>2020</v>
      </c>
      <c r="AX2" s="2">
        <v>2021</v>
      </c>
      <c r="AY2" s="2">
        <v>2022</v>
      </c>
      <c r="AZ2" s="2">
        <v>2023</v>
      </c>
    </row>
    <row r="3" spans="15:52" x14ac:dyDescent="0.25">
      <c r="S3" s="2" t="s">
        <v>175</v>
      </c>
      <c r="T3" s="2">
        <v>55</v>
      </c>
      <c r="U3" s="2">
        <v>92</v>
      </c>
      <c r="V3" s="2">
        <v>65</v>
      </c>
      <c r="W3" s="2">
        <v>54</v>
      </c>
      <c r="X3" s="2">
        <v>89</v>
      </c>
      <c r="Y3" s="2">
        <v>66</v>
      </c>
      <c r="Z3" s="2">
        <v>48</v>
      </c>
      <c r="AA3" s="2">
        <v>75</v>
      </c>
      <c r="AB3" s="2">
        <v>53</v>
      </c>
      <c r="AC3" s="2">
        <v>55</v>
      </c>
      <c r="AD3" s="2">
        <v>65</v>
      </c>
      <c r="AE3" s="2">
        <v>54</v>
      </c>
      <c r="AF3" s="2">
        <v>89</v>
      </c>
      <c r="AG3" s="2">
        <v>66</v>
      </c>
      <c r="AH3" s="2">
        <v>48</v>
      </c>
      <c r="AI3" s="2">
        <v>75</v>
      </c>
      <c r="AJ3" s="2">
        <v>53</v>
      </c>
      <c r="AK3" s="2">
        <v>55</v>
      </c>
      <c r="AL3" s="2">
        <v>65</v>
      </c>
      <c r="AM3" s="2">
        <v>54</v>
      </c>
      <c r="AN3" s="2">
        <v>89</v>
      </c>
      <c r="AO3" s="2">
        <v>66</v>
      </c>
      <c r="AP3" s="2">
        <v>48</v>
      </c>
      <c r="AQ3" s="2">
        <v>75</v>
      </c>
      <c r="AR3" s="2">
        <v>53</v>
      </c>
      <c r="AS3" s="2">
        <v>55</v>
      </c>
      <c r="AT3" s="2">
        <v>65</v>
      </c>
      <c r="AU3" s="2">
        <v>54</v>
      </c>
      <c r="AV3" s="2">
        <v>89</v>
      </c>
      <c r="AW3" s="2">
        <v>66</v>
      </c>
      <c r="AX3" s="2">
        <v>48</v>
      </c>
      <c r="AY3" s="2">
        <v>75</v>
      </c>
      <c r="AZ3" s="2">
        <v>53</v>
      </c>
    </row>
    <row r="4" spans="15:52" x14ac:dyDescent="0.25">
      <c r="S4" s="2" t="s">
        <v>176</v>
      </c>
      <c r="T4" s="2">
        <v>65</v>
      </c>
      <c r="U4" s="2">
        <v>89</v>
      </c>
      <c r="V4" s="2">
        <v>54</v>
      </c>
      <c r="W4" s="2">
        <v>66</v>
      </c>
      <c r="X4" s="2">
        <v>48</v>
      </c>
      <c r="Y4" s="2">
        <v>89</v>
      </c>
      <c r="Z4" s="2">
        <v>54</v>
      </c>
      <c r="AA4" s="2">
        <v>89</v>
      </c>
      <c r="AB4" s="2">
        <v>66</v>
      </c>
      <c r="AC4" s="2">
        <v>48</v>
      </c>
      <c r="AD4" s="2">
        <v>75</v>
      </c>
      <c r="AE4" s="2">
        <v>53</v>
      </c>
      <c r="AF4" s="2">
        <v>65</v>
      </c>
      <c r="AG4" s="2">
        <v>89</v>
      </c>
      <c r="AH4" s="2">
        <v>54</v>
      </c>
      <c r="AI4" s="2">
        <v>66</v>
      </c>
      <c r="AJ4" s="2">
        <v>48</v>
      </c>
      <c r="AK4" s="2">
        <v>89</v>
      </c>
      <c r="AL4" s="2">
        <v>54</v>
      </c>
      <c r="AM4" s="2">
        <v>89</v>
      </c>
      <c r="AN4" s="2">
        <v>66</v>
      </c>
      <c r="AO4" s="2">
        <v>48</v>
      </c>
      <c r="AP4" s="2">
        <v>75</v>
      </c>
      <c r="AQ4" s="2">
        <v>53</v>
      </c>
      <c r="AR4" s="2">
        <v>65</v>
      </c>
      <c r="AS4" s="2">
        <v>89</v>
      </c>
      <c r="AT4" s="2">
        <v>54</v>
      </c>
      <c r="AU4" s="2">
        <v>66</v>
      </c>
      <c r="AV4" s="2">
        <v>48</v>
      </c>
      <c r="AW4" s="2">
        <v>89</v>
      </c>
      <c r="AX4" s="2">
        <v>54</v>
      </c>
      <c r="AY4" s="2">
        <v>89</v>
      </c>
      <c r="AZ4" s="2">
        <v>66</v>
      </c>
    </row>
    <row r="5" spans="15:52" x14ac:dyDescent="0.25">
      <c r="S5" s="2" t="s">
        <v>177</v>
      </c>
      <c r="T5" s="2">
        <v>54</v>
      </c>
      <c r="U5" s="2">
        <v>54</v>
      </c>
      <c r="V5" s="2">
        <v>89</v>
      </c>
      <c r="W5" s="2">
        <v>48</v>
      </c>
      <c r="X5" s="2">
        <v>75</v>
      </c>
      <c r="Y5" s="2">
        <v>48</v>
      </c>
      <c r="Z5" s="2">
        <v>75</v>
      </c>
      <c r="AA5" s="2">
        <v>53</v>
      </c>
      <c r="AB5" s="2">
        <v>55</v>
      </c>
      <c r="AC5" s="2">
        <v>65</v>
      </c>
      <c r="AD5" s="2">
        <v>54</v>
      </c>
      <c r="AE5" s="2">
        <v>75</v>
      </c>
      <c r="AF5" s="2">
        <v>54</v>
      </c>
      <c r="AG5" s="2">
        <v>54</v>
      </c>
      <c r="AH5" s="2">
        <v>89</v>
      </c>
      <c r="AI5" s="2">
        <v>48</v>
      </c>
      <c r="AJ5" s="2">
        <v>75</v>
      </c>
      <c r="AK5" s="2">
        <v>48</v>
      </c>
      <c r="AL5" s="2">
        <v>75</v>
      </c>
      <c r="AM5" s="2">
        <v>53</v>
      </c>
      <c r="AN5" s="2">
        <v>55</v>
      </c>
      <c r="AO5" s="2">
        <v>65</v>
      </c>
      <c r="AP5" s="2">
        <v>54</v>
      </c>
      <c r="AQ5" s="2">
        <v>75</v>
      </c>
      <c r="AR5" s="2">
        <v>54</v>
      </c>
      <c r="AS5" s="2">
        <v>54</v>
      </c>
      <c r="AT5" s="2">
        <v>89</v>
      </c>
      <c r="AU5" s="2">
        <v>48</v>
      </c>
      <c r="AV5" s="2">
        <v>75</v>
      </c>
      <c r="AW5" s="2">
        <v>48</v>
      </c>
      <c r="AX5" s="2">
        <v>75</v>
      </c>
      <c r="AY5" s="2">
        <v>53</v>
      </c>
      <c r="AZ5" s="2">
        <v>55</v>
      </c>
    </row>
    <row r="6" spans="15:52" x14ac:dyDescent="0.25">
      <c r="S6" s="2" t="s">
        <v>178</v>
      </c>
      <c r="T6" s="2">
        <v>89</v>
      </c>
      <c r="U6" s="2">
        <v>85</v>
      </c>
      <c r="V6" s="2">
        <v>66</v>
      </c>
      <c r="W6" s="2">
        <v>75</v>
      </c>
      <c r="X6" s="2">
        <v>53</v>
      </c>
      <c r="Y6" s="2">
        <v>66</v>
      </c>
      <c r="Z6" s="2">
        <v>66</v>
      </c>
      <c r="AA6" s="2">
        <v>48</v>
      </c>
      <c r="AB6" s="2">
        <v>53</v>
      </c>
      <c r="AC6" s="2">
        <v>55</v>
      </c>
      <c r="AD6" s="2">
        <v>89</v>
      </c>
      <c r="AE6" s="2">
        <v>85</v>
      </c>
      <c r="AF6" s="2">
        <v>66</v>
      </c>
      <c r="AG6" s="2">
        <v>75</v>
      </c>
      <c r="AH6" s="2">
        <v>53</v>
      </c>
      <c r="AI6" s="2">
        <v>66</v>
      </c>
      <c r="AJ6" s="2">
        <v>66</v>
      </c>
      <c r="AK6" s="2">
        <v>48</v>
      </c>
      <c r="AL6" s="2">
        <v>53</v>
      </c>
      <c r="AM6" s="2">
        <v>55</v>
      </c>
      <c r="AN6" s="2">
        <v>89</v>
      </c>
      <c r="AO6" s="2">
        <v>85</v>
      </c>
      <c r="AP6" s="2">
        <v>66</v>
      </c>
      <c r="AQ6" s="2">
        <v>75</v>
      </c>
      <c r="AR6" s="2">
        <v>53</v>
      </c>
      <c r="AS6" s="2">
        <v>66</v>
      </c>
      <c r="AT6" s="2">
        <v>66</v>
      </c>
      <c r="AU6" s="2">
        <v>48</v>
      </c>
      <c r="AV6" s="2">
        <v>53</v>
      </c>
      <c r="AW6" s="2">
        <v>55</v>
      </c>
      <c r="AX6" s="2">
        <v>89</v>
      </c>
      <c r="AY6" s="2">
        <v>85</v>
      </c>
      <c r="AZ6" s="2">
        <v>66</v>
      </c>
    </row>
    <row r="7" spans="15:52" x14ac:dyDescent="0.25">
      <c r="S7" s="2" t="s">
        <v>179</v>
      </c>
      <c r="T7" s="2">
        <v>66</v>
      </c>
      <c r="U7" s="2">
        <v>66</v>
      </c>
      <c r="V7" s="2">
        <v>48</v>
      </c>
      <c r="W7" s="2">
        <v>53</v>
      </c>
      <c r="X7" s="2">
        <v>55</v>
      </c>
      <c r="Y7" s="2">
        <v>48</v>
      </c>
      <c r="Z7" s="2">
        <v>48</v>
      </c>
      <c r="AA7" s="2">
        <v>75</v>
      </c>
      <c r="AB7" s="2">
        <v>55</v>
      </c>
      <c r="AC7" s="2">
        <v>65</v>
      </c>
      <c r="AD7" s="2">
        <v>66</v>
      </c>
      <c r="AE7" s="2">
        <v>66</v>
      </c>
      <c r="AF7" s="2">
        <v>48</v>
      </c>
      <c r="AG7" s="2">
        <v>53</v>
      </c>
      <c r="AH7" s="2">
        <v>55</v>
      </c>
      <c r="AI7" s="2">
        <v>48</v>
      </c>
      <c r="AJ7" s="2">
        <v>48</v>
      </c>
      <c r="AK7" s="2">
        <v>75</v>
      </c>
      <c r="AL7" s="2">
        <v>55</v>
      </c>
      <c r="AM7" s="2">
        <v>65</v>
      </c>
      <c r="AN7" s="2">
        <v>48</v>
      </c>
      <c r="AO7" s="2">
        <v>75</v>
      </c>
      <c r="AP7" s="2">
        <v>53</v>
      </c>
      <c r="AQ7" s="2">
        <v>55</v>
      </c>
      <c r="AR7" s="2">
        <v>65</v>
      </c>
      <c r="AS7" s="2">
        <v>75</v>
      </c>
      <c r="AT7" s="2">
        <v>75</v>
      </c>
      <c r="AU7" s="2">
        <v>53</v>
      </c>
      <c r="AV7" s="2">
        <v>65</v>
      </c>
      <c r="AW7" s="2">
        <v>54</v>
      </c>
      <c r="AX7" s="2">
        <v>65</v>
      </c>
      <c r="AY7" s="2">
        <v>54</v>
      </c>
      <c r="AZ7" s="2">
        <v>75</v>
      </c>
    </row>
    <row r="8" spans="15:52" x14ac:dyDescent="0.25">
      <c r="S8" s="2" t="s">
        <v>180</v>
      </c>
      <c r="T8" s="2">
        <v>48</v>
      </c>
      <c r="U8" s="2">
        <v>48</v>
      </c>
      <c r="V8" s="2">
        <v>75</v>
      </c>
      <c r="W8" s="2">
        <v>55</v>
      </c>
      <c r="X8" s="2">
        <v>65</v>
      </c>
      <c r="Y8" s="2">
        <v>75</v>
      </c>
      <c r="Z8" s="2">
        <v>75</v>
      </c>
      <c r="AA8" s="2">
        <v>53</v>
      </c>
      <c r="AB8" s="2">
        <v>65</v>
      </c>
      <c r="AC8" s="2">
        <v>54</v>
      </c>
      <c r="AD8" s="2">
        <v>48</v>
      </c>
      <c r="AE8" s="2">
        <v>48</v>
      </c>
      <c r="AF8" s="2">
        <v>75</v>
      </c>
      <c r="AG8" s="2">
        <v>55</v>
      </c>
      <c r="AH8" s="2">
        <v>65</v>
      </c>
      <c r="AI8" s="2">
        <v>75</v>
      </c>
      <c r="AJ8" s="2">
        <v>75</v>
      </c>
      <c r="AK8" s="2">
        <v>53</v>
      </c>
      <c r="AL8" s="2">
        <v>65</v>
      </c>
      <c r="AM8" s="2">
        <v>54</v>
      </c>
      <c r="AN8" s="2">
        <v>48</v>
      </c>
      <c r="AO8" s="2">
        <v>48</v>
      </c>
      <c r="AP8" s="2">
        <v>75</v>
      </c>
      <c r="AQ8" s="2">
        <v>55</v>
      </c>
      <c r="AR8" s="2">
        <v>65</v>
      </c>
      <c r="AS8" s="2">
        <v>75</v>
      </c>
      <c r="AT8" s="2">
        <v>75</v>
      </c>
      <c r="AU8" s="2">
        <v>53</v>
      </c>
      <c r="AV8" s="2">
        <v>65</v>
      </c>
      <c r="AW8" s="2">
        <v>54</v>
      </c>
      <c r="AX8" s="2">
        <v>48</v>
      </c>
      <c r="AY8" s="2">
        <v>48</v>
      </c>
      <c r="AZ8" s="2">
        <v>75</v>
      </c>
    </row>
    <row r="9" spans="15:52" x14ac:dyDescent="0.25">
      <c r="S9" s="2" t="s">
        <v>181</v>
      </c>
      <c r="T9" s="2">
        <v>75</v>
      </c>
      <c r="U9" s="2">
        <v>75</v>
      </c>
      <c r="V9" s="2">
        <v>53</v>
      </c>
      <c r="W9" s="2">
        <v>65</v>
      </c>
      <c r="X9" s="2">
        <v>54</v>
      </c>
      <c r="Y9" s="2">
        <v>53</v>
      </c>
      <c r="Z9" s="2">
        <v>52</v>
      </c>
      <c r="AA9" s="2">
        <v>55</v>
      </c>
      <c r="AB9" s="2">
        <v>54</v>
      </c>
      <c r="AC9" s="2">
        <v>89</v>
      </c>
      <c r="AD9" s="2">
        <v>75</v>
      </c>
      <c r="AE9" s="2">
        <v>75</v>
      </c>
      <c r="AF9" s="2">
        <v>53</v>
      </c>
      <c r="AG9" s="2">
        <v>65</v>
      </c>
      <c r="AH9" s="2">
        <v>54</v>
      </c>
      <c r="AI9" s="2">
        <v>53</v>
      </c>
      <c r="AJ9" s="2">
        <v>52</v>
      </c>
      <c r="AK9" s="2">
        <v>55</v>
      </c>
      <c r="AL9" s="2">
        <v>54</v>
      </c>
      <c r="AM9" s="2">
        <v>89</v>
      </c>
      <c r="AN9" s="2">
        <v>75</v>
      </c>
      <c r="AO9" s="2">
        <v>75</v>
      </c>
      <c r="AP9" s="2">
        <v>53</v>
      </c>
      <c r="AQ9" s="2">
        <v>65</v>
      </c>
      <c r="AR9" s="2">
        <v>54</v>
      </c>
      <c r="AS9" s="2">
        <v>53</v>
      </c>
      <c r="AT9" s="2">
        <v>52</v>
      </c>
      <c r="AU9" s="2">
        <v>55</v>
      </c>
      <c r="AV9" s="2">
        <v>54</v>
      </c>
      <c r="AW9" s="2">
        <v>89</v>
      </c>
      <c r="AX9" s="2">
        <v>75</v>
      </c>
      <c r="AY9" s="2">
        <v>75</v>
      </c>
      <c r="AZ9" s="2">
        <v>53</v>
      </c>
    </row>
    <row r="10" spans="15:52" x14ac:dyDescent="0.25">
      <c r="S10" s="2" t="s">
        <v>52</v>
      </c>
      <c r="T10" s="2">
        <v>53</v>
      </c>
      <c r="U10" s="2">
        <v>50</v>
      </c>
      <c r="V10" s="2">
        <v>55</v>
      </c>
      <c r="W10" s="2">
        <v>54</v>
      </c>
      <c r="X10" s="2">
        <v>89</v>
      </c>
      <c r="Y10" s="2">
        <v>75</v>
      </c>
      <c r="Z10" s="2">
        <v>75</v>
      </c>
      <c r="AA10" s="2">
        <v>53</v>
      </c>
      <c r="AB10" s="2">
        <v>65</v>
      </c>
      <c r="AC10" s="2">
        <v>54</v>
      </c>
      <c r="AD10" s="2">
        <v>53</v>
      </c>
      <c r="AE10" s="2">
        <v>52</v>
      </c>
      <c r="AF10" s="2">
        <v>55</v>
      </c>
      <c r="AG10" s="2">
        <v>54</v>
      </c>
      <c r="AH10" s="2">
        <v>89</v>
      </c>
      <c r="AI10" s="2">
        <v>75</v>
      </c>
      <c r="AJ10" s="2">
        <v>75</v>
      </c>
      <c r="AK10" s="2">
        <v>53</v>
      </c>
      <c r="AL10" s="2">
        <v>65</v>
      </c>
      <c r="AM10" s="2">
        <v>54</v>
      </c>
      <c r="AN10" s="2">
        <v>53</v>
      </c>
      <c r="AO10" s="2">
        <v>52</v>
      </c>
      <c r="AP10" s="2">
        <v>55</v>
      </c>
      <c r="AQ10" s="2">
        <v>54</v>
      </c>
      <c r="AR10" s="2">
        <v>89</v>
      </c>
      <c r="AS10" s="2">
        <v>75</v>
      </c>
      <c r="AT10" s="2">
        <v>75</v>
      </c>
      <c r="AU10" s="2">
        <v>53</v>
      </c>
      <c r="AV10" s="2">
        <v>65</v>
      </c>
      <c r="AW10" s="2">
        <v>54</v>
      </c>
      <c r="AX10" s="2">
        <v>53</v>
      </c>
      <c r="AY10" s="2">
        <v>52</v>
      </c>
      <c r="AZ10" s="2">
        <v>55</v>
      </c>
    </row>
    <row r="12" spans="15:52" x14ac:dyDescent="0.25">
      <c r="T12" s="35" t="s">
        <v>187</v>
      </c>
    </row>
    <row r="13" spans="15:52" x14ac:dyDescent="0.25">
      <c r="P13" s="36"/>
      <c r="S13" s="2"/>
      <c r="T13" s="2">
        <v>1980</v>
      </c>
      <c r="U13" s="2">
        <v>1981</v>
      </c>
      <c r="V13" s="2">
        <v>1982</v>
      </c>
      <c r="W13" s="2">
        <v>1983</v>
      </c>
      <c r="X13" s="2">
        <v>1984</v>
      </c>
      <c r="Y13" s="2">
        <v>1985</v>
      </c>
      <c r="Z13" s="2">
        <v>1986</v>
      </c>
      <c r="AA13" s="2">
        <v>1987</v>
      </c>
      <c r="AB13" s="2">
        <v>1988</v>
      </c>
      <c r="AC13" s="2">
        <v>1989</v>
      </c>
      <c r="AD13" s="2">
        <v>1990</v>
      </c>
      <c r="AE13" s="2">
        <v>1991</v>
      </c>
      <c r="AF13" s="2">
        <v>1992</v>
      </c>
      <c r="AG13" s="2">
        <v>1993</v>
      </c>
      <c r="AH13" s="2">
        <v>1994</v>
      </c>
      <c r="AI13" s="2">
        <v>1995</v>
      </c>
      <c r="AJ13" s="2">
        <v>1996</v>
      </c>
      <c r="AK13" s="2">
        <v>1997</v>
      </c>
      <c r="AL13" s="2">
        <v>1998</v>
      </c>
      <c r="AM13" s="2">
        <v>1999</v>
      </c>
      <c r="AN13" s="2">
        <v>2000</v>
      </c>
      <c r="AO13" s="2">
        <v>2001</v>
      </c>
      <c r="AP13" s="2">
        <v>2002</v>
      </c>
      <c r="AQ13" s="2">
        <v>2003</v>
      </c>
      <c r="AR13" s="2">
        <v>2004</v>
      </c>
      <c r="AS13" s="2">
        <v>2005</v>
      </c>
      <c r="AT13" s="2">
        <v>2006</v>
      </c>
      <c r="AU13" s="2">
        <v>2007</v>
      </c>
      <c r="AV13" s="2">
        <v>2008</v>
      </c>
      <c r="AW13" s="2">
        <v>2009</v>
      </c>
      <c r="AX13" s="2">
        <v>2010</v>
      </c>
      <c r="AY13" s="2">
        <v>2011</v>
      </c>
      <c r="AZ13" s="2">
        <v>2012</v>
      </c>
    </row>
    <row r="14" spans="15:52" x14ac:dyDescent="0.25">
      <c r="S14" s="2" t="s">
        <v>44</v>
      </c>
      <c r="T14" s="2">
        <v>54</v>
      </c>
      <c r="U14" s="2">
        <v>89</v>
      </c>
      <c r="V14" s="2">
        <v>66</v>
      </c>
      <c r="W14" s="2">
        <v>48</v>
      </c>
      <c r="X14" s="2">
        <v>75</v>
      </c>
      <c r="Y14" s="2">
        <v>53</v>
      </c>
      <c r="Z14" s="2">
        <v>55</v>
      </c>
      <c r="AA14" s="2">
        <v>65</v>
      </c>
      <c r="AB14" s="2">
        <v>54</v>
      </c>
      <c r="AC14" s="2">
        <v>89</v>
      </c>
      <c r="AD14" s="2">
        <v>66</v>
      </c>
      <c r="AE14" s="2">
        <v>48</v>
      </c>
      <c r="AF14" s="2">
        <v>75</v>
      </c>
      <c r="AG14" s="2">
        <v>53</v>
      </c>
      <c r="AH14" s="2">
        <v>55</v>
      </c>
      <c r="AI14" s="2">
        <v>65</v>
      </c>
      <c r="AJ14" s="2">
        <v>54</v>
      </c>
      <c r="AK14" s="2">
        <v>89</v>
      </c>
      <c r="AL14" s="2">
        <v>66</v>
      </c>
      <c r="AM14" s="2">
        <v>48</v>
      </c>
      <c r="AN14" s="2">
        <v>75</v>
      </c>
      <c r="AO14" s="2">
        <v>53</v>
      </c>
      <c r="AP14" s="2">
        <v>55</v>
      </c>
      <c r="AQ14" s="2">
        <v>92</v>
      </c>
      <c r="AR14" s="2">
        <v>65</v>
      </c>
      <c r="AS14" s="2">
        <v>54</v>
      </c>
      <c r="AT14" s="2">
        <v>89</v>
      </c>
      <c r="AU14" s="2">
        <v>66</v>
      </c>
      <c r="AV14" s="2">
        <v>48</v>
      </c>
      <c r="AW14" s="2">
        <v>75</v>
      </c>
      <c r="AX14" s="2">
        <v>53</v>
      </c>
      <c r="AY14" s="2">
        <v>55</v>
      </c>
      <c r="AZ14" s="2">
        <v>65</v>
      </c>
    </row>
    <row r="15" spans="15:52" x14ac:dyDescent="0.25">
      <c r="S15" s="2" t="s">
        <v>45</v>
      </c>
      <c r="T15" s="2">
        <v>53</v>
      </c>
      <c r="U15" s="2">
        <v>65</v>
      </c>
      <c r="V15" s="2">
        <v>89</v>
      </c>
      <c r="W15" s="2">
        <v>54</v>
      </c>
      <c r="X15" s="2">
        <v>66</v>
      </c>
      <c r="Y15" s="2">
        <v>48</v>
      </c>
      <c r="Z15" s="2">
        <v>89</v>
      </c>
      <c r="AA15" s="2">
        <v>54</v>
      </c>
      <c r="AB15" s="2">
        <v>89</v>
      </c>
      <c r="AC15" s="2">
        <v>66</v>
      </c>
      <c r="AD15" s="2">
        <v>48</v>
      </c>
      <c r="AE15" s="2">
        <v>75</v>
      </c>
      <c r="AF15" s="2">
        <v>53</v>
      </c>
      <c r="AG15" s="2">
        <v>65</v>
      </c>
      <c r="AH15" s="2">
        <v>89</v>
      </c>
      <c r="AI15" s="2">
        <v>54</v>
      </c>
      <c r="AJ15" s="2">
        <v>66</v>
      </c>
      <c r="AK15" s="2">
        <v>48</v>
      </c>
      <c r="AL15" s="2">
        <v>89</v>
      </c>
      <c r="AM15" s="2">
        <v>54</v>
      </c>
      <c r="AN15" s="2">
        <v>89</v>
      </c>
      <c r="AO15" s="2">
        <v>66</v>
      </c>
      <c r="AP15" s="2">
        <v>65</v>
      </c>
      <c r="AQ15" s="2">
        <v>89</v>
      </c>
      <c r="AR15" s="2">
        <v>54</v>
      </c>
      <c r="AS15" s="2">
        <v>66</v>
      </c>
      <c r="AT15" s="2">
        <v>48</v>
      </c>
      <c r="AU15" s="2">
        <v>89</v>
      </c>
      <c r="AV15" s="2">
        <v>54</v>
      </c>
      <c r="AW15" s="2">
        <v>89</v>
      </c>
      <c r="AX15" s="2">
        <v>66</v>
      </c>
      <c r="AY15" s="2">
        <v>48</v>
      </c>
      <c r="AZ15" s="2">
        <v>75</v>
      </c>
    </row>
    <row r="16" spans="15:52" x14ac:dyDescent="0.25">
      <c r="P16" t="str">
        <f ca="1">IF($O$2=1,OFFSET($S$2,1,0,COUNTA($S$3:$S$10),1),OFFSET($S$13,1,0,COUNTA($S$14:$S$21),1))</f>
        <v>Subudhi</v>
      </c>
      <c r="S16" s="2" t="s">
        <v>46</v>
      </c>
      <c r="T16" s="2">
        <v>75</v>
      </c>
      <c r="U16" s="2">
        <v>54</v>
      </c>
      <c r="V16" s="2">
        <v>54</v>
      </c>
      <c r="W16" s="2">
        <v>89</v>
      </c>
      <c r="X16" s="2">
        <v>48</v>
      </c>
      <c r="Y16" s="2">
        <v>75</v>
      </c>
      <c r="Z16" s="2">
        <v>48</v>
      </c>
      <c r="AA16" s="2">
        <v>75</v>
      </c>
      <c r="AB16" s="2">
        <v>53</v>
      </c>
      <c r="AC16" s="2">
        <v>55</v>
      </c>
      <c r="AD16" s="2">
        <v>65</v>
      </c>
      <c r="AE16" s="2">
        <v>54</v>
      </c>
      <c r="AF16" s="2">
        <v>75</v>
      </c>
      <c r="AG16" s="2">
        <v>54</v>
      </c>
      <c r="AH16" s="2">
        <v>54</v>
      </c>
      <c r="AI16" s="2">
        <v>89</v>
      </c>
      <c r="AJ16" s="2">
        <v>48</v>
      </c>
      <c r="AK16" s="2">
        <v>75</v>
      </c>
      <c r="AL16" s="2">
        <v>48</v>
      </c>
      <c r="AM16" s="2">
        <v>75</v>
      </c>
      <c r="AN16" s="2">
        <v>53</v>
      </c>
      <c r="AO16" s="2">
        <v>55</v>
      </c>
      <c r="AP16" s="2">
        <v>54</v>
      </c>
      <c r="AQ16" s="2">
        <v>54</v>
      </c>
      <c r="AR16" s="2">
        <v>89</v>
      </c>
      <c r="AS16" s="2">
        <v>48</v>
      </c>
      <c r="AT16" s="2">
        <v>75</v>
      </c>
      <c r="AU16" s="2">
        <v>48</v>
      </c>
      <c r="AV16" s="2">
        <v>75</v>
      </c>
      <c r="AW16" s="2">
        <v>53</v>
      </c>
      <c r="AX16" s="2">
        <v>55</v>
      </c>
      <c r="AY16" s="2">
        <v>65</v>
      </c>
      <c r="AZ16" s="2">
        <v>54</v>
      </c>
    </row>
    <row r="17" spans="1:52" x14ac:dyDescent="0.25">
      <c r="S17" s="2" t="s">
        <v>47</v>
      </c>
      <c r="T17" s="2">
        <v>85</v>
      </c>
      <c r="U17" s="2">
        <v>66</v>
      </c>
      <c r="V17" s="2">
        <v>75</v>
      </c>
      <c r="W17" s="2">
        <v>53</v>
      </c>
      <c r="X17" s="2">
        <v>66</v>
      </c>
      <c r="Y17" s="2">
        <v>66</v>
      </c>
      <c r="Z17" s="2">
        <v>48</v>
      </c>
      <c r="AA17" s="2">
        <v>53</v>
      </c>
      <c r="AB17" s="2">
        <v>55</v>
      </c>
      <c r="AC17" s="2">
        <v>89</v>
      </c>
      <c r="AD17" s="2">
        <v>85</v>
      </c>
      <c r="AE17" s="2">
        <v>66</v>
      </c>
      <c r="AF17" s="2">
        <v>75</v>
      </c>
      <c r="AG17" s="2">
        <v>53</v>
      </c>
      <c r="AH17" s="2">
        <v>66</v>
      </c>
      <c r="AI17" s="2">
        <v>66</v>
      </c>
      <c r="AJ17" s="2">
        <v>48</v>
      </c>
      <c r="AK17" s="2">
        <v>53</v>
      </c>
      <c r="AL17" s="2">
        <v>55</v>
      </c>
      <c r="AM17" s="2">
        <v>89</v>
      </c>
      <c r="AN17" s="2">
        <v>85</v>
      </c>
      <c r="AO17" s="2">
        <v>66</v>
      </c>
      <c r="AP17" s="2">
        <v>89</v>
      </c>
      <c r="AQ17" s="2">
        <v>85</v>
      </c>
      <c r="AR17" s="2">
        <v>66</v>
      </c>
      <c r="AS17" s="2">
        <v>75</v>
      </c>
      <c r="AT17" s="2">
        <v>53</v>
      </c>
      <c r="AU17" s="2">
        <v>66</v>
      </c>
      <c r="AV17" s="2">
        <v>66</v>
      </c>
      <c r="AW17" s="2">
        <v>48</v>
      </c>
      <c r="AX17" s="2">
        <v>53</v>
      </c>
      <c r="AY17" s="2">
        <v>55</v>
      </c>
      <c r="AZ17" s="2">
        <v>89</v>
      </c>
    </row>
    <row r="18" spans="1:52" x14ac:dyDescent="0.25">
      <c r="S18" s="2" t="s">
        <v>48</v>
      </c>
      <c r="T18" s="2">
        <v>66</v>
      </c>
      <c r="U18" s="2">
        <v>48</v>
      </c>
      <c r="V18" s="2">
        <v>53</v>
      </c>
      <c r="W18" s="2">
        <v>55</v>
      </c>
      <c r="X18" s="2">
        <v>48</v>
      </c>
      <c r="Y18" s="2">
        <v>48</v>
      </c>
      <c r="Z18" s="2">
        <v>75</v>
      </c>
      <c r="AA18" s="2">
        <v>55</v>
      </c>
      <c r="AB18" s="2">
        <v>65</v>
      </c>
      <c r="AC18" s="2">
        <v>48</v>
      </c>
      <c r="AD18" s="2">
        <v>75</v>
      </c>
      <c r="AE18" s="2">
        <v>53</v>
      </c>
      <c r="AF18" s="2">
        <v>55</v>
      </c>
      <c r="AG18" s="2">
        <v>65</v>
      </c>
      <c r="AH18" s="2">
        <v>75</v>
      </c>
      <c r="AI18" s="2">
        <v>75</v>
      </c>
      <c r="AJ18" s="2">
        <v>53</v>
      </c>
      <c r="AK18" s="2">
        <v>65</v>
      </c>
      <c r="AL18" s="2">
        <v>54</v>
      </c>
      <c r="AM18" s="2">
        <v>65</v>
      </c>
      <c r="AN18" s="2">
        <v>54</v>
      </c>
      <c r="AO18" s="2">
        <v>75</v>
      </c>
      <c r="AP18" s="2">
        <v>66</v>
      </c>
      <c r="AQ18" s="2">
        <v>66</v>
      </c>
      <c r="AR18" s="2">
        <v>48</v>
      </c>
      <c r="AS18" s="2">
        <v>53</v>
      </c>
      <c r="AT18" s="2">
        <v>55</v>
      </c>
      <c r="AU18" s="2">
        <v>48</v>
      </c>
      <c r="AV18" s="2">
        <v>48</v>
      </c>
      <c r="AW18" s="2">
        <v>75</v>
      </c>
      <c r="AX18" s="2">
        <v>55</v>
      </c>
      <c r="AY18" s="2">
        <v>65</v>
      </c>
      <c r="AZ18" s="2">
        <v>66</v>
      </c>
    </row>
    <row r="19" spans="1:52" x14ac:dyDescent="0.25">
      <c r="S19" s="2" t="s">
        <v>49</v>
      </c>
      <c r="T19" s="2">
        <v>48</v>
      </c>
      <c r="U19" s="2">
        <v>75</v>
      </c>
      <c r="V19" s="2">
        <v>55</v>
      </c>
      <c r="W19" s="2">
        <v>65</v>
      </c>
      <c r="X19" s="2">
        <v>75</v>
      </c>
      <c r="Y19" s="2">
        <v>75</v>
      </c>
      <c r="Z19" s="2">
        <v>53</v>
      </c>
      <c r="AA19" s="2">
        <v>65</v>
      </c>
      <c r="AB19" s="2">
        <v>54</v>
      </c>
      <c r="AC19" s="2">
        <v>48</v>
      </c>
      <c r="AD19" s="2">
        <v>48</v>
      </c>
      <c r="AE19" s="2">
        <v>75</v>
      </c>
      <c r="AF19" s="2">
        <v>55</v>
      </c>
      <c r="AG19" s="2">
        <v>65</v>
      </c>
      <c r="AH19" s="2">
        <v>75</v>
      </c>
      <c r="AI19" s="2">
        <v>75</v>
      </c>
      <c r="AJ19" s="2">
        <v>53</v>
      </c>
      <c r="AK19" s="2">
        <v>65</v>
      </c>
      <c r="AL19" s="2">
        <v>54</v>
      </c>
      <c r="AM19" s="2">
        <v>48</v>
      </c>
      <c r="AN19" s="2">
        <v>48</v>
      </c>
      <c r="AO19" s="2">
        <v>75</v>
      </c>
      <c r="AP19" s="2">
        <v>48</v>
      </c>
      <c r="AQ19" s="2">
        <v>48</v>
      </c>
      <c r="AR19" s="2">
        <v>75</v>
      </c>
      <c r="AS19" s="2">
        <v>55</v>
      </c>
      <c r="AT19" s="2">
        <v>65</v>
      </c>
      <c r="AU19" s="2">
        <v>75</v>
      </c>
      <c r="AV19" s="2">
        <v>75</v>
      </c>
      <c r="AW19" s="2">
        <v>53</v>
      </c>
      <c r="AX19" s="2">
        <v>65</v>
      </c>
      <c r="AY19" s="2">
        <v>54</v>
      </c>
      <c r="AZ19" s="2">
        <v>48</v>
      </c>
    </row>
    <row r="20" spans="1:52" x14ac:dyDescent="0.25">
      <c r="S20" s="2" t="s">
        <v>50</v>
      </c>
      <c r="T20" s="2">
        <v>75</v>
      </c>
      <c r="U20" s="2">
        <v>53</v>
      </c>
      <c r="V20" s="2">
        <v>65</v>
      </c>
      <c r="W20" s="2">
        <v>54</v>
      </c>
      <c r="X20" s="2">
        <v>53</v>
      </c>
      <c r="Y20" s="2">
        <v>52</v>
      </c>
      <c r="Z20" s="2">
        <v>55</v>
      </c>
      <c r="AA20" s="2">
        <v>54</v>
      </c>
      <c r="AB20" s="2">
        <v>89</v>
      </c>
      <c r="AC20" s="2">
        <v>75</v>
      </c>
      <c r="AD20" s="2">
        <v>75</v>
      </c>
      <c r="AE20" s="2">
        <v>53</v>
      </c>
      <c r="AF20" s="2">
        <v>65</v>
      </c>
      <c r="AG20" s="2">
        <v>54</v>
      </c>
      <c r="AH20" s="2">
        <v>53</v>
      </c>
      <c r="AI20" s="2">
        <v>52</v>
      </c>
      <c r="AJ20" s="2">
        <v>55</v>
      </c>
      <c r="AK20" s="2">
        <v>54</v>
      </c>
      <c r="AL20" s="2">
        <v>89</v>
      </c>
      <c r="AM20" s="2">
        <v>75</v>
      </c>
      <c r="AN20" s="2">
        <v>75</v>
      </c>
      <c r="AO20" s="2">
        <v>53</v>
      </c>
      <c r="AP20" s="2">
        <v>75</v>
      </c>
      <c r="AQ20" s="2">
        <v>75</v>
      </c>
      <c r="AR20" s="2">
        <v>53</v>
      </c>
      <c r="AS20" s="2">
        <v>65</v>
      </c>
      <c r="AT20" s="2">
        <v>54</v>
      </c>
      <c r="AU20" s="2">
        <v>53</v>
      </c>
      <c r="AV20" s="2">
        <v>52</v>
      </c>
      <c r="AW20" s="2">
        <v>55</v>
      </c>
      <c r="AX20" s="2">
        <v>54</v>
      </c>
      <c r="AY20" s="2">
        <v>89</v>
      </c>
      <c r="AZ20" s="2">
        <v>75</v>
      </c>
    </row>
    <row r="21" spans="1:52" x14ac:dyDescent="0.25">
      <c r="S21" s="2" t="s">
        <v>51</v>
      </c>
      <c r="T21" s="2">
        <v>52</v>
      </c>
      <c r="U21" s="2">
        <v>55</v>
      </c>
      <c r="V21" s="2">
        <v>54</v>
      </c>
      <c r="W21" s="2">
        <v>89</v>
      </c>
      <c r="X21" s="2">
        <v>75</v>
      </c>
      <c r="Y21" s="2">
        <v>75</v>
      </c>
      <c r="Z21" s="2">
        <v>53</v>
      </c>
      <c r="AA21" s="2">
        <v>65</v>
      </c>
      <c r="AB21" s="2">
        <v>54</v>
      </c>
      <c r="AC21" s="2">
        <v>53</v>
      </c>
      <c r="AD21" s="2">
        <v>52</v>
      </c>
      <c r="AE21" s="2">
        <v>55</v>
      </c>
      <c r="AF21" s="2">
        <v>54</v>
      </c>
      <c r="AG21" s="2">
        <v>89</v>
      </c>
      <c r="AH21" s="2">
        <v>75</v>
      </c>
      <c r="AI21" s="2">
        <v>75</v>
      </c>
      <c r="AJ21" s="2">
        <v>53</v>
      </c>
      <c r="AK21" s="2">
        <v>65</v>
      </c>
      <c r="AL21" s="2">
        <v>54</v>
      </c>
      <c r="AM21" s="2">
        <v>53</v>
      </c>
      <c r="AN21" s="2">
        <v>52</v>
      </c>
      <c r="AO21" s="2">
        <v>55</v>
      </c>
      <c r="AP21" s="2">
        <v>53</v>
      </c>
      <c r="AQ21" s="2">
        <v>50</v>
      </c>
      <c r="AR21" s="2">
        <v>55</v>
      </c>
      <c r="AS21" s="2">
        <v>54</v>
      </c>
      <c r="AT21" s="2">
        <v>89</v>
      </c>
      <c r="AU21" s="2">
        <v>75</v>
      </c>
      <c r="AV21" s="2">
        <v>75</v>
      </c>
      <c r="AW21" s="2">
        <v>53</v>
      </c>
      <c r="AX21" s="2">
        <v>65</v>
      </c>
      <c r="AY21" s="2">
        <v>54</v>
      </c>
      <c r="AZ21" s="2">
        <v>53</v>
      </c>
    </row>
    <row r="23" spans="1:52" x14ac:dyDescent="0.25">
      <c r="A23" t="s">
        <v>53</v>
      </c>
      <c r="B23">
        <f ca="1">IF($O$2=1,OFFSET($R$2,0,$Q$2+COLUMN(A1)),OFFSET($R$13,0,$Q$2+COLUMN(A1)))</f>
        <v>1984</v>
      </c>
      <c r="C23">
        <f t="shared" ref="C23:N23" ca="1" si="0">IF($O$2=1,OFFSET($R$2,0,$Q$2+COLUMN(B1)),OFFSET($R$13,0,$Q$2+COLUMN(B1)))</f>
        <v>1985</v>
      </c>
      <c r="D23">
        <f t="shared" ca="1" si="0"/>
        <v>1986</v>
      </c>
      <c r="E23">
        <f t="shared" ca="1" si="0"/>
        <v>1987</v>
      </c>
      <c r="F23">
        <f t="shared" ca="1" si="0"/>
        <v>1988</v>
      </c>
      <c r="G23">
        <f t="shared" ca="1" si="0"/>
        <v>1989</v>
      </c>
      <c r="H23">
        <f t="shared" ca="1" si="0"/>
        <v>1990</v>
      </c>
      <c r="I23">
        <f t="shared" ca="1" si="0"/>
        <v>1991</v>
      </c>
      <c r="J23">
        <f t="shared" ca="1" si="0"/>
        <v>1992</v>
      </c>
      <c r="K23">
        <f t="shared" ca="1" si="0"/>
        <v>1993</v>
      </c>
      <c r="L23">
        <f t="shared" ca="1" si="0"/>
        <v>1994</v>
      </c>
      <c r="M23">
        <f t="shared" ca="1" si="0"/>
        <v>1995</v>
      </c>
      <c r="N23">
        <f t="shared" ca="1" si="0"/>
        <v>1996</v>
      </c>
    </row>
    <row r="24" spans="1:52" x14ac:dyDescent="0.25">
      <c r="A24" t="str">
        <f ca="1">IF($O$2=1,OFFSET($S$2,$P$2,0),OFFSET($S$13,$P$2,0))</f>
        <v>Subudhi</v>
      </c>
      <c r="B24">
        <f ca="1">IF($O$2=1,VLOOKUP($A$24,$S$2:$AZ$10,MATCH(B$23,$S$2:$AZ$2,0),0),VLOOKUP($A$24,$S$13:$AZ$21,MATCH(B$23,$S$13:$AZ$13,0),0))</f>
        <v>48</v>
      </c>
      <c r="C24">
        <f t="shared" ref="C24:N24" ca="1" si="1">IF($O$2=1,VLOOKUP($A$24,$S$2:$AZ$10,MATCH(C$23,$S$2:$AZ$2,0),0),VLOOKUP($A$24,$S$13:$AZ$21,MATCH(C$23,$S$13:$AZ$13,0),0))</f>
        <v>75</v>
      </c>
      <c r="D24">
        <f t="shared" ca="1" si="1"/>
        <v>48</v>
      </c>
      <c r="E24">
        <f t="shared" ca="1" si="1"/>
        <v>75</v>
      </c>
      <c r="F24">
        <f t="shared" ca="1" si="1"/>
        <v>53</v>
      </c>
      <c r="G24">
        <f t="shared" ca="1" si="1"/>
        <v>55</v>
      </c>
      <c r="H24">
        <f t="shared" ca="1" si="1"/>
        <v>65</v>
      </c>
      <c r="I24">
        <f t="shared" ca="1" si="1"/>
        <v>54</v>
      </c>
      <c r="J24">
        <f t="shared" ca="1" si="1"/>
        <v>75</v>
      </c>
      <c r="K24">
        <f t="shared" ca="1" si="1"/>
        <v>54</v>
      </c>
      <c r="L24">
        <f t="shared" ca="1" si="1"/>
        <v>54</v>
      </c>
      <c r="M24">
        <f t="shared" ca="1" si="1"/>
        <v>89</v>
      </c>
      <c r="N24">
        <f t="shared" ca="1" si="1"/>
        <v>48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90" r:id="rId4" name="Group Box 70">
              <controlPr defaultSize="0" autoFill="0" autoPict="0">
                <anchor moveWithCells="1">
                  <from>
                    <xdr:col>14</xdr:col>
                    <xdr:colOff>552450</xdr:colOff>
                    <xdr:row>5</xdr:row>
                    <xdr:rowOff>9525</xdr:rowOff>
                  </from>
                  <to>
                    <xdr:col>17</xdr:col>
                    <xdr:colOff>190500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5" name="Option Button 71">
              <controlPr defaultSize="0" autoFill="0" autoLine="0" autoPict="0">
                <anchor moveWithCells="1">
                  <from>
                    <xdr:col>15</xdr:col>
                    <xdr:colOff>57150</xdr:colOff>
                    <xdr:row>5</xdr:row>
                    <xdr:rowOff>85725</xdr:rowOff>
                  </from>
                  <to>
                    <xdr:col>17</xdr:col>
                    <xdr:colOff>38100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6" name="Option Button 72">
              <controlPr defaultSize="0" autoFill="0" autoLine="0" autoPict="0">
                <anchor moveWithCells="1">
                  <from>
                    <xdr:col>15</xdr:col>
                    <xdr:colOff>57150</xdr:colOff>
                    <xdr:row>7</xdr:row>
                    <xdr:rowOff>85725</xdr:rowOff>
                  </from>
                  <to>
                    <xdr:col>17</xdr:col>
                    <xdr:colOff>38100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7" name="Drop Down 73">
              <controlPr defaultSize="0" autoLine="0" autoPict="0">
                <anchor moveWithCells="1">
                  <from>
                    <xdr:col>14</xdr:col>
                    <xdr:colOff>600075</xdr:colOff>
                    <xdr:row>11</xdr:row>
                    <xdr:rowOff>9525</xdr:rowOff>
                  </from>
                  <to>
                    <xdr:col>17</xdr:col>
                    <xdr:colOff>104775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8" name="Scroll Bar 74">
              <controlPr defaultSize="0" autoPict="0">
                <anchor moveWithCells="1">
                  <from>
                    <xdr:col>0</xdr:col>
                    <xdr:colOff>19050</xdr:colOff>
                    <xdr:row>21</xdr:row>
                    <xdr:rowOff>85725</xdr:rowOff>
                  </from>
                  <to>
                    <xdr:col>14</xdr:col>
                    <xdr:colOff>47625</xdr:colOff>
                    <xdr:row>24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O1:AF13"/>
  <sheetViews>
    <sheetView workbookViewId="0">
      <selection activeCell="Q16" sqref="Q16"/>
    </sheetView>
  </sheetViews>
  <sheetFormatPr defaultRowHeight="15" x14ac:dyDescent="0.25"/>
  <sheetData>
    <row r="1" spans="15:32" x14ac:dyDescent="0.25">
      <c r="Q1" s="26" t="s">
        <v>54</v>
      </c>
      <c r="R1" s="27">
        <v>2001</v>
      </c>
      <c r="S1" s="27">
        <v>2002</v>
      </c>
      <c r="T1" s="27">
        <v>2003</v>
      </c>
      <c r="U1" s="27">
        <v>2004</v>
      </c>
      <c r="V1" s="27">
        <v>2005</v>
      </c>
      <c r="W1" s="27">
        <v>2006</v>
      </c>
      <c r="X1" s="27">
        <v>2007</v>
      </c>
      <c r="Y1" s="27">
        <v>2008</v>
      </c>
      <c r="Z1" s="27">
        <v>2009</v>
      </c>
      <c r="AA1" s="27">
        <v>2010</v>
      </c>
      <c r="AB1" s="27">
        <v>2011</v>
      </c>
      <c r="AC1" s="27">
        <v>2012</v>
      </c>
      <c r="AD1" s="27">
        <v>2013</v>
      </c>
      <c r="AF1">
        <v>2001</v>
      </c>
    </row>
    <row r="2" spans="15:32" x14ac:dyDescent="0.25">
      <c r="O2">
        <v>9</v>
      </c>
      <c r="P2">
        <v>11</v>
      </c>
      <c r="Q2" s="5" t="s">
        <v>55</v>
      </c>
      <c r="R2" s="6">
        <v>210568</v>
      </c>
      <c r="S2" s="6">
        <v>201340</v>
      </c>
      <c r="T2" s="6">
        <v>464061</v>
      </c>
      <c r="U2" s="6">
        <v>411290</v>
      </c>
      <c r="V2" s="6">
        <v>136090</v>
      </c>
      <c r="W2" s="6">
        <v>214494</v>
      </c>
      <c r="X2" s="6">
        <v>498013</v>
      </c>
      <c r="Y2" s="6">
        <v>489095</v>
      </c>
      <c r="Z2" s="6">
        <v>193832</v>
      </c>
      <c r="AA2" s="6">
        <v>459757</v>
      </c>
      <c r="AB2" s="6">
        <v>439875</v>
      </c>
      <c r="AC2" s="6">
        <v>225281</v>
      </c>
      <c r="AD2" s="6">
        <v>452433</v>
      </c>
      <c r="AF2">
        <v>2002</v>
      </c>
    </row>
    <row r="3" spans="15:32" x14ac:dyDescent="0.25">
      <c r="Q3" s="5" t="s">
        <v>56</v>
      </c>
      <c r="R3" s="6">
        <v>485921</v>
      </c>
      <c r="S3" s="6">
        <v>233733</v>
      </c>
      <c r="T3" s="6">
        <v>200182</v>
      </c>
      <c r="U3" s="6">
        <v>313382</v>
      </c>
      <c r="V3" s="6">
        <v>160747</v>
      </c>
      <c r="W3" s="6">
        <v>165734</v>
      </c>
      <c r="X3" s="6">
        <v>268157</v>
      </c>
      <c r="Y3" s="6">
        <v>217954</v>
      </c>
      <c r="Z3" s="6">
        <v>423620</v>
      </c>
      <c r="AA3" s="6">
        <v>486253</v>
      </c>
      <c r="AB3" s="6">
        <v>174382</v>
      </c>
      <c r="AC3" s="6">
        <v>165981</v>
      </c>
      <c r="AD3" s="6">
        <v>223414</v>
      </c>
      <c r="AF3">
        <v>2003</v>
      </c>
    </row>
    <row r="4" spans="15:32" x14ac:dyDescent="0.25">
      <c r="Q4" s="5" t="s">
        <v>57</v>
      </c>
      <c r="R4" s="6">
        <v>270889</v>
      </c>
      <c r="S4" s="6">
        <v>233417</v>
      </c>
      <c r="T4" s="6">
        <v>382558</v>
      </c>
      <c r="U4" s="6">
        <v>247035</v>
      </c>
      <c r="V4" s="6">
        <v>342529</v>
      </c>
      <c r="W4" s="6">
        <v>496252</v>
      </c>
      <c r="X4" s="6">
        <v>273354</v>
      </c>
      <c r="Y4" s="6">
        <v>418061</v>
      </c>
      <c r="Z4" s="6">
        <v>442048</v>
      </c>
      <c r="AA4" s="6">
        <v>282681</v>
      </c>
      <c r="AB4" s="6">
        <v>136495</v>
      </c>
      <c r="AC4" s="6">
        <v>147901</v>
      </c>
      <c r="AD4" s="6">
        <v>368673</v>
      </c>
      <c r="AF4">
        <v>2004</v>
      </c>
    </row>
    <row r="5" spans="15:32" x14ac:dyDescent="0.25">
      <c r="O5" t="e">
        <f ca="1">OFFSET($Q$1,0,1,1,$P$2)</f>
        <v>#VALUE!</v>
      </c>
      <c r="Q5" s="5" t="s">
        <v>58</v>
      </c>
      <c r="R5" s="6">
        <v>381533</v>
      </c>
      <c r="S5" s="6">
        <v>229956</v>
      </c>
      <c r="T5" s="6">
        <v>420209</v>
      </c>
      <c r="U5" s="6">
        <v>260308</v>
      </c>
      <c r="V5" s="6">
        <v>459819</v>
      </c>
      <c r="W5" s="6">
        <v>431428</v>
      </c>
      <c r="X5" s="6">
        <v>359671</v>
      </c>
      <c r="Y5" s="6">
        <v>417842</v>
      </c>
      <c r="Z5" s="6">
        <v>407801</v>
      </c>
      <c r="AA5" s="6">
        <v>237117</v>
      </c>
      <c r="AB5" s="6">
        <v>227067</v>
      </c>
      <c r="AC5" s="6">
        <v>429030</v>
      </c>
      <c r="AD5" s="6">
        <v>232608</v>
      </c>
      <c r="AF5">
        <v>2005</v>
      </c>
    </row>
    <row r="6" spans="15:32" x14ac:dyDescent="0.25">
      <c r="Q6" s="5" t="s">
        <v>59</v>
      </c>
      <c r="R6" s="6">
        <v>355846</v>
      </c>
      <c r="S6" s="6">
        <v>235100</v>
      </c>
      <c r="T6" s="6">
        <v>191669</v>
      </c>
      <c r="U6" s="6">
        <v>212926</v>
      </c>
      <c r="V6" s="6">
        <v>362114</v>
      </c>
      <c r="W6" s="6">
        <v>467649</v>
      </c>
      <c r="X6" s="6">
        <v>404431</v>
      </c>
      <c r="Y6" s="6">
        <v>246725</v>
      </c>
      <c r="Z6" s="6">
        <v>180286</v>
      </c>
      <c r="AA6" s="6">
        <v>292026</v>
      </c>
      <c r="AB6" s="6">
        <v>372665</v>
      </c>
      <c r="AC6" s="6">
        <v>450521</v>
      </c>
      <c r="AD6" s="6">
        <v>136965</v>
      </c>
      <c r="AF6">
        <v>2006</v>
      </c>
    </row>
    <row r="7" spans="15:32" x14ac:dyDescent="0.25">
      <c r="O7" t="e">
        <f ca="1">OFFSET($Q$1,$O$2,1,1,$P$2)</f>
        <v>#VALUE!</v>
      </c>
      <c r="Q7" s="5" t="s">
        <v>60</v>
      </c>
      <c r="R7" s="6">
        <v>436940</v>
      </c>
      <c r="S7" s="6">
        <v>456911</v>
      </c>
      <c r="T7" s="6">
        <v>127981</v>
      </c>
      <c r="U7" s="6">
        <v>239039</v>
      </c>
      <c r="V7" s="6">
        <v>249644</v>
      </c>
      <c r="W7" s="6">
        <v>359992</v>
      </c>
      <c r="X7" s="6">
        <v>363859</v>
      </c>
      <c r="Y7" s="6">
        <v>161030</v>
      </c>
      <c r="Z7" s="6">
        <v>397778</v>
      </c>
      <c r="AA7" s="6">
        <v>121343</v>
      </c>
      <c r="AB7" s="6">
        <v>467017</v>
      </c>
      <c r="AC7" s="6">
        <v>312279</v>
      </c>
      <c r="AD7" s="6">
        <v>347897</v>
      </c>
      <c r="AF7">
        <v>2007</v>
      </c>
    </row>
    <row r="8" spans="15:32" x14ac:dyDescent="0.25">
      <c r="Q8" s="5" t="s">
        <v>61</v>
      </c>
      <c r="R8" s="6">
        <v>435424</v>
      </c>
      <c r="S8" s="6">
        <v>175485</v>
      </c>
      <c r="T8" s="6">
        <v>415066</v>
      </c>
      <c r="U8" s="6">
        <v>320646</v>
      </c>
      <c r="V8" s="6">
        <v>259675</v>
      </c>
      <c r="W8" s="6">
        <v>318361</v>
      </c>
      <c r="X8" s="6">
        <v>386845</v>
      </c>
      <c r="Y8" s="6">
        <v>206399</v>
      </c>
      <c r="Z8" s="6">
        <v>200539</v>
      </c>
      <c r="AA8" s="6">
        <v>435016</v>
      </c>
      <c r="AB8" s="6">
        <v>375635</v>
      </c>
      <c r="AC8" s="6">
        <v>445080</v>
      </c>
      <c r="AD8" s="6">
        <v>136611</v>
      </c>
      <c r="AF8">
        <v>2008</v>
      </c>
    </row>
    <row r="9" spans="15:32" x14ac:dyDescent="0.25">
      <c r="Q9" s="5" t="s">
        <v>62</v>
      </c>
      <c r="R9" s="6">
        <v>410750</v>
      </c>
      <c r="S9" s="6">
        <v>446324</v>
      </c>
      <c r="T9" s="6">
        <v>469897</v>
      </c>
      <c r="U9" s="6">
        <v>125452</v>
      </c>
      <c r="V9" s="6">
        <v>223098</v>
      </c>
      <c r="W9" s="6">
        <v>387772</v>
      </c>
      <c r="X9" s="6">
        <v>485026</v>
      </c>
      <c r="Y9" s="6">
        <v>209121</v>
      </c>
      <c r="Z9" s="6">
        <v>484954</v>
      </c>
      <c r="AA9" s="6">
        <v>361508</v>
      </c>
      <c r="AB9" s="6">
        <v>354604</v>
      </c>
      <c r="AC9" s="6">
        <v>380665</v>
      </c>
      <c r="AD9" s="6">
        <v>217901</v>
      </c>
      <c r="AF9">
        <v>2009</v>
      </c>
    </row>
    <row r="10" spans="15:32" x14ac:dyDescent="0.25">
      <c r="Q10" s="5" t="s">
        <v>63</v>
      </c>
      <c r="R10" s="6">
        <v>185743</v>
      </c>
      <c r="S10" s="6">
        <v>399658</v>
      </c>
      <c r="T10" s="6">
        <v>239350</v>
      </c>
      <c r="U10" s="6">
        <v>302659</v>
      </c>
      <c r="V10" s="6">
        <v>471594</v>
      </c>
      <c r="W10" s="6">
        <v>368190</v>
      </c>
      <c r="X10" s="6">
        <v>168628</v>
      </c>
      <c r="Y10" s="6">
        <v>352832</v>
      </c>
      <c r="Z10" s="6">
        <v>150841</v>
      </c>
      <c r="AA10" s="6">
        <v>134745</v>
      </c>
      <c r="AB10" s="6">
        <v>403058</v>
      </c>
      <c r="AC10" s="6">
        <v>230009</v>
      </c>
      <c r="AD10" s="6">
        <v>267213</v>
      </c>
      <c r="AF10">
        <v>2010</v>
      </c>
    </row>
    <row r="11" spans="15:32" x14ac:dyDescent="0.25">
      <c r="Q11" s="5" t="s">
        <v>64</v>
      </c>
      <c r="R11" s="6">
        <v>451240</v>
      </c>
      <c r="S11" s="6">
        <v>235054</v>
      </c>
      <c r="T11" s="6">
        <v>211816</v>
      </c>
      <c r="U11" s="6">
        <v>425426</v>
      </c>
      <c r="V11" s="6">
        <v>180856</v>
      </c>
      <c r="W11" s="6">
        <v>434822</v>
      </c>
      <c r="X11" s="6">
        <v>196446</v>
      </c>
      <c r="Y11" s="6">
        <v>320413</v>
      </c>
      <c r="Z11" s="6">
        <v>213787</v>
      </c>
      <c r="AA11" s="6">
        <v>254229</v>
      </c>
      <c r="AB11" s="6">
        <v>281237</v>
      </c>
      <c r="AC11" s="6">
        <v>344028</v>
      </c>
      <c r="AD11" s="6">
        <v>407108</v>
      </c>
      <c r="AF11">
        <v>2011</v>
      </c>
    </row>
    <row r="12" spans="15:32" x14ac:dyDescent="0.25">
      <c r="Q12" s="7" t="s">
        <v>65</v>
      </c>
      <c r="R12" s="8">
        <f>SUM(R1:R11)</f>
        <v>3626855</v>
      </c>
      <c r="S12" s="8">
        <f t="shared" ref="S12:AD12" si="0">SUM(S1:S11)</f>
        <v>2848980</v>
      </c>
      <c r="T12" s="8">
        <f t="shared" si="0"/>
        <v>3124792</v>
      </c>
      <c r="U12" s="8">
        <f t="shared" si="0"/>
        <v>2860167</v>
      </c>
      <c r="V12" s="8">
        <f t="shared" si="0"/>
        <v>2848171</v>
      </c>
      <c r="W12" s="8">
        <f t="shared" si="0"/>
        <v>3646700</v>
      </c>
      <c r="X12" s="8">
        <f t="shared" si="0"/>
        <v>3406437</v>
      </c>
      <c r="Y12" s="8">
        <f t="shared" si="0"/>
        <v>3041480</v>
      </c>
      <c r="Z12" s="8">
        <f t="shared" si="0"/>
        <v>3097495</v>
      </c>
      <c r="AA12" s="8">
        <f t="shared" si="0"/>
        <v>3066685</v>
      </c>
      <c r="AB12" s="8">
        <f t="shared" si="0"/>
        <v>3234046</v>
      </c>
      <c r="AC12" s="8">
        <f t="shared" si="0"/>
        <v>3132787</v>
      </c>
      <c r="AD12" s="8">
        <f t="shared" si="0"/>
        <v>2792836</v>
      </c>
      <c r="AF12">
        <v>2012</v>
      </c>
    </row>
    <row r="13" spans="15:32" x14ac:dyDescent="0.25">
      <c r="AF13">
        <v>2013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1" r:id="rId3" name="Drop Down 5">
              <controlPr defaultSize="0" autoLine="0" autoPict="0">
                <anchor moveWithCells="1">
                  <from>
                    <xdr:col>1</xdr:col>
                    <xdr:colOff>266700</xdr:colOff>
                    <xdr:row>0</xdr:row>
                    <xdr:rowOff>171450</xdr:rowOff>
                  </from>
                  <to>
                    <xdr:col>3</xdr:col>
                    <xdr:colOff>371475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4" name="Drop Down 6">
              <controlPr defaultSize="0" autoLine="0" autoPict="0">
                <anchor moveWithCells="1">
                  <from>
                    <xdr:col>11</xdr:col>
                    <xdr:colOff>266700</xdr:colOff>
                    <xdr:row>0</xdr:row>
                    <xdr:rowOff>180975</xdr:rowOff>
                  </from>
                  <to>
                    <xdr:col>13</xdr:col>
                    <xdr:colOff>371475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Pie Chart</vt:lpstr>
      <vt:lpstr>Chart Group</vt:lpstr>
      <vt:lpstr>Line chart Secendry </vt:lpstr>
      <vt:lpstr>Column Chart</vt:lpstr>
      <vt:lpstr>Column Chart With Group</vt:lpstr>
      <vt:lpstr>Column and Line Chart</vt:lpstr>
      <vt:lpstr>Dynamic Chart</vt:lpstr>
      <vt:lpstr>Chart Spacle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Nilesh</dc:creator>
  <cp:lastModifiedBy>Data Analyst</cp:lastModifiedBy>
  <dcterms:created xsi:type="dcterms:W3CDTF">2013-08-05T03:22:28Z</dcterms:created>
  <dcterms:modified xsi:type="dcterms:W3CDTF">2021-09-22T10:12:26Z</dcterms:modified>
</cp:coreProperties>
</file>